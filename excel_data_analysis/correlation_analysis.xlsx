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hyounjin/Documents/GitHub/study_log/excel_data_analysis/"/>
    </mc:Choice>
  </mc:AlternateContent>
  <xr:revisionPtr revIDLastSave="0" documentId="13_ncr:1_{86FC117D-B834-EA47-B004-22C7DFEA4CE8}" xr6:coauthVersionLast="47" xr6:coauthVersionMax="47" xr10:uidLastSave="{00000000-0000-0000-0000-000000000000}"/>
  <bookViews>
    <workbookView xWindow="0" yWindow="660" windowWidth="29400" windowHeight="16760" activeTab="4" xr2:uid="{B336B945-0BA7-4E75-827F-0D81612F1FB3}"/>
  </bookViews>
  <sheets>
    <sheet name="CASE_01" sheetId="3" r:id="rId1"/>
    <sheet name="CASE_01_sparkline" sheetId="5" r:id="rId2"/>
    <sheet name="CASE_01_pivot" sheetId="8" r:id="rId3"/>
    <sheet name="CASE_02_01" sheetId="7" r:id="rId4"/>
    <sheet name="CASE_02_01_correl" sheetId="6" r:id="rId5"/>
    <sheet name="CASE_02_02" sheetId="9" r:id="rId6"/>
  </sheets>
  <definedNames>
    <definedName name="ExternalData_1" localSheetId="3" hidden="1">CASE_02_01!$A$1:$U$63</definedName>
    <definedName name="ExternalData_2" localSheetId="0" hidden="1">CASE_01!$A$1:$P$1861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0" i="9" l="1"/>
  <c r="G60" i="9" s="1"/>
  <c r="H60" i="9" s="1"/>
  <c r="I63" i="9"/>
  <c r="E63" i="9"/>
  <c r="D63" i="9"/>
  <c r="G63" i="9" s="1"/>
  <c r="H63" i="9" s="1"/>
  <c r="I62" i="9"/>
  <c r="E62" i="9"/>
  <c r="F62" i="9" s="1"/>
  <c r="D62" i="9"/>
  <c r="G62" i="9" s="1"/>
  <c r="H62" i="9" s="1"/>
  <c r="I61" i="9"/>
  <c r="G61" i="9"/>
  <c r="H61" i="9" s="1"/>
  <c r="E61" i="9"/>
  <c r="D61" i="9"/>
  <c r="F61" i="9" s="1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21" i="9"/>
  <c r="E22" i="9"/>
  <c r="E23" i="9"/>
  <c r="E24" i="9"/>
  <c r="E25" i="9"/>
  <c r="F25" i="9" s="1"/>
  <c r="E26" i="9"/>
  <c r="E27" i="9"/>
  <c r="E28" i="9"/>
  <c r="E29" i="9"/>
  <c r="G29" i="9" s="1"/>
  <c r="H29" i="9" s="1"/>
  <c r="E30" i="9"/>
  <c r="E31" i="9"/>
  <c r="E32" i="9"/>
  <c r="E33" i="9"/>
  <c r="F33" i="9" s="1"/>
  <c r="E34" i="9"/>
  <c r="E35" i="9"/>
  <c r="E36" i="9"/>
  <c r="E37" i="9"/>
  <c r="G37" i="9" s="1"/>
  <c r="H37" i="9" s="1"/>
  <c r="E38" i="9"/>
  <c r="E39" i="9"/>
  <c r="E40" i="9"/>
  <c r="E41" i="9"/>
  <c r="G41" i="9" s="1"/>
  <c r="H41" i="9" s="1"/>
  <c r="E42" i="9"/>
  <c r="E43" i="9"/>
  <c r="E44" i="9"/>
  <c r="E45" i="9"/>
  <c r="G45" i="9" s="1"/>
  <c r="H45" i="9" s="1"/>
  <c r="E46" i="9"/>
  <c r="E47" i="9"/>
  <c r="E48" i="9"/>
  <c r="E49" i="9"/>
  <c r="G49" i="9" s="1"/>
  <c r="H49" i="9" s="1"/>
  <c r="E50" i="9"/>
  <c r="E51" i="9"/>
  <c r="E52" i="9"/>
  <c r="E53" i="9"/>
  <c r="G53" i="9" s="1"/>
  <c r="H53" i="9" s="1"/>
  <c r="E54" i="9"/>
  <c r="E55" i="9"/>
  <c r="E56" i="9"/>
  <c r="E57" i="9"/>
  <c r="G57" i="9" s="1"/>
  <c r="H57" i="9" s="1"/>
  <c r="E58" i="9"/>
  <c r="E59" i="9"/>
  <c r="E60" i="9"/>
  <c r="E21" i="9"/>
  <c r="G21" i="9" s="1"/>
  <c r="H21" i="9" s="1"/>
  <c r="D21" i="9"/>
  <c r="D22" i="9"/>
  <c r="G22" i="9" s="1"/>
  <c r="H22" i="9" s="1"/>
  <c r="D23" i="9"/>
  <c r="G23" i="9" s="1"/>
  <c r="H23" i="9" s="1"/>
  <c r="D24" i="9"/>
  <c r="F24" i="9" s="1"/>
  <c r="D25" i="9"/>
  <c r="D26" i="9"/>
  <c r="G26" i="9" s="1"/>
  <c r="H26" i="9" s="1"/>
  <c r="D27" i="9"/>
  <c r="G27" i="9" s="1"/>
  <c r="H27" i="9" s="1"/>
  <c r="D28" i="9"/>
  <c r="F28" i="9" s="1"/>
  <c r="D29" i="9"/>
  <c r="D30" i="9"/>
  <c r="G30" i="9" s="1"/>
  <c r="H30" i="9" s="1"/>
  <c r="D31" i="9"/>
  <c r="G31" i="9" s="1"/>
  <c r="H31" i="9" s="1"/>
  <c r="D32" i="9"/>
  <c r="G32" i="9" s="1"/>
  <c r="H32" i="9" s="1"/>
  <c r="D33" i="9"/>
  <c r="D34" i="9"/>
  <c r="G34" i="9" s="1"/>
  <c r="H34" i="9" s="1"/>
  <c r="D35" i="9"/>
  <c r="G35" i="9" s="1"/>
  <c r="H35" i="9" s="1"/>
  <c r="D36" i="9"/>
  <c r="F36" i="9" s="1"/>
  <c r="D37" i="9"/>
  <c r="D38" i="9"/>
  <c r="G38" i="9" s="1"/>
  <c r="H38" i="9" s="1"/>
  <c r="D39" i="9"/>
  <c r="G39" i="9" s="1"/>
  <c r="H39" i="9" s="1"/>
  <c r="D40" i="9"/>
  <c r="G40" i="9" s="1"/>
  <c r="H40" i="9" s="1"/>
  <c r="D41" i="9"/>
  <c r="D42" i="9"/>
  <c r="G42" i="9" s="1"/>
  <c r="H42" i="9" s="1"/>
  <c r="D43" i="9"/>
  <c r="G43" i="9" s="1"/>
  <c r="H43" i="9" s="1"/>
  <c r="D44" i="9"/>
  <c r="G44" i="9" s="1"/>
  <c r="H44" i="9" s="1"/>
  <c r="D45" i="9"/>
  <c r="D46" i="9"/>
  <c r="G46" i="9" s="1"/>
  <c r="H46" i="9" s="1"/>
  <c r="D47" i="9"/>
  <c r="G47" i="9" s="1"/>
  <c r="H47" i="9" s="1"/>
  <c r="D48" i="9"/>
  <c r="G48" i="9" s="1"/>
  <c r="H48" i="9" s="1"/>
  <c r="D49" i="9"/>
  <c r="D50" i="9"/>
  <c r="G50" i="9" s="1"/>
  <c r="H50" i="9" s="1"/>
  <c r="D51" i="9"/>
  <c r="G51" i="9" s="1"/>
  <c r="H51" i="9" s="1"/>
  <c r="D52" i="9"/>
  <c r="G52" i="9" s="1"/>
  <c r="H52" i="9" s="1"/>
  <c r="D53" i="9"/>
  <c r="D54" i="9"/>
  <c r="G54" i="9" s="1"/>
  <c r="H54" i="9" s="1"/>
  <c r="D55" i="9"/>
  <c r="G55" i="9" s="1"/>
  <c r="H55" i="9" s="1"/>
  <c r="D56" i="9"/>
  <c r="G56" i="9" s="1"/>
  <c r="H56" i="9" s="1"/>
  <c r="D57" i="9"/>
  <c r="D58" i="9"/>
  <c r="G58" i="9" s="1"/>
  <c r="H58" i="9" s="1"/>
  <c r="D59" i="9"/>
  <c r="G59" i="9" s="1"/>
  <c r="H59" i="9" s="1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F63" i="9" l="1"/>
  <c r="G25" i="9"/>
  <c r="H25" i="9" s="1"/>
  <c r="G24" i="9"/>
  <c r="H24" i="9" s="1"/>
  <c r="F21" i="9"/>
  <c r="F53" i="9"/>
  <c r="F45" i="9"/>
  <c r="F37" i="9"/>
  <c r="F29" i="9"/>
  <c r="G33" i="9"/>
  <c r="H33" i="9" s="1"/>
  <c r="F56" i="9"/>
  <c r="F48" i="9"/>
  <c r="F40" i="9"/>
  <c r="F32" i="9"/>
  <c r="G36" i="9"/>
  <c r="H36" i="9" s="1"/>
  <c r="G28" i="9"/>
  <c r="H28" i="9" s="1"/>
  <c r="F59" i="9"/>
  <c r="F55" i="9"/>
  <c r="F51" i="9"/>
  <c r="F47" i="9"/>
  <c r="F43" i="9"/>
  <c r="F39" i="9"/>
  <c r="F35" i="9"/>
  <c r="F31" i="9"/>
  <c r="F27" i="9"/>
  <c r="F23" i="9"/>
  <c r="F57" i="9"/>
  <c r="F49" i="9"/>
  <c r="F41" i="9"/>
  <c r="F60" i="9"/>
  <c r="F52" i="9"/>
  <c r="F44" i="9"/>
  <c r="F58" i="9"/>
  <c r="F54" i="9"/>
  <c r="F50" i="9"/>
  <c r="F46" i="9"/>
  <c r="F42" i="9"/>
  <c r="F38" i="9"/>
  <c r="F34" i="9"/>
  <c r="F30" i="9"/>
  <c r="F26" i="9"/>
  <c r="F2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FF7116-7BD3-4556-B9DD-E38A6C4FDF05}" keepAlive="1" name="쿼리 - 종목명" description="통합 문서의 '종목명' 쿼리에 대한 연결입니다." type="5" refreshedVersion="0" background="1">
    <dbPr connection="Provider=Microsoft.Mashup.OleDb.1;Data Source=$Workbook$;Location=종목명;Extended Properties=&quot;&quot;" command="SELECT * FROM [종목명]"/>
  </connection>
  <connection id="2" xr16:uid="{485DDF88-9EA9-4BE9-8381-E0769AAB0502}" keepAlive="1" name="쿼리 - 테이블" description="통합 문서의 '테이블' 쿼리에 대한 연결입니다." type="5" refreshedVersion="8" background="1" saveData="1">
    <dbPr connection="Provider=Microsoft.Mashup.OleDb.1;Data Source=$Workbook$;Location=테이블;Extended Properties=&quot;&quot;" command="SELECT * FROM [테이블]"/>
  </connection>
  <connection id="3" xr16:uid="{943023D7-6D01-41D0-A4A8-65D860D30F24}" keepAlive="1" name="쿼리 - 한번에가져오기" description="통합 문서의 '한번에가져오기' 쿼리에 대한 연결입니다." type="5" refreshedVersion="0" background="1">
    <dbPr connection="Provider=Microsoft.Mashup.OleDb.1;Data Source=$Workbook$;Location=한번에가져오기;Extended Properties=&quot;&quot;" command="SELECT * FROM [한번에가져오기]"/>
  </connection>
  <connection id="4" xr16:uid="{ECD1242C-B360-411A-B359-74261D63594C}" keepAlive="1" name="쿼리 - body" description="통합 문서의 'body' 쿼리에 대한 연결입니다." type="5" refreshedVersion="8" background="1" saveData="1">
    <dbPr connection="Provider=Microsoft.Mashup.OleDb.1;Data Source=$Workbook$;Location=body;Extended Properties=&quot;&quot;" command="SELECT * FROM [body]"/>
  </connection>
  <connection id="5" xr16:uid="{66C077E0-C2AD-4C8E-8F3E-68BB0EE577D7}" keepAlive="1" name="쿼리 - body (2)" description="통합 문서의 'body (2)' 쿼리에 대한 연결입니다." type="5" refreshedVersion="8" background="1" saveData="1">
    <dbPr connection="Provider=Microsoft.Mashup.OleDb.1;Data Source=$Workbook$;Location=&quot;body (2)&quot;;Extended Properties=&quot;&quot;" command="SELECT * FROM [body (2)]"/>
  </connection>
</connections>
</file>

<file path=xl/sharedStrings.xml><?xml version="1.0" encoding="utf-8"?>
<sst xmlns="http://schemas.openxmlformats.org/spreadsheetml/2006/main" count="7711" uniqueCount="106">
  <si>
    <t>basDt</t>
  </si>
  <si>
    <t>srtnCd</t>
  </si>
  <si>
    <t>isinCd</t>
  </si>
  <si>
    <t>itmsNm</t>
  </si>
  <si>
    <t>mrktCtg</t>
  </si>
  <si>
    <t>clpr</t>
  </si>
  <si>
    <t>vs</t>
  </si>
  <si>
    <t>fltRt</t>
  </si>
  <si>
    <t>mkp</t>
  </si>
  <si>
    <t>hipr</t>
  </si>
  <si>
    <t>lopr</t>
  </si>
  <si>
    <t>trqu</t>
  </si>
  <si>
    <t>trPrc</t>
  </si>
  <si>
    <t>lstgStCnt</t>
  </si>
  <si>
    <t>mrktTotAmt</t>
  </si>
  <si>
    <t>KR7005930003</t>
  </si>
  <si>
    <t>삼성전자</t>
  </si>
  <si>
    <t>KOSPI</t>
  </si>
  <si>
    <t>열1</t>
  </si>
  <si>
    <t>SK하이닉스</t>
  </si>
  <si>
    <t>KR7000660001</t>
  </si>
  <si>
    <t>현대차</t>
  </si>
  <si>
    <t>KR7005380001</t>
  </si>
  <si>
    <t>LG에너지솔루션</t>
  </si>
  <si>
    <t>KR7373220003</t>
  </si>
  <si>
    <t>한화에어로스페이스</t>
  </si>
  <si>
    <t>KR7012450003</t>
  </si>
  <si>
    <t>삼성바이오로직스</t>
  </si>
  <si>
    <t>KR7207940008</t>
  </si>
  <si>
    <t>SK스퀘어</t>
  </si>
  <si>
    <t>KR7402340004</t>
  </si>
  <si>
    <t>두산에너빌리티</t>
  </si>
  <si>
    <t>KR7034020008</t>
  </si>
  <si>
    <t>기아</t>
  </si>
  <si>
    <t>KR7000270009</t>
  </si>
  <si>
    <t>KB금융</t>
  </si>
  <si>
    <t>KR7105560007</t>
  </si>
  <si>
    <t>HD현대중공업</t>
  </si>
  <si>
    <t>KR7329180004</t>
  </si>
  <si>
    <t>셀트리온</t>
  </si>
  <si>
    <t>KR7068270008</t>
  </si>
  <si>
    <t>삼성생명</t>
  </si>
  <si>
    <t>KR7032830002</t>
  </si>
  <si>
    <t>신한지주</t>
  </si>
  <si>
    <t>KR7055550008</t>
  </si>
  <si>
    <t>삼성물산</t>
  </si>
  <si>
    <t>KR7028260008</t>
  </si>
  <si>
    <t>한화오션</t>
  </si>
  <si>
    <t>KR7042660001</t>
  </si>
  <si>
    <t>삼성SDI</t>
  </si>
  <si>
    <t>KR7006400006</t>
  </si>
  <si>
    <t>현대모비스</t>
  </si>
  <si>
    <t>KR7012330007</t>
  </si>
  <si>
    <t>미래에셋증권</t>
  </si>
  <si>
    <t>KR7006800007</t>
  </si>
  <si>
    <t>삼성전기</t>
  </si>
  <si>
    <t>KR7009150004</t>
  </si>
  <si>
    <t>HD현대일렉트릭</t>
  </si>
  <si>
    <t>KR7267260008</t>
  </si>
  <si>
    <t>NAVER</t>
  </si>
  <si>
    <t>KR7035420009</t>
  </si>
  <si>
    <t>고려아연</t>
  </si>
  <si>
    <t>KR7010130003</t>
  </si>
  <si>
    <t>하나금융지주</t>
  </si>
  <si>
    <t>KR7086790003</t>
  </si>
  <si>
    <t>POSCO홀딩스</t>
  </si>
  <si>
    <t>KR7005490008</t>
  </si>
  <si>
    <t>HD한국조선해양</t>
  </si>
  <si>
    <t>KR7009540006</t>
  </si>
  <si>
    <t>한국전력</t>
  </si>
  <si>
    <t>KR7015760002</t>
  </si>
  <si>
    <t>한화시스템</t>
  </si>
  <si>
    <t>KR7272210006</t>
  </si>
  <si>
    <t>한미반도체</t>
  </si>
  <si>
    <t>KR7042700005</t>
  </si>
  <si>
    <t>삼성중공업</t>
  </si>
  <si>
    <t>KR7010140002</t>
  </si>
  <si>
    <t>열 레이블</t>
  </si>
  <si>
    <t>행 레이블</t>
  </si>
  <si>
    <t>합계 : clpr</t>
  </si>
  <si>
    <t>idxNm</t>
  </si>
  <si>
    <t>idxCsf</t>
  </si>
  <si>
    <t>epyItmsCnt</t>
  </si>
  <si>
    <t>lstgMrktTotAmt</t>
  </si>
  <si>
    <t>lsYrEdVsFltRg</t>
  </si>
  <si>
    <t>lsYrEdVsFltRt</t>
  </si>
  <si>
    <t>yrWRcrdHgst</t>
  </si>
  <si>
    <t>yrWRcrdHgstDt</t>
  </si>
  <si>
    <t>yrWRcrdLwst</t>
  </si>
  <si>
    <t>yrWRcrdLwstDt</t>
  </si>
  <si>
    <t>basPntm</t>
  </si>
  <si>
    <t>basIdx</t>
  </si>
  <si>
    <t>코스피</t>
  </si>
  <si>
    <t>KOSPI시리즈</t>
  </si>
  <si>
    <t>총합계</t>
  </si>
  <si>
    <t>기준일</t>
    <phoneticPr fontId="1" type="noConversion"/>
  </si>
  <si>
    <t>코스피</t>
    <phoneticPr fontId="1" type="noConversion"/>
  </si>
  <si>
    <t>상관계수</t>
    <phoneticPr fontId="1" type="noConversion"/>
  </si>
  <si>
    <t>종가</t>
    <phoneticPr fontId="1" type="noConversion"/>
  </si>
  <si>
    <t>번호</t>
    <phoneticPr fontId="1" type="noConversion"/>
  </si>
  <si>
    <t>20일 이동평균</t>
    <phoneticPr fontId="1" type="noConversion"/>
  </si>
  <si>
    <t>20일 표준편차</t>
    <phoneticPr fontId="1" type="noConversion"/>
  </si>
  <si>
    <t>볼린저밴드 상단</t>
    <phoneticPr fontId="1" type="noConversion"/>
  </si>
  <si>
    <t>볼린저밴드 하단</t>
    <phoneticPr fontId="1" type="noConversion"/>
  </si>
  <si>
    <t>매수</t>
    <phoneticPr fontId="1" type="noConversion"/>
  </si>
  <si>
    <t>등락률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</si>
</sst>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_-[$₩-412]* #,##0_-;\-[$₩-412]* #,##0_-;_-[$₩-412]* &quot;-&quot;??_-;_-@_-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7" fontId="0" fillId="0" borderId="0" xfId="0" applyNumberFormat="1">
      <alignment vertical="center"/>
    </xf>
    <xf numFmtId="0" fontId="3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0" borderId="0" xfId="0" applyFont="1">
      <alignment vertical="center"/>
    </xf>
    <xf numFmtId="14" fontId="0" fillId="0" borderId="0" xfId="0" applyNumberFormat="1">
      <alignment vertical="center"/>
    </xf>
    <xf numFmtId="176" fontId="0" fillId="0" borderId="0" xfId="1" applyFont="1">
      <alignment vertical="center"/>
    </xf>
    <xf numFmtId="10" fontId="0" fillId="0" borderId="0" xfId="2" applyNumberFormat="1" applyFont="1">
      <alignment vertical="center"/>
    </xf>
    <xf numFmtId="0" fontId="0" fillId="0" borderId="0" xfId="0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4">
    <dxf>
      <numFmt numFmtId="0" formatCode="General"/>
    </dxf>
    <dxf>
      <numFmt numFmtId="0" formatCode="General"/>
    </dxf>
    <dxf>
      <numFmt numFmtId="177" formatCode="_-[$₩-412]* #,##0_-;\-[$₩-412]* #,##0_-;_-[$₩-412]* &quot;-&quot;??_-;_-@_-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CASE_02_02!$B$21:$B$63</c:f>
              <c:numCache>
                <c:formatCode>m/d/yy</c:formatCode>
                <c:ptCount val="43"/>
                <c:pt idx="0">
                  <c:v>46051</c:v>
                </c:pt>
                <c:pt idx="1">
                  <c:v>46052</c:v>
                </c:pt>
                <c:pt idx="2">
                  <c:v>46055</c:v>
                </c:pt>
                <c:pt idx="3">
                  <c:v>46056</c:v>
                </c:pt>
                <c:pt idx="4">
                  <c:v>46057</c:v>
                </c:pt>
                <c:pt idx="5">
                  <c:v>46058</c:v>
                </c:pt>
                <c:pt idx="6">
                  <c:v>46059</c:v>
                </c:pt>
                <c:pt idx="7">
                  <c:v>46062</c:v>
                </c:pt>
                <c:pt idx="8">
                  <c:v>46063</c:v>
                </c:pt>
                <c:pt idx="9">
                  <c:v>46064</c:v>
                </c:pt>
                <c:pt idx="10">
                  <c:v>46065</c:v>
                </c:pt>
                <c:pt idx="11">
                  <c:v>46066</c:v>
                </c:pt>
                <c:pt idx="12">
                  <c:v>46072</c:v>
                </c:pt>
                <c:pt idx="13">
                  <c:v>46073</c:v>
                </c:pt>
                <c:pt idx="14">
                  <c:v>46076</c:v>
                </c:pt>
                <c:pt idx="15">
                  <c:v>46077</c:v>
                </c:pt>
                <c:pt idx="16">
                  <c:v>46078</c:v>
                </c:pt>
                <c:pt idx="17">
                  <c:v>46079</c:v>
                </c:pt>
                <c:pt idx="18">
                  <c:v>46080</c:v>
                </c:pt>
                <c:pt idx="19">
                  <c:v>46084</c:v>
                </c:pt>
                <c:pt idx="20">
                  <c:v>46085</c:v>
                </c:pt>
                <c:pt idx="21">
                  <c:v>46086</c:v>
                </c:pt>
                <c:pt idx="22">
                  <c:v>46087</c:v>
                </c:pt>
                <c:pt idx="23">
                  <c:v>46090</c:v>
                </c:pt>
                <c:pt idx="24">
                  <c:v>46091</c:v>
                </c:pt>
                <c:pt idx="25">
                  <c:v>46092</c:v>
                </c:pt>
                <c:pt idx="26">
                  <c:v>46093</c:v>
                </c:pt>
                <c:pt idx="27">
                  <c:v>46094</c:v>
                </c:pt>
                <c:pt idx="28">
                  <c:v>46097</c:v>
                </c:pt>
                <c:pt idx="29">
                  <c:v>46098</c:v>
                </c:pt>
                <c:pt idx="30">
                  <c:v>46099</c:v>
                </c:pt>
                <c:pt idx="31">
                  <c:v>46100</c:v>
                </c:pt>
                <c:pt idx="32">
                  <c:v>46101</c:v>
                </c:pt>
                <c:pt idx="33">
                  <c:v>46104</c:v>
                </c:pt>
                <c:pt idx="34">
                  <c:v>46105</c:v>
                </c:pt>
                <c:pt idx="35">
                  <c:v>46106</c:v>
                </c:pt>
                <c:pt idx="36">
                  <c:v>46107</c:v>
                </c:pt>
                <c:pt idx="37">
                  <c:v>46108</c:v>
                </c:pt>
                <c:pt idx="38">
                  <c:v>46111</c:v>
                </c:pt>
                <c:pt idx="39">
                  <c:v>46112</c:v>
                </c:pt>
                <c:pt idx="40">
                  <c:v>46113</c:v>
                </c:pt>
                <c:pt idx="41">
                  <c:v>46114</c:v>
                </c:pt>
                <c:pt idx="42">
                  <c:v>46115</c:v>
                </c:pt>
              </c:numCache>
            </c:numRef>
          </c:cat>
          <c:val>
            <c:numRef>
              <c:f>CASE_02_02!$C$21:$C$63</c:f>
              <c:numCache>
                <c:formatCode>_-* #,##0_-;\-* #,##0_-;_-* "-"_-;_-@_-</c:formatCode>
                <c:ptCount val="43"/>
                <c:pt idx="0">
                  <c:v>160700</c:v>
                </c:pt>
                <c:pt idx="1">
                  <c:v>160500</c:v>
                </c:pt>
                <c:pt idx="2">
                  <c:v>150400</c:v>
                </c:pt>
                <c:pt idx="3">
                  <c:v>167500</c:v>
                </c:pt>
                <c:pt idx="4">
                  <c:v>169100</c:v>
                </c:pt>
                <c:pt idx="5">
                  <c:v>159300</c:v>
                </c:pt>
                <c:pt idx="6">
                  <c:v>158600</c:v>
                </c:pt>
                <c:pt idx="7">
                  <c:v>166400</c:v>
                </c:pt>
                <c:pt idx="8">
                  <c:v>165800</c:v>
                </c:pt>
                <c:pt idx="9">
                  <c:v>167800</c:v>
                </c:pt>
                <c:pt idx="10">
                  <c:v>178600</c:v>
                </c:pt>
                <c:pt idx="11">
                  <c:v>181200</c:v>
                </c:pt>
                <c:pt idx="12">
                  <c:v>190000</c:v>
                </c:pt>
                <c:pt idx="13">
                  <c:v>190100</c:v>
                </c:pt>
                <c:pt idx="14">
                  <c:v>193000</c:v>
                </c:pt>
                <c:pt idx="15">
                  <c:v>200000</c:v>
                </c:pt>
                <c:pt idx="16">
                  <c:v>203500</c:v>
                </c:pt>
                <c:pt idx="17">
                  <c:v>218000</c:v>
                </c:pt>
                <c:pt idx="18">
                  <c:v>216500</c:v>
                </c:pt>
                <c:pt idx="19">
                  <c:v>195100</c:v>
                </c:pt>
                <c:pt idx="20">
                  <c:v>172200</c:v>
                </c:pt>
                <c:pt idx="21">
                  <c:v>191600</c:v>
                </c:pt>
                <c:pt idx="22">
                  <c:v>188200</c:v>
                </c:pt>
                <c:pt idx="23">
                  <c:v>173500</c:v>
                </c:pt>
                <c:pt idx="24">
                  <c:v>187900</c:v>
                </c:pt>
                <c:pt idx="25">
                  <c:v>190000</c:v>
                </c:pt>
                <c:pt idx="26">
                  <c:v>187900</c:v>
                </c:pt>
                <c:pt idx="27">
                  <c:v>183500</c:v>
                </c:pt>
                <c:pt idx="28">
                  <c:v>188700</c:v>
                </c:pt>
                <c:pt idx="29">
                  <c:v>193900</c:v>
                </c:pt>
                <c:pt idx="30">
                  <c:v>208500</c:v>
                </c:pt>
                <c:pt idx="31">
                  <c:v>200500</c:v>
                </c:pt>
                <c:pt idx="32">
                  <c:v>199400</c:v>
                </c:pt>
                <c:pt idx="33">
                  <c:v>186300</c:v>
                </c:pt>
                <c:pt idx="34">
                  <c:v>189700</c:v>
                </c:pt>
                <c:pt idx="35">
                  <c:v>189000</c:v>
                </c:pt>
                <c:pt idx="36">
                  <c:v>180100</c:v>
                </c:pt>
                <c:pt idx="37">
                  <c:v>179700</c:v>
                </c:pt>
                <c:pt idx="38">
                  <c:v>176300</c:v>
                </c:pt>
                <c:pt idx="39">
                  <c:v>167200</c:v>
                </c:pt>
                <c:pt idx="40">
                  <c:v>189600</c:v>
                </c:pt>
                <c:pt idx="41">
                  <c:v>178400</c:v>
                </c:pt>
                <c:pt idx="42">
                  <c:v>186200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20-4D55-9C07-C578648B000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CASE_02_02!$B$21:$B$63</c:f>
              <c:numCache>
                <c:formatCode>m/d/yy</c:formatCode>
                <c:ptCount val="43"/>
                <c:pt idx="0">
                  <c:v>46051</c:v>
                </c:pt>
                <c:pt idx="1">
                  <c:v>46052</c:v>
                </c:pt>
                <c:pt idx="2">
                  <c:v>46055</c:v>
                </c:pt>
                <c:pt idx="3">
                  <c:v>46056</c:v>
                </c:pt>
                <c:pt idx="4">
                  <c:v>46057</c:v>
                </c:pt>
                <c:pt idx="5">
                  <c:v>46058</c:v>
                </c:pt>
                <c:pt idx="6">
                  <c:v>46059</c:v>
                </c:pt>
                <c:pt idx="7">
                  <c:v>46062</c:v>
                </c:pt>
                <c:pt idx="8">
                  <c:v>46063</c:v>
                </c:pt>
                <c:pt idx="9">
                  <c:v>46064</c:v>
                </c:pt>
                <c:pt idx="10">
                  <c:v>46065</c:v>
                </c:pt>
                <c:pt idx="11">
                  <c:v>46066</c:v>
                </c:pt>
                <c:pt idx="12">
                  <c:v>46072</c:v>
                </c:pt>
                <c:pt idx="13">
                  <c:v>46073</c:v>
                </c:pt>
                <c:pt idx="14">
                  <c:v>46076</c:v>
                </c:pt>
                <c:pt idx="15">
                  <c:v>46077</c:v>
                </c:pt>
                <c:pt idx="16">
                  <c:v>46078</c:v>
                </c:pt>
                <c:pt idx="17">
                  <c:v>46079</c:v>
                </c:pt>
                <c:pt idx="18">
                  <c:v>46080</c:v>
                </c:pt>
                <c:pt idx="19">
                  <c:v>46084</c:v>
                </c:pt>
                <c:pt idx="20">
                  <c:v>46085</c:v>
                </c:pt>
                <c:pt idx="21">
                  <c:v>46086</c:v>
                </c:pt>
                <c:pt idx="22">
                  <c:v>46087</c:v>
                </c:pt>
                <c:pt idx="23">
                  <c:v>46090</c:v>
                </c:pt>
                <c:pt idx="24">
                  <c:v>46091</c:v>
                </c:pt>
                <c:pt idx="25">
                  <c:v>46092</c:v>
                </c:pt>
                <c:pt idx="26">
                  <c:v>46093</c:v>
                </c:pt>
                <c:pt idx="27">
                  <c:v>46094</c:v>
                </c:pt>
                <c:pt idx="28">
                  <c:v>46097</c:v>
                </c:pt>
                <c:pt idx="29">
                  <c:v>46098</c:v>
                </c:pt>
                <c:pt idx="30">
                  <c:v>46099</c:v>
                </c:pt>
                <c:pt idx="31">
                  <c:v>46100</c:v>
                </c:pt>
                <c:pt idx="32">
                  <c:v>46101</c:v>
                </c:pt>
                <c:pt idx="33">
                  <c:v>46104</c:v>
                </c:pt>
                <c:pt idx="34">
                  <c:v>46105</c:v>
                </c:pt>
                <c:pt idx="35">
                  <c:v>46106</c:v>
                </c:pt>
                <c:pt idx="36">
                  <c:v>46107</c:v>
                </c:pt>
                <c:pt idx="37">
                  <c:v>46108</c:v>
                </c:pt>
                <c:pt idx="38">
                  <c:v>46111</c:v>
                </c:pt>
                <c:pt idx="39">
                  <c:v>46112</c:v>
                </c:pt>
                <c:pt idx="40">
                  <c:v>46113</c:v>
                </c:pt>
                <c:pt idx="41">
                  <c:v>46114</c:v>
                </c:pt>
                <c:pt idx="42">
                  <c:v>46115</c:v>
                </c:pt>
              </c:numCache>
            </c:numRef>
          </c:cat>
          <c:val>
            <c:numRef>
              <c:f>CASE_02_02!$D$21:$D$63</c:f>
              <c:numCache>
                <c:formatCode>_-* #,##0_-;\-* #,##0_-;_-* "-"_-;_-@_-</c:formatCode>
                <c:ptCount val="43"/>
                <c:pt idx="0">
                  <c:v>145845</c:v>
                </c:pt>
                <c:pt idx="1">
                  <c:v>147445</c:v>
                </c:pt>
                <c:pt idx="2">
                  <c:v>148060</c:v>
                </c:pt>
                <c:pt idx="3">
                  <c:v>149490</c:v>
                </c:pt>
                <c:pt idx="4">
                  <c:v>150895</c:v>
                </c:pt>
                <c:pt idx="5">
                  <c:v>151920</c:v>
                </c:pt>
                <c:pt idx="6">
                  <c:v>152900</c:v>
                </c:pt>
                <c:pt idx="7">
                  <c:v>154280</c:v>
                </c:pt>
                <c:pt idx="8">
                  <c:v>155690</c:v>
                </c:pt>
                <c:pt idx="9">
                  <c:v>157065</c:v>
                </c:pt>
                <c:pt idx="10">
                  <c:v>158800</c:v>
                </c:pt>
                <c:pt idx="11">
                  <c:v>160415</c:v>
                </c:pt>
                <c:pt idx="12">
                  <c:v>162450</c:v>
                </c:pt>
                <c:pt idx="13">
                  <c:v>164695</c:v>
                </c:pt>
                <c:pt idx="14">
                  <c:v>166870</c:v>
                </c:pt>
                <c:pt idx="15">
                  <c:v>169255</c:v>
                </c:pt>
                <c:pt idx="16">
                  <c:v>171825</c:v>
                </c:pt>
                <c:pt idx="17">
                  <c:v>175120</c:v>
                </c:pt>
                <c:pt idx="18">
                  <c:v>177970</c:v>
                </c:pt>
                <c:pt idx="19">
                  <c:v>179605</c:v>
                </c:pt>
                <c:pt idx="20">
                  <c:v>180180</c:v>
                </c:pt>
                <c:pt idx="21">
                  <c:v>181735</c:v>
                </c:pt>
                <c:pt idx="22">
                  <c:v>183625</c:v>
                </c:pt>
                <c:pt idx="23">
                  <c:v>183925</c:v>
                </c:pt>
                <c:pt idx="24">
                  <c:v>184865</c:v>
                </c:pt>
                <c:pt idx="25">
                  <c:v>186400</c:v>
                </c:pt>
                <c:pt idx="26">
                  <c:v>187865</c:v>
                </c:pt>
                <c:pt idx="27">
                  <c:v>188720</c:v>
                </c:pt>
                <c:pt idx="28">
                  <c:v>189865</c:v>
                </c:pt>
                <c:pt idx="29">
                  <c:v>191170</c:v>
                </c:pt>
                <c:pt idx="30">
                  <c:v>192665</c:v>
                </c:pt>
                <c:pt idx="31">
                  <c:v>193630</c:v>
                </c:pt>
                <c:pt idx="32">
                  <c:v>194100</c:v>
                </c:pt>
                <c:pt idx="33">
                  <c:v>193910</c:v>
                </c:pt>
                <c:pt idx="34">
                  <c:v>193745</c:v>
                </c:pt>
                <c:pt idx="35">
                  <c:v>193195</c:v>
                </c:pt>
                <c:pt idx="36">
                  <c:v>192025</c:v>
                </c:pt>
                <c:pt idx="37">
                  <c:v>190110</c:v>
                </c:pt>
                <c:pt idx="38">
                  <c:v>188100</c:v>
                </c:pt>
                <c:pt idx="39">
                  <c:v>186705</c:v>
                </c:pt>
                <c:pt idx="40">
                  <c:v>187575</c:v>
                </c:pt>
                <c:pt idx="41">
                  <c:v>186915</c:v>
                </c:pt>
                <c:pt idx="42">
                  <c:v>186815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20-4D55-9C07-C578648B0002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CASE_02_02!$B$21:$B$63</c:f>
              <c:numCache>
                <c:formatCode>m/d/yy</c:formatCode>
                <c:ptCount val="43"/>
                <c:pt idx="0">
                  <c:v>46051</c:v>
                </c:pt>
                <c:pt idx="1">
                  <c:v>46052</c:v>
                </c:pt>
                <c:pt idx="2">
                  <c:v>46055</c:v>
                </c:pt>
                <c:pt idx="3">
                  <c:v>46056</c:v>
                </c:pt>
                <c:pt idx="4">
                  <c:v>46057</c:v>
                </c:pt>
                <c:pt idx="5">
                  <c:v>46058</c:v>
                </c:pt>
                <c:pt idx="6">
                  <c:v>46059</c:v>
                </c:pt>
                <c:pt idx="7">
                  <c:v>46062</c:v>
                </c:pt>
                <c:pt idx="8">
                  <c:v>46063</c:v>
                </c:pt>
                <c:pt idx="9">
                  <c:v>46064</c:v>
                </c:pt>
                <c:pt idx="10">
                  <c:v>46065</c:v>
                </c:pt>
                <c:pt idx="11">
                  <c:v>46066</c:v>
                </c:pt>
                <c:pt idx="12">
                  <c:v>46072</c:v>
                </c:pt>
                <c:pt idx="13">
                  <c:v>46073</c:v>
                </c:pt>
                <c:pt idx="14">
                  <c:v>46076</c:v>
                </c:pt>
                <c:pt idx="15">
                  <c:v>46077</c:v>
                </c:pt>
                <c:pt idx="16">
                  <c:v>46078</c:v>
                </c:pt>
                <c:pt idx="17">
                  <c:v>46079</c:v>
                </c:pt>
                <c:pt idx="18">
                  <c:v>46080</c:v>
                </c:pt>
                <c:pt idx="19">
                  <c:v>46084</c:v>
                </c:pt>
                <c:pt idx="20">
                  <c:v>46085</c:v>
                </c:pt>
                <c:pt idx="21">
                  <c:v>46086</c:v>
                </c:pt>
                <c:pt idx="22">
                  <c:v>46087</c:v>
                </c:pt>
                <c:pt idx="23">
                  <c:v>46090</c:v>
                </c:pt>
                <c:pt idx="24">
                  <c:v>46091</c:v>
                </c:pt>
                <c:pt idx="25">
                  <c:v>46092</c:v>
                </c:pt>
                <c:pt idx="26">
                  <c:v>46093</c:v>
                </c:pt>
                <c:pt idx="27">
                  <c:v>46094</c:v>
                </c:pt>
                <c:pt idx="28">
                  <c:v>46097</c:v>
                </c:pt>
                <c:pt idx="29">
                  <c:v>46098</c:v>
                </c:pt>
                <c:pt idx="30">
                  <c:v>46099</c:v>
                </c:pt>
                <c:pt idx="31">
                  <c:v>46100</c:v>
                </c:pt>
                <c:pt idx="32">
                  <c:v>46101</c:v>
                </c:pt>
                <c:pt idx="33">
                  <c:v>46104</c:v>
                </c:pt>
                <c:pt idx="34">
                  <c:v>46105</c:v>
                </c:pt>
                <c:pt idx="35">
                  <c:v>46106</c:v>
                </c:pt>
                <c:pt idx="36">
                  <c:v>46107</c:v>
                </c:pt>
                <c:pt idx="37">
                  <c:v>46108</c:v>
                </c:pt>
                <c:pt idx="38">
                  <c:v>46111</c:v>
                </c:pt>
                <c:pt idx="39">
                  <c:v>46112</c:v>
                </c:pt>
                <c:pt idx="40">
                  <c:v>46113</c:v>
                </c:pt>
                <c:pt idx="41">
                  <c:v>46114</c:v>
                </c:pt>
                <c:pt idx="42">
                  <c:v>46115</c:v>
                </c:pt>
              </c:numCache>
            </c:numRef>
          </c:cat>
          <c:val>
            <c:numRef>
              <c:f>CASE_02_02!$F$21:$F$63</c:f>
              <c:numCache>
                <c:formatCode>_-* #,##0_-;\-* #,##0_-;_-* "-"_-;_-@_-</c:formatCode>
                <c:ptCount val="43"/>
                <c:pt idx="0">
                  <c:v>163265.27267295204</c:v>
                </c:pt>
                <c:pt idx="1">
                  <c:v>164058.54567815069</c:v>
                </c:pt>
                <c:pt idx="2">
                  <c:v>164146.56582369277</c:v>
                </c:pt>
                <c:pt idx="3">
                  <c:v>167079.75838378686</c:v>
                </c:pt>
                <c:pt idx="4">
                  <c:v>169973.72899330562</c:v>
                </c:pt>
                <c:pt idx="5">
                  <c:v>170485.19323896198</c:v>
                </c:pt>
                <c:pt idx="6">
                  <c:v>170686.62418785531</c:v>
                </c:pt>
                <c:pt idx="7">
                  <c:v>171756.68160721596</c:v>
                </c:pt>
                <c:pt idx="8">
                  <c:v>172072.29532147435</c:v>
                </c:pt>
                <c:pt idx="9">
                  <c:v>172646.30610699888</c:v>
                </c:pt>
                <c:pt idx="10">
                  <c:v>175794.82274105854</c:v>
                </c:pt>
                <c:pt idx="11">
                  <c:v>179366.01844228958</c:v>
                </c:pt>
                <c:pt idx="12">
                  <c:v>184651.84677003245</c:v>
                </c:pt>
                <c:pt idx="13">
                  <c:v>188488.98873665364</c:v>
                </c:pt>
                <c:pt idx="14">
                  <c:v>192585.52838267182</c:v>
                </c:pt>
                <c:pt idx="15">
                  <c:v>197813.67468913778</c:v>
                </c:pt>
                <c:pt idx="16">
                  <c:v>202887.25201108251</c:v>
                </c:pt>
                <c:pt idx="17">
                  <c:v>210757.71036416342</c:v>
                </c:pt>
                <c:pt idx="18">
                  <c:v>217100.81138949204</c:v>
                </c:pt>
                <c:pt idx="19">
                  <c:v>218729.54344781546</c:v>
                </c:pt>
                <c:pt idx="20">
                  <c:v>218506.15816906255</c:v>
                </c:pt>
                <c:pt idx="21">
                  <c:v>219256.26197238039</c:v>
                </c:pt>
                <c:pt idx="22">
                  <c:v>218345.87988516421</c:v>
                </c:pt>
                <c:pt idx="23">
                  <c:v>218184.00611518088</c:v>
                </c:pt>
                <c:pt idx="24">
                  <c:v>218470.78967975607</c:v>
                </c:pt>
                <c:pt idx="25">
                  <c:v>217935.44038062572</c:v>
                </c:pt>
                <c:pt idx="26">
                  <c:v>216705.61545806538</c:v>
                </c:pt>
                <c:pt idx="27">
                  <c:v>215932.4677308031</c:v>
                </c:pt>
                <c:pt idx="28">
                  <c:v>214968.96582215646</c:v>
                </c:pt>
                <c:pt idx="29">
                  <c:v>214176.0948446276</c:v>
                </c:pt>
                <c:pt idx="30">
                  <c:v>216091.58959387816</c:v>
                </c:pt>
                <c:pt idx="31">
                  <c:v>216674.92134939932</c:v>
                </c:pt>
                <c:pt idx="32">
                  <c:v>217212.94009856816</c:v>
                </c:pt>
                <c:pt idx="33">
                  <c:v>217213.03842849683</c:v>
                </c:pt>
                <c:pt idx="34">
                  <c:v>217118.1020619857</c:v>
                </c:pt>
                <c:pt idx="35">
                  <c:v>216470.95110838654</c:v>
                </c:pt>
                <c:pt idx="36">
                  <c:v>215463.24865470966</c:v>
                </c:pt>
                <c:pt idx="37">
                  <c:v>210849.4213998366</c:v>
                </c:pt>
                <c:pt idx="38">
                  <c:v>205786.71818060096</c:v>
                </c:pt>
                <c:pt idx="39">
                  <c:v>206265.10991789156</c:v>
                </c:pt>
                <c:pt idx="40">
                  <c:v>205991.50075340047</c:v>
                </c:pt>
                <c:pt idx="41">
                  <c:v>205650.55710407352</c:v>
                </c:pt>
                <c:pt idx="42">
                  <c:v>205543.40356250366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20-4D55-9C07-C578648B0002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CASE_02_02!$B$21:$B$63</c:f>
              <c:numCache>
                <c:formatCode>m/d/yy</c:formatCode>
                <c:ptCount val="43"/>
                <c:pt idx="0">
                  <c:v>46051</c:v>
                </c:pt>
                <c:pt idx="1">
                  <c:v>46052</c:v>
                </c:pt>
                <c:pt idx="2">
                  <c:v>46055</c:v>
                </c:pt>
                <c:pt idx="3">
                  <c:v>46056</c:v>
                </c:pt>
                <c:pt idx="4">
                  <c:v>46057</c:v>
                </c:pt>
                <c:pt idx="5">
                  <c:v>46058</c:v>
                </c:pt>
                <c:pt idx="6">
                  <c:v>46059</c:v>
                </c:pt>
                <c:pt idx="7">
                  <c:v>46062</c:v>
                </c:pt>
                <c:pt idx="8">
                  <c:v>46063</c:v>
                </c:pt>
                <c:pt idx="9">
                  <c:v>46064</c:v>
                </c:pt>
                <c:pt idx="10">
                  <c:v>46065</c:v>
                </c:pt>
                <c:pt idx="11">
                  <c:v>46066</c:v>
                </c:pt>
                <c:pt idx="12">
                  <c:v>46072</c:v>
                </c:pt>
                <c:pt idx="13">
                  <c:v>46073</c:v>
                </c:pt>
                <c:pt idx="14">
                  <c:v>46076</c:v>
                </c:pt>
                <c:pt idx="15">
                  <c:v>46077</c:v>
                </c:pt>
                <c:pt idx="16">
                  <c:v>46078</c:v>
                </c:pt>
                <c:pt idx="17">
                  <c:v>46079</c:v>
                </c:pt>
                <c:pt idx="18">
                  <c:v>46080</c:v>
                </c:pt>
                <c:pt idx="19">
                  <c:v>46084</c:v>
                </c:pt>
                <c:pt idx="20">
                  <c:v>46085</c:v>
                </c:pt>
                <c:pt idx="21">
                  <c:v>46086</c:v>
                </c:pt>
                <c:pt idx="22">
                  <c:v>46087</c:v>
                </c:pt>
                <c:pt idx="23">
                  <c:v>46090</c:v>
                </c:pt>
                <c:pt idx="24">
                  <c:v>46091</c:v>
                </c:pt>
                <c:pt idx="25">
                  <c:v>46092</c:v>
                </c:pt>
                <c:pt idx="26">
                  <c:v>46093</c:v>
                </c:pt>
                <c:pt idx="27">
                  <c:v>46094</c:v>
                </c:pt>
                <c:pt idx="28">
                  <c:v>46097</c:v>
                </c:pt>
                <c:pt idx="29">
                  <c:v>46098</c:v>
                </c:pt>
                <c:pt idx="30">
                  <c:v>46099</c:v>
                </c:pt>
                <c:pt idx="31">
                  <c:v>46100</c:v>
                </c:pt>
                <c:pt idx="32">
                  <c:v>46101</c:v>
                </c:pt>
                <c:pt idx="33">
                  <c:v>46104</c:v>
                </c:pt>
                <c:pt idx="34">
                  <c:v>46105</c:v>
                </c:pt>
                <c:pt idx="35">
                  <c:v>46106</c:v>
                </c:pt>
                <c:pt idx="36">
                  <c:v>46107</c:v>
                </c:pt>
                <c:pt idx="37">
                  <c:v>46108</c:v>
                </c:pt>
                <c:pt idx="38">
                  <c:v>46111</c:v>
                </c:pt>
                <c:pt idx="39">
                  <c:v>46112</c:v>
                </c:pt>
                <c:pt idx="40">
                  <c:v>46113</c:v>
                </c:pt>
                <c:pt idx="41">
                  <c:v>46114</c:v>
                </c:pt>
                <c:pt idx="42">
                  <c:v>46115</c:v>
                </c:pt>
              </c:numCache>
            </c:numRef>
          </c:cat>
          <c:val>
            <c:numRef>
              <c:f>CASE_02_02!$G$21:$G$63</c:f>
              <c:numCache>
                <c:formatCode>_-* #,##0_-;\-* #,##0_-;_-* "-"_-;_-@_-</c:formatCode>
                <c:ptCount val="43"/>
                <c:pt idx="0">
                  <c:v>128424.72732704795</c:v>
                </c:pt>
                <c:pt idx="1">
                  <c:v>130831.45432184929</c:v>
                </c:pt>
                <c:pt idx="2">
                  <c:v>131973.43417630723</c:v>
                </c:pt>
                <c:pt idx="3">
                  <c:v>131900.24161621314</c:v>
                </c:pt>
                <c:pt idx="4">
                  <c:v>131816.27100669438</c:v>
                </c:pt>
                <c:pt idx="5">
                  <c:v>133354.80676103802</c:v>
                </c:pt>
                <c:pt idx="6">
                  <c:v>135113.37581214469</c:v>
                </c:pt>
                <c:pt idx="7">
                  <c:v>136803.31839278404</c:v>
                </c:pt>
                <c:pt idx="8">
                  <c:v>139307.70467852565</c:v>
                </c:pt>
                <c:pt idx="9">
                  <c:v>141483.69389300112</c:v>
                </c:pt>
                <c:pt idx="10">
                  <c:v>141805.17725894146</c:v>
                </c:pt>
                <c:pt idx="11">
                  <c:v>141463.98155771042</c:v>
                </c:pt>
                <c:pt idx="12">
                  <c:v>140248.15322996755</c:v>
                </c:pt>
                <c:pt idx="13">
                  <c:v>140901.01126334636</c:v>
                </c:pt>
                <c:pt idx="14">
                  <c:v>141154.47161732818</c:v>
                </c:pt>
                <c:pt idx="15">
                  <c:v>140696.32531086222</c:v>
                </c:pt>
                <c:pt idx="16">
                  <c:v>140762.74798891749</c:v>
                </c:pt>
                <c:pt idx="17">
                  <c:v>139482.28963583658</c:v>
                </c:pt>
                <c:pt idx="18">
                  <c:v>138839.18861050796</c:v>
                </c:pt>
                <c:pt idx="19">
                  <c:v>140480.45655218454</c:v>
                </c:pt>
                <c:pt idx="20">
                  <c:v>141853.84183093745</c:v>
                </c:pt>
                <c:pt idx="21">
                  <c:v>144213.73802761961</c:v>
                </c:pt>
                <c:pt idx="22">
                  <c:v>148904.12011483579</c:v>
                </c:pt>
                <c:pt idx="23">
                  <c:v>149665.99388481912</c:v>
                </c:pt>
                <c:pt idx="24">
                  <c:v>151259.21032024393</c:v>
                </c:pt>
                <c:pt idx="25">
                  <c:v>154864.55961937428</c:v>
                </c:pt>
                <c:pt idx="26">
                  <c:v>159024.38454193462</c:v>
                </c:pt>
                <c:pt idx="27">
                  <c:v>161507.5322691969</c:v>
                </c:pt>
                <c:pt idx="28">
                  <c:v>164761.03417784354</c:v>
                </c:pt>
                <c:pt idx="29">
                  <c:v>168163.9051553724</c:v>
                </c:pt>
                <c:pt idx="30">
                  <c:v>169238.41040612184</c:v>
                </c:pt>
                <c:pt idx="31">
                  <c:v>170585.07865060068</c:v>
                </c:pt>
                <c:pt idx="32">
                  <c:v>170987.05990143184</c:v>
                </c:pt>
                <c:pt idx="33">
                  <c:v>170606.96157150317</c:v>
                </c:pt>
                <c:pt idx="34">
                  <c:v>170371.8979380143</c:v>
                </c:pt>
                <c:pt idx="35">
                  <c:v>169919.04889161346</c:v>
                </c:pt>
                <c:pt idx="36">
                  <c:v>168586.75134529034</c:v>
                </c:pt>
                <c:pt idx="37">
                  <c:v>169370.5786001634</c:v>
                </c:pt>
                <c:pt idx="38">
                  <c:v>170413.28181939904</c:v>
                </c:pt>
                <c:pt idx="39">
                  <c:v>167144.89008210844</c:v>
                </c:pt>
                <c:pt idx="40">
                  <c:v>169158.49924659953</c:v>
                </c:pt>
                <c:pt idx="41">
                  <c:v>168179.44289592648</c:v>
                </c:pt>
                <c:pt idx="42">
                  <c:v>168086.59643749634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20-4D55-9C07-C578648B0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076048"/>
        <c:axId val="14186767"/>
      </c:lineChart>
      <c:dateAx>
        <c:axId val="110107604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86767"/>
        <c:crosses val="autoZero"/>
        <c:auto val="1"/>
        <c:lblOffset val="100"/>
        <c:baseTimeUnit val="days"/>
      </c:dateAx>
      <c:valAx>
        <c:axId val="14186767"/>
        <c:scaling>
          <c:orientation val="minMax"/>
          <c:min val="1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107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342900</xdr:colOff>
      <xdr:row>18</xdr:row>
      <xdr:rowOff>22860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E151D3F-A71C-4BC2-8346-4071596BE2F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배현진" refreshedDate="46115.659988310188" createdVersion="8" refreshedVersion="8" minRefreshableVersion="3" recordCount="1770" xr:uid="{2F98F03A-9552-4B07-A655-FBCCEF79E72F}">
  <cacheSource type="worksheet">
    <worksheetSource name="테이블"/>
  </cacheSource>
  <cacheFields count="16">
    <cacheField name="열1" numFmtId="0">
      <sharedItems/>
    </cacheField>
    <cacheField name="basDt" numFmtId="0">
      <sharedItems containsSemiMixedTypes="0" containsString="0" containsNumber="1" containsInteger="1" minValue="20260102" maxValue="20260331" count="59">
        <n v="20260331"/>
        <n v="20260330"/>
        <n v="20260327"/>
        <n v="20260326"/>
        <n v="20260325"/>
        <n v="20260324"/>
        <n v="20260323"/>
        <n v="20260320"/>
        <n v="20260319"/>
        <n v="20260318"/>
        <n v="20260317"/>
        <n v="20260316"/>
        <n v="20260313"/>
        <n v="20260312"/>
        <n v="20260311"/>
        <n v="20260310"/>
        <n v="20260309"/>
        <n v="20260306"/>
        <n v="20260305"/>
        <n v="20260304"/>
        <n v="20260303"/>
        <n v="20260227"/>
        <n v="20260226"/>
        <n v="20260225"/>
        <n v="20260224"/>
        <n v="20260223"/>
        <n v="20260220"/>
        <n v="20260219"/>
        <n v="20260213"/>
        <n v="20260212"/>
        <n v="20260211"/>
        <n v="20260210"/>
        <n v="20260209"/>
        <n v="20260206"/>
        <n v="20260205"/>
        <n v="20260204"/>
        <n v="20260203"/>
        <n v="20260202"/>
        <n v="20260130"/>
        <n v="20260129"/>
        <n v="20260128"/>
        <n v="20260127"/>
        <n v="20260126"/>
        <n v="20260123"/>
        <n v="20260122"/>
        <n v="20260121"/>
        <n v="20260120"/>
        <n v="20260119"/>
        <n v="20260116"/>
        <n v="20260115"/>
        <n v="20260114"/>
        <n v="20260113"/>
        <n v="20260112"/>
        <n v="20260109"/>
        <n v="20260108"/>
        <n v="20260107"/>
        <n v="20260106"/>
        <n v="20260105"/>
        <n v="20260102"/>
      </sharedItems>
    </cacheField>
    <cacheField name="srtnCd" numFmtId="0">
      <sharedItems containsSemiMixedTypes="0" containsString="0" containsNumber="1" containsInteger="1" minValue="270" maxValue="402340"/>
    </cacheField>
    <cacheField name="isinCd" numFmtId="0">
      <sharedItems/>
    </cacheField>
    <cacheField name="itmsNm" numFmtId="0">
      <sharedItems count="30">
        <s v="삼성전자"/>
        <s v="SK하이닉스"/>
        <s v="현대차"/>
        <s v="LG에너지솔루션"/>
        <s v="한화에어로스페이스"/>
        <s v="삼성바이오로직스"/>
        <s v="SK스퀘어"/>
        <s v="두산에너빌리티"/>
        <s v="기아"/>
        <s v="KB금융"/>
        <s v="HD현대중공업"/>
        <s v="셀트리온"/>
        <s v="삼성생명"/>
        <s v="신한지주"/>
        <s v="삼성물산"/>
        <s v="한화오션"/>
        <s v="삼성SDI"/>
        <s v="현대모비스"/>
        <s v="미래에셋증권"/>
        <s v="삼성전기"/>
        <s v="HD현대일렉트릭"/>
        <s v="NAVER"/>
        <s v="고려아연"/>
        <s v="하나금융지주"/>
        <s v="POSCO홀딩스"/>
        <s v="HD한국조선해양"/>
        <s v="한국전력"/>
        <s v="한화시스템"/>
        <s v="한미반도체"/>
        <s v="삼성중공업"/>
      </sharedItems>
    </cacheField>
    <cacheField name="mrktCtg" numFmtId="0">
      <sharedItems/>
    </cacheField>
    <cacheField name="clpr" numFmtId="0">
      <sharedItems containsSemiMixedTypes="0" containsString="0" containsNumber="1" containsInteger="1" minValue="23500" maxValue="2115000"/>
    </cacheField>
    <cacheField name="vs" numFmtId="0">
      <sharedItems containsSemiMixedTypes="0" containsString="0" containsNumber="1" containsInteger="1" minValue="-351000" maxValue="244000"/>
    </cacheField>
    <cacheField name="fltRt" numFmtId="0">
      <sharedItems containsSemiMixedTypes="0" containsString="0" containsNumber="1" minValue="-20.93" maxValue="30"/>
    </cacheField>
    <cacheField name="mkp" numFmtId="0">
      <sharedItems containsSemiMixedTypes="0" containsString="0" containsNumber="1" containsInteger="1" minValue="23300" maxValue="2085000"/>
    </cacheField>
    <cacheField name="hipr" numFmtId="0">
      <sharedItems containsSemiMixedTypes="0" containsString="0" containsNumber="1" containsInteger="1" minValue="24300" maxValue="2188000"/>
    </cacheField>
    <cacheField name="lopr" numFmtId="0">
      <sharedItems containsSemiMixedTypes="0" containsString="0" containsNumber="1" containsInteger="1" minValue="22600" maxValue="2017000"/>
    </cacheField>
    <cacheField name="trqu" numFmtId="0">
      <sharedItems containsSemiMixedTypes="0" containsString="0" containsNumber="1" containsInteger="1" minValue="16078" maxValue="89427954"/>
    </cacheField>
    <cacheField name="trPrc" numFmtId="0">
      <sharedItems containsSemiMixedTypes="0" containsString="0" containsNumber="1" containsInteger="1" minValue="24914465000" maxValue="16229744915194"/>
    </cacheField>
    <cacheField name="lstgStCnt" numFmtId="0">
      <sharedItems containsSemiMixedTypes="0" containsString="0" containsNumber="1" containsInteger="1" minValue="18663253" maxValue="5919637922"/>
    </cacheField>
    <cacheField name="mrktTotAmt" numFmtId="0">
      <sharedItems containsSemiMixedTypes="0" containsString="0" containsNumber="1" containsInteger="1" minValue="10447242211700" maxValue="129048106699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0">
  <r>
    <s v="삼성전자"/>
    <x v="0"/>
    <n v="5930"/>
    <s v="KR7005930003"/>
    <x v="0"/>
    <s v="KOSPI"/>
    <n v="167200"/>
    <n v="-9100"/>
    <n v="-5.16"/>
    <n v="170000"/>
    <n v="174700"/>
    <n v="167000"/>
    <n v="38659593"/>
    <n v="6548712356756"/>
    <n v="5919637922"/>
    <n v="989763460558400"/>
  </r>
  <r>
    <s v="삼성전자"/>
    <x v="1"/>
    <n v="5930"/>
    <s v="KR7005930003"/>
    <x v="0"/>
    <s v="KOSPI"/>
    <n v="176300"/>
    <n v="-3400"/>
    <n v="-1.89"/>
    <n v="171000"/>
    <n v="176650"/>
    <n v="170600"/>
    <n v="22269147"/>
    <n v="3880271308850"/>
    <n v="5919637922"/>
    <n v="1043632165648600"/>
  </r>
  <r>
    <s v="삼성전자"/>
    <x v="2"/>
    <n v="5930"/>
    <s v="KR7005930003"/>
    <x v="0"/>
    <s v="KOSPI"/>
    <n v="179700"/>
    <n v="-400"/>
    <n v="-0.22"/>
    <n v="172100"/>
    <n v="181700"/>
    <n v="172000"/>
    <n v="29138966"/>
    <n v="5118700219500"/>
    <n v="5919637922"/>
    <n v="1063758934583400"/>
  </r>
  <r>
    <s v="삼성전자"/>
    <x v="3"/>
    <n v="5930"/>
    <s v="KR7005930003"/>
    <x v="0"/>
    <s v="KOSPI"/>
    <n v="180100"/>
    <n v="-8900"/>
    <n v="-4.71"/>
    <n v="185500"/>
    <n v="185900"/>
    <n v="178900"/>
    <n v="32074131"/>
    <n v="5841688287442"/>
    <n v="5919637922"/>
    <n v="1066126789752200"/>
  </r>
  <r>
    <s v="삼성전자"/>
    <x v="4"/>
    <n v="5930"/>
    <s v="KR7005930003"/>
    <x v="0"/>
    <s v="KOSPI"/>
    <n v="189000"/>
    <n v="-700"/>
    <n v="-0.37"/>
    <n v="193700"/>
    <n v="196400"/>
    <n v="189000"/>
    <n v="22995904"/>
    <n v="4435819603528"/>
    <n v="5919637922"/>
    <n v="1118811567258000"/>
  </r>
  <r>
    <s v="삼성전자"/>
    <x v="5"/>
    <n v="5930"/>
    <s v="KR7005930003"/>
    <x v="0"/>
    <s v="KOSPI"/>
    <n v="189700"/>
    <n v="3400"/>
    <n v="1.83"/>
    <n v="195500"/>
    <n v="196000"/>
    <n v="185500"/>
    <n v="25458914"/>
    <n v="4835356609343"/>
    <n v="5919637922"/>
    <n v="1122955313803400"/>
  </r>
  <r>
    <s v="삼성전자"/>
    <x v="6"/>
    <n v="5930"/>
    <s v="KR7005930003"/>
    <x v="0"/>
    <s v="KOSPI"/>
    <n v="186300"/>
    <n v="-13100"/>
    <n v="-6.57"/>
    <n v="190500"/>
    <n v="191200"/>
    <n v="186300"/>
    <n v="30268173"/>
    <n v="5706605720650"/>
    <n v="5919637922"/>
    <n v="1102828544868600"/>
  </r>
  <r>
    <s v="삼성전자"/>
    <x v="7"/>
    <n v="5930"/>
    <s v="KR7005930003"/>
    <x v="0"/>
    <s v="KOSPI"/>
    <n v="199400"/>
    <n v="-1100"/>
    <n v="-0.55000000000000004"/>
    <n v="202000"/>
    <n v="202500"/>
    <n v="199000"/>
    <n v="35279762"/>
    <n v="7019725077866"/>
    <n v="5919637922"/>
    <n v="1180375801646800"/>
  </r>
  <r>
    <s v="삼성전자"/>
    <x v="8"/>
    <n v="5930"/>
    <s v="KR7005930003"/>
    <x v="0"/>
    <s v="KOSPI"/>
    <n v="200500"/>
    <n v="-8000"/>
    <n v="-3.84"/>
    <n v="199900"/>
    <n v="205000"/>
    <n v="199600"/>
    <n v="19884483"/>
    <n v="4004086336015"/>
    <n v="5919637922"/>
    <n v="1186887403361000"/>
  </r>
  <r>
    <s v="삼성전자"/>
    <x v="9"/>
    <n v="5930"/>
    <s v="KR7005930003"/>
    <x v="0"/>
    <s v="KOSPI"/>
    <n v="208500"/>
    <n v="14600"/>
    <n v="7.53"/>
    <n v="200500"/>
    <n v="209000"/>
    <n v="199700"/>
    <n v="25148481"/>
    <n v="5153010769813"/>
    <n v="5919637922"/>
    <n v="1234244506737000"/>
  </r>
  <r>
    <s v="삼성전자"/>
    <x v="10"/>
    <n v="5930"/>
    <s v="KR7005930003"/>
    <x v="0"/>
    <s v="KOSPI"/>
    <n v="193900"/>
    <n v="5200"/>
    <n v="2.76"/>
    <n v="198000"/>
    <n v="198000"/>
    <n v="193100"/>
    <n v="20300082"/>
    <n v="3978920227090"/>
    <n v="5919637922"/>
    <n v="1147817793075800"/>
  </r>
  <r>
    <s v="삼성전자"/>
    <x v="11"/>
    <n v="5930"/>
    <s v="KR7005930003"/>
    <x v="0"/>
    <s v="KOSPI"/>
    <n v="188700"/>
    <n v="5200"/>
    <n v="2.83"/>
    <n v="184600"/>
    <n v="189000"/>
    <n v="183600"/>
    <n v="19747901"/>
    <n v="3683740429900"/>
    <n v="5919637922"/>
    <n v="1117035675881400"/>
  </r>
  <r>
    <s v="삼성전자"/>
    <x v="12"/>
    <n v="5930"/>
    <s v="KR7005930003"/>
    <x v="0"/>
    <s v="KOSPI"/>
    <n v="183500"/>
    <n v="-4400"/>
    <n v="-2.34"/>
    <n v="180000"/>
    <n v="186200"/>
    <n v="179900"/>
    <n v="19566331"/>
    <n v="3585430274050"/>
    <n v="5919637922"/>
    <n v="1086253558687000"/>
  </r>
  <r>
    <s v="삼성전자"/>
    <x v="13"/>
    <n v="5930"/>
    <s v="KR7005930003"/>
    <x v="0"/>
    <s v="KOSPI"/>
    <n v="187900"/>
    <n v="-2100"/>
    <n v="-1.1100000000000001"/>
    <n v="186600"/>
    <n v="190000"/>
    <n v="185900"/>
    <n v="20440753"/>
    <n v="3832551376350"/>
    <n v="5919637922"/>
    <n v="1112299965543800"/>
  </r>
  <r>
    <s v="삼성전자"/>
    <x v="14"/>
    <n v="5930"/>
    <s v="KR7005930003"/>
    <x v="0"/>
    <s v="KOSPI"/>
    <n v="190000"/>
    <n v="2100"/>
    <n v="1.1200000000000001"/>
    <n v="193000"/>
    <n v="194800"/>
    <n v="187700"/>
    <n v="24311356"/>
    <n v="4666941226006"/>
    <n v="5919637922"/>
    <n v="1124731205180000"/>
  </r>
  <r>
    <s v="삼성전자"/>
    <x v="15"/>
    <n v="5930"/>
    <s v="KR7005930003"/>
    <x v="0"/>
    <s v="KOSPI"/>
    <n v="187900"/>
    <n v="14400"/>
    <n v="8.3000000000000007"/>
    <n v="187600"/>
    <n v="191500"/>
    <n v="184300"/>
    <n v="33530170"/>
    <n v="6302732324178"/>
    <n v="5919637922"/>
    <n v="1112299965543800"/>
  </r>
  <r>
    <s v="삼성전자"/>
    <x v="16"/>
    <n v="5930"/>
    <s v="KR7005930003"/>
    <x v="0"/>
    <s v="KOSPI"/>
    <n v="173500"/>
    <n v="-14700"/>
    <n v="-7.81"/>
    <n v="173500"/>
    <n v="175500"/>
    <n v="167300"/>
    <n v="43066020"/>
    <n v="7376525851300"/>
    <n v="5919637922"/>
    <n v="1027057179467000"/>
  </r>
  <r>
    <s v="삼성전자"/>
    <x v="17"/>
    <n v="5930"/>
    <s v="KR7005930003"/>
    <x v="0"/>
    <s v="KOSPI"/>
    <n v="188200"/>
    <n v="-3400"/>
    <n v="-1.77"/>
    <n v="186100"/>
    <n v="189700"/>
    <n v="181000"/>
    <n v="29522650"/>
    <n v="5496089060945"/>
    <n v="5919637922"/>
    <n v="1114075856920400"/>
  </r>
  <r>
    <s v="삼성전자"/>
    <x v="18"/>
    <n v="5930"/>
    <s v="KR7005930003"/>
    <x v="0"/>
    <s v="KOSPI"/>
    <n v="191600"/>
    <n v="19400"/>
    <n v="11.27"/>
    <n v="195000"/>
    <n v="199700"/>
    <n v="188100"/>
    <n v="53959129"/>
    <n v="10462445865266"/>
    <n v="5919637922"/>
    <n v="1134202625855200"/>
  </r>
  <r>
    <s v="삼성전자"/>
    <x v="19"/>
    <n v="5930"/>
    <s v="KR7005930003"/>
    <x v="0"/>
    <s v="KOSPI"/>
    <n v="172200"/>
    <n v="-22900"/>
    <n v="-11.74"/>
    <n v="184200"/>
    <n v="195900"/>
    <n v="171900"/>
    <n v="89427954"/>
    <n v="16229744915194"/>
    <n v="5919637922"/>
    <n v="1019361650168400"/>
  </r>
  <r>
    <s v="삼성전자"/>
    <x v="20"/>
    <n v="5930"/>
    <s v="KR7005930003"/>
    <x v="0"/>
    <s v="KOSPI"/>
    <n v="195100"/>
    <n v="-21400"/>
    <n v="-9.8800000000000008"/>
    <n v="209500"/>
    <n v="212500"/>
    <n v="195100"/>
    <n v="54879010"/>
    <n v="11170451485750"/>
    <n v="5919637922"/>
    <n v="1154921358582200"/>
  </r>
  <r>
    <s v="삼성전자"/>
    <x v="21"/>
    <n v="5930"/>
    <s v="KR7005930003"/>
    <x v="0"/>
    <s v="KOSPI"/>
    <n v="216500"/>
    <n v="-1500"/>
    <n v="-0.69"/>
    <n v="210000"/>
    <n v="223000"/>
    <n v="210000"/>
    <n v="51774768"/>
    <n v="11194972800735"/>
    <n v="5919637922"/>
    <n v="1281601610113000"/>
  </r>
  <r>
    <s v="삼성전자"/>
    <x v="22"/>
    <n v="5930"/>
    <s v="KR7005930003"/>
    <x v="0"/>
    <s v="KOSPI"/>
    <n v="218000"/>
    <n v="14500"/>
    <n v="7.13"/>
    <n v="206500"/>
    <n v="219000"/>
    <n v="206000"/>
    <n v="30095763"/>
    <n v="6451865963088"/>
    <n v="5919637922"/>
    <n v="1290481066996000"/>
  </r>
  <r>
    <s v="삼성전자"/>
    <x v="23"/>
    <n v="5930"/>
    <s v="KR7005930003"/>
    <x v="0"/>
    <s v="KOSPI"/>
    <n v="203500"/>
    <n v="3500"/>
    <n v="1.75"/>
    <n v="202500"/>
    <n v="206000"/>
    <n v="201000"/>
    <n v="26987996"/>
    <n v="5474225346566"/>
    <n v="5919637922"/>
    <n v="1204646317127000"/>
  </r>
  <r>
    <s v="삼성전자"/>
    <x v="24"/>
    <n v="5930"/>
    <s v="KR7005930003"/>
    <x v="0"/>
    <s v="KOSPI"/>
    <n v="200000"/>
    <n v="7000"/>
    <n v="3.63"/>
    <n v="193000"/>
    <n v="200000"/>
    <n v="192000"/>
    <n v="28060617"/>
    <n v="5538097526208"/>
    <n v="5919637922"/>
    <n v="1183927584400000"/>
  </r>
  <r>
    <s v="삼성전자"/>
    <x v="25"/>
    <n v="5930"/>
    <s v="KR7005930003"/>
    <x v="0"/>
    <s v="KOSPI"/>
    <n v="193000"/>
    <n v="2900"/>
    <n v="1.53"/>
    <n v="194400"/>
    <n v="197600"/>
    <n v="190500"/>
    <n v="26364684"/>
    <n v="5107749420482"/>
    <n v="5919637922"/>
    <n v="1142490118946000"/>
  </r>
  <r>
    <s v="삼성전자"/>
    <x v="26"/>
    <n v="5930"/>
    <s v="KR7005930003"/>
    <x v="0"/>
    <s v="KOSPI"/>
    <n v="190100"/>
    <n v="100"/>
    <n v="0.05"/>
    <n v="190000"/>
    <n v="190300"/>
    <n v="188600"/>
    <n v="24213880"/>
    <n v="4591033033030"/>
    <n v="5919637922"/>
    <n v="1125323168972200"/>
  </r>
  <r>
    <s v="삼성전자"/>
    <x v="27"/>
    <n v="5930"/>
    <s v="KR7005930003"/>
    <x v="0"/>
    <s v="KOSPI"/>
    <n v="190000"/>
    <n v="8800"/>
    <n v="4.8600000000000003"/>
    <n v="188000"/>
    <n v="190900"/>
    <n v="187100"/>
    <n v="27049388"/>
    <n v="5113213353551"/>
    <n v="5919637922"/>
    <n v="1124731205180000"/>
  </r>
  <r>
    <s v="삼성전자"/>
    <x v="28"/>
    <n v="5930"/>
    <s v="KR7005930003"/>
    <x v="0"/>
    <s v="KOSPI"/>
    <n v="181200"/>
    <n v="2600"/>
    <n v="1.46"/>
    <n v="179500"/>
    <n v="184400"/>
    <n v="178900"/>
    <n v="34454192"/>
    <n v="6257951155967"/>
    <n v="5919637922"/>
    <n v="1072638391466400"/>
  </r>
  <r>
    <s v="삼성전자"/>
    <x v="29"/>
    <n v="5930"/>
    <s v="KR7005930003"/>
    <x v="0"/>
    <s v="KOSPI"/>
    <n v="178600"/>
    <n v="10800"/>
    <n v="6.44"/>
    <n v="171200"/>
    <n v="179600"/>
    <n v="170100"/>
    <n v="41296011"/>
    <n v="7278300418200"/>
    <n v="5919637922"/>
    <n v="1057247332869200"/>
  </r>
  <r>
    <s v="삼성전자"/>
    <x v="30"/>
    <n v="5930"/>
    <s v="KR7005930003"/>
    <x v="0"/>
    <s v="KOSPI"/>
    <n v="167800"/>
    <n v="2000"/>
    <n v="1.21"/>
    <n v="164000"/>
    <n v="168600"/>
    <n v="162000"/>
    <n v="22760242"/>
    <n v="3780778982422"/>
    <n v="5919637922"/>
    <n v="993315243311600"/>
  </r>
  <r>
    <s v="삼성전자"/>
    <x v="31"/>
    <n v="5930"/>
    <s v="KR7005930003"/>
    <x v="0"/>
    <s v="KOSPI"/>
    <n v="165800"/>
    <n v="-600"/>
    <n v="-0.36"/>
    <n v="167400"/>
    <n v="168100"/>
    <n v="165500"/>
    <n v="19369566"/>
    <n v="3230969169642"/>
    <n v="5919637922"/>
    <n v="981475967467600"/>
  </r>
  <r>
    <s v="삼성전자"/>
    <x v="32"/>
    <n v="5930"/>
    <s v="KR7005930003"/>
    <x v="0"/>
    <s v="KOSPI"/>
    <n v="166400"/>
    <n v="7800"/>
    <n v="4.92"/>
    <n v="168600"/>
    <n v="168700"/>
    <n v="165000"/>
    <n v="25098971"/>
    <n v="4192595399422"/>
    <n v="5919637922"/>
    <n v="985027750220800"/>
  </r>
  <r>
    <s v="삼성전자"/>
    <x v="33"/>
    <n v="5930"/>
    <s v="KR7005930003"/>
    <x v="0"/>
    <s v="KOSPI"/>
    <n v="158600"/>
    <n v="-700"/>
    <n v="-0.44"/>
    <n v="154100"/>
    <n v="160300"/>
    <n v="151600"/>
    <n v="36358081"/>
    <n v="5664674804196"/>
    <n v="5919637922"/>
    <n v="938854574429200"/>
  </r>
  <r>
    <s v="삼성전자"/>
    <x v="34"/>
    <n v="5930"/>
    <s v="KR7005930003"/>
    <x v="0"/>
    <s v="KOSPI"/>
    <n v="159300"/>
    <n v="-9800"/>
    <n v="-5.8"/>
    <n v="162000"/>
    <n v="164000"/>
    <n v="158500"/>
    <n v="38435228"/>
    <n v="6197185062736"/>
    <n v="5919637922"/>
    <n v="942998320974600"/>
  </r>
  <r>
    <s v="삼성전자"/>
    <x v="35"/>
    <n v="5930"/>
    <s v="KR7005930003"/>
    <x v="0"/>
    <s v="KOSPI"/>
    <n v="169100"/>
    <n v="1600"/>
    <n v="0.96"/>
    <n v="163500"/>
    <n v="169400"/>
    <n v="163100"/>
    <n v="29943042"/>
    <n v="4988144010160"/>
    <n v="5919637922"/>
    <n v="1001010772610200"/>
  </r>
  <r>
    <s v="삼성전자"/>
    <x v="36"/>
    <n v="5930"/>
    <s v="KR7005930003"/>
    <x v="0"/>
    <s v="KOSPI"/>
    <n v="167500"/>
    <n v="17100"/>
    <n v="11.37"/>
    <n v="157900"/>
    <n v="167500"/>
    <n v="157200"/>
    <n v="36529813"/>
    <n v="5927187709457"/>
    <n v="5919637922"/>
    <n v="991539351935000"/>
  </r>
  <r>
    <s v="삼성전자"/>
    <x v="37"/>
    <n v="5930"/>
    <s v="KR7005930003"/>
    <x v="0"/>
    <s v="KOSPI"/>
    <n v="150400"/>
    <n v="-10100"/>
    <n v="-6.29"/>
    <n v="155700"/>
    <n v="159600"/>
    <n v="150400"/>
    <n v="39748369"/>
    <n v="6135993983450"/>
    <n v="5919637922"/>
    <n v="890313543468800"/>
  </r>
  <r>
    <s v="삼성전자"/>
    <x v="38"/>
    <n v="5930"/>
    <s v="KR7005930003"/>
    <x v="0"/>
    <s v="KOSPI"/>
    <n v="160500"/>
    <n v="-200"/>
    <n v="-0.12"/>
    <n v="160100"/>
    <n v="166500"/>
    <n v="160100"/>
    <n v="40557267"/>
    <n v="6593450199492"/>
    <n v="5919637922"/>
    <n v="950101886481000"/>
  </r>
  <r>
    <s v="삼성전자"/>
    <x v="39"/>
    <n v="5930"/>
    <s v="KR7005930003"/>
    <x v="0"/>
    <s v="KOSPI"/>
    <n v="160700"/>
    <n v="-1700"/>
    <n v="-1.05"/>
    <n v="166200"/>
    <n v="166600"/>
    <n v="157100"/>
    <n v="36087223"/>
    <n v="5826870231490"/>
    <n v="5919637922"/>
    <n v="951285814065400"/>
  </r>
  <r>
    <s v="삼성전자"/>
    <x v="40"/>
    <n v="5930"/>
    <s v="KR7005930003"/>
    <x v="0"/>
    <s v="KOSPI"/>
    <n v="162400"/>
    <n v="2900"/>
    <n v="1.82"/>
    <n v="162600"/>
    <n v="163300"/>
    <n v="160200"/>
    <n v="29456431"/>
    <n v="4772986696538"/>
    <n v="5919637922"/>
    <n v="961349198532800"/>
  </r>
  <r>
    <s v="삼성전자"/>
    <x v="41"/>
    <n v="5930"/>
    <s v="KR7005930003"/>
    <x v="0"/>
    <s v="KOSPI"/>
    <n v="159500"/>
    <n v="7400"/>
    <n v="4.87"/>
    <n v="150500"/>
    <n v="159500"/>
    <n v="149200"/>
    <n v="29423670"/>
    <n v="4565457606491"/>
    <n v="5919637922"/>
    <n v="944182248559000"/>
  </r>
  <r>
    <s v="삼성전자"/>
    <x v="42"/>
    <n v="5930"/>
    <s v="KR7005930003"/>
    <x v="0"/>
    <s v="KOSPI"/>
    <n v="152100"/>
    <n v="0"/>
    <n v="0"/>
    <n v="154900"/>
    <n v="156400"/>
    <n v="151500"/>
    <n v="20561689"/>
    <n v="3148408004773"/>
    <n v="5919637922"/>
    <n v="900376927936200"/>
  </r>
  <r>
    <s v="삼성전자"/>
    <x v="43"/>
    <n v="5930"/>
    <s v="KR7005930003"/>
    <x v="0"/>
    <s v="KOSPI"/>
    <n v="152100"/>
    <n v="-200"/>
    <n v="-0.13"/>
    <n v="154700"/>
    <n v="156000"/>
    <n v="150100"/>
    <n v="25407497"/>
    <n v="3899973965409"/>
    <n v="5919637922"/>
    <n v="900376927936200"/>
  </r>
  <r>
    <s v="삼성전자"/>
    <x v="44"/>
    <n v="5930"/>
    <s v="KR7005930003"/>
    <x v="0"/>
    <s v="KOSPI"/>
    <n v="152300"/>
    <n v="2800"/>
    <n v="1.87"/>
    <n v="155000"/>
    <n v="157000"/>
    <n v="150800"/>
    <n v="32073624"/>
    <n v="4953546934392"/>
    <n v="5919637922"/>
    <n v="901560855520600"/>
  </r>
  <r>
    <s v="삼성전자"/>
    <x v="45"/>
    <n v="5930"/>
    <s v="KR7005930003"/>
    <x v="0"/>
    <s v="KOSPI"/>
    <n v="149500"/>
    <n v="4300"/>
    <n v="2.96"/>
    <n v="141900"/>
    <n v="149800"/>
    <n v="141800"/>
    <n v="31703610"/>
    <n v="4679612359030"/>
    <n v="5919637922"/>
    <n v="884985869339000"/>
  </r>
  <r>
    <s v="삼성전자"/>
    <x v="46"/>
    <n v="5930"/>
    <s v="KR7005930003"/>
    <x v="0"/>
    <s v="KOSPI"/>
    <n v="145200"/>
    <n v="-4100"/>
    <n v="-2.75"/>
    <n v="148500"/>
    <n v="149300"/>
    <n v="143900"/>
    <n v="24059218"/>
    <n v="3512770941586"/>
    <n v="5919637922"/>
    <n v="859531426274400"/>
  </r>
  <r>
    <s v="삼성전자"/>
    <x v="47"/>
    <n v="5930"/>
    <s v="KR7005930003"/>
    <x v="0"/>
    <s v="KOSPI"/>
    <n v="149300"/>
    <n v="400"/>
    <n v="0.27"/>
    <n v="147200"/>
    <n v="150600"/>
    <n v="146600"/>
    <n v="22762497"/>
    <n v="3381546209135"/>
    <n v="5919637922"/>
    <n v="883801941754600"/>
  </r>
  <r>
    <s v="삼성전자"/>
    <x v="48"/>
    <n v="5930"/>
    <s v="KR7005930003"/>
    <x v="0"/>
    <s v="KOSPI"/>
    <n v="148900"/>
    <n v="5000"/>
    <n v="3.47"/>
    <n v="145300"/>
    <n v="149500"/>
    <n v="144300"/>
    <n v="30000219"/>
    <n v="4435943361334"/>
    <n v="5919637922"/>
    <n v="881434086585800"/>
  </r>
  <r>
    <s v="삼성전자"/>
    <x v="49"/>
    <n v="5930"/>
    <s v="KR7005930003"/>
    <x v="0"/>
    <s v="KOSPI"/>
    <n v="143900"/>
    <n v="3600"/>
    <n v="2.57"/>
    <n v="139000"/>
    <n v="144000"/>
    <n v="138300"/>
    <n v="24701126"/>
    <n v="3498249940400"/>
    <n v="5919637922"/>
    <n v="851835896975800"/>
  </r>
  <r>
    <s v="삼성전자"/>
    <x v="50"/>
    <n v="5930"/>
    <s v="KR7005930003"/>
    <x v="0"/>
    <s v="KOSPI"/>
    <n v="140300"/>
    <n v="2700"/>
    <n v="1.96"/>
    <n v="137000"/>
    <n v="140300"/>
    <n v="136800"/>
    <n v="18444394"/>
    <n v="2569043127288"/>
    <n v="5919637922"/>
    <n v="830525200456600"/>
  </r>
  <r>
    <s v="삼성전자"/>
    <x v="51"/>
    <n v="5930"/>
    <s v="KR7005930003"/>
    <x v="0"/>
    <s v="KOSPI"/>
    <n v="137600"/>
    <n v="-1200"/>
    <n v="-0.86"/>
    <n v="139800"/>
    <n v="140200"/>
    <n v="136900"/>
    <n v="22384699"/>
    <n v="3095245609050"/>
    <n v="5919637922"/>
    <n v="814542178067200"/>
  </r>
  <r>
    <s v="삼성전자"/>
    <x v="52"/>
    <n v="5930"/>
    <s v="KR7005930003"/>
    <x v="0"/>
    <s v="KOSPI"/>
    <n v="138800"/>
    <n v="-200"/>
    <n v="-0.14000000000000001"/>
    <n v="141000"/>
    <n v="142000"/>
    <n v="136900"/>
    <n v="26271134"/>
    <n v="3666689780452"/>
    <n v="5919637922"/>
    <n v="821645743573600"/>
  </r>
  <r>
    <s v="삼성전자"/>
    <x v="53"/>
    <n v="5930"/>
    <s v="KR7005930003"/>
    <x v="0"/>
    <s v="KOSPI"/>
    <n v="139000"/>
    <n v="200"/>
    <n v="0.14000000000000001"/>
    <n v="136000"/>
    <n v="140700"/>
    <n v="135200"/>
    <n v="29520566"/>
    <n v="4069184694850"/>
    <n v="5919637922"/>
    <n v="822829671158000"/>
  </r>
  <r>
    <s v="삼성전자"/>
    <x v="54"/>
    <n v="5930"/>
    <s v="KR7005930003"/>
    <x v="0"/>
    <s v="KOSPI"/>
    <n v="138800"/>
    <n v="-2200"/>
    <n v="-1.56"/>
    <n v="138300"/>
    <n v="144500"/>
    <n v="138300"/>
    <n v="41449329"/>
    <n v="5840279078975"/>
    <n v="5919637922"/>
    <n v="821645743573600"/>
  </r>
  <r>
    <s v="삼성전자"/>
    <x v="55"/>
    <n v="5930"/>
    <s v="KR7005930003"/>
    <x v="0"/>
    <s v="KOSPI"/>
    <n v="141000"/>
    <n v="2100"/>
    <n v="1.51"/>
    <n v="143500"/>
    <n v="144400"/>
    <n v="137600"/>
    <n v="46317413"/>
    <n v="6545096281338"/>
    <n v="5919637922"/>
    <n v="834668947002000"/>
  </r>
  <r>
    <s v="삼성전자"/>
    <x v="56"/>
    <n v="5930"/>
    <s v="KR7005930003"/>
    <x v="0"/>
    <s v="KOSPI"/>
    <n v="138900"/>
    <n v="800"/>
    <n v="0.57999999999999996"/>
    <n v="135300"/>
    <n v="139300"/>
    <n v="132700"/>
    <n v="45321341"/>
    <n v="6156416508326"/>
    <n v="5919637922"/>
    <n v="822237707365800"/>
  </r>
  <r>
    <s v="삼성전자"/>
    <x v="57"/>
    <n v="5930"/>
    <s v="KR7005930003"/>
    <x v="0"/>
    <s v="KOSPI"/>
    <n v="138100"/>
    <n v="9600"/>
    <n v="7.47"/>
    <n v="134600"/>
    <n v="138600"/>
    <n v="133600"/>
    <n v="42863376"/>
    <n v="5837009498150"/>
    <n v="5919637922"/>
    <n v="817501997028200"/>
  </r>
  <r>
    <s v="삼성전자"/>
    <x v="58"/>
    <n v="5930"/>
    <s v="KR7005930003"/>
    <x v="0"/>
    <s v="KOSPI"/>
    <n v="128500"/>
    <n v="8600"/>
    <n v="7.17"/>
    <n v="120200"/>
    <n v="128500"/>
    <n v="120200"/>
    <n v="30463279"/>
    <n v="3805940517494"/>
    <n v="5919637922"/>
    <n v="760673472977000"/>
  </r>
  <r>
    <s v="SK하이닉스"/>
    <x v="0"/>
    <n v="660"/>
    <s v="KR7000660001"/>
    <x v="1"/>
    <s v="KOSPI"/>
    <n v="807000"/>
    <n v="-66000"/>
    <n v="-7.56"/>
    <n v="817000"/>
    <n v="852000"/>
    <n v="806000"/>
    <n v="7194351"/>
    <n v="5910765746420"/>
    <n v="712702365"/>
    <n v="575150808555000"/>
  </r>
  <r>
    <s v="SK하이닉스"/>
    <x v="1"/>
    <n v="660"/>
    <s v="KR7000660001"/>
    <x v="1"/>
    <s v="KOSPI"/>
    <n v="873000"/>
    <n v="-49000"/>
    <n v="-5.31"/>
    <n v="867000"/>
    <n v="884000"/>
    <n v="862000"/>
    <n v="4498502"/>
    <n v="3927069575600"/>
    <n v="712702365"/>
    <n v="622189164645000"/>
  </r>
  <r>
    <s v="SK하이닉스"/>
    <x v="2"/>
    <n v="660"/>
    <s v="KR7000660001"/>
    <x v="1"/>
    <s v="KOSPI"/>
    <n v="922000"/>
    <n v="-11000"/>
    <n v="-1.18"/>
    <n v="890000"/>
    <n v="934000"/>
    <n v="880000"/>
    <n v="4520942"/>
    <n v="4088912609600"/>
    <n v="712702365"/>
    <n v="657111580530000"/>
  </r>
  <r>
    <s v="SK하이닉스"/>
    <x v="3"/>
    <n v="660"/>
    <s v="KR7000660001"/>
    <x v="1"/>
    <s v="KOSPI"/>
    <n v="933000"/>
    <n v="-62000"/>
    <n v="-6.23"/>
    <n v="965000"/>
    <n v="973000"/>
    <n v="931000"/>
    <n v="4660620"/>
    <n v="4413300987791"/>
    <n v="712702365"/>
    <n v="664951306545000"/>
  </r>
  <r>
    <s v="SK하이닉스"/>
    <x v="4"/>
    <n v="660"/>
    <s v="KR7000660001"/>
    <x v="1"/>
    <s v="KOSPI"/>
    <n v="995000"/>
    <n v="9000"/>
    <n v="0.91"/>
    <n v="1016000"/>
    <n v="1042000"/>
    <n v="988000"/>
    <n v="4463869"/>
    <n v="4531384355000"/>
    <n v="712702365"/>
    <n v="709138853175000"/>
  </r>
  <r>
    <s v="SK하이닉스"/>
    <x v="5"/>
    <n v="660"/>
    <s v="KR7000660001"/>
    <x v="1"/>
    <s v="KOSPI"/>
    <n v="986000"/>
    <n v="53000"/>
    <n v="5.68"/>
    <n v="993000"/>
    <n v="994000"/>
    <n v="938000"/>
    <n v="4352152"/>
    <n v="4237489914994"/>
    <n v="712702365"/>
    <n v="702724531890000"/>
  </r>
  <r>
    <s v="SK하이닉스"/>
    <x v="6"/>
    <n v="660"/>
    <s v="KR7000660001"/>
    <x v="1"/>
    <s v="KOSPI"/>
    <n v="933000"/>
    <n v="-74000"/>
    <n v="-7.35"/>
    <n v="952000"/>
    <n v="963000"/>
    <n v="927000"/>
    <n v="3911813"/>
    <n v="3682788964415"/>
    <n v="712702365"/>
    <n v="664951306545000"/>
  </r>
  <r>
    <s v="SK하이닉스"/>
    <x v="7"/>
    <n v="660"/>
    <s v="KR7000660001"/>
    <x v="1"/>
    <s v="KOSPI"/>
    <n v="1007000"/>
    <n v="-6000"/>
    <n v="-0.59"/>
    <n v="1023000"/>
    <n v="1026000"/>
    <n v="1002000"/>
    <n v="3426646"/>
    <n v="3465653176172"/>
    <n v="712702365"/>
    <n v="717691281555000"/>
  </r>
  <r>
    <s v="SK하이닉스"/>
    <x v="8"/>
    <n v="660"/>
    <s v="KR7000660001"/>
    <x v="1"/>
    <s v="KOSPI"/>
    <n v="1013000"/>
    <n v="-43000"/>
    <n v="-4.07"/>
    <n v="1008000"/>
    <n v="1043000"/>
    <n v="1003000"/>
    <n v="3347483"/>
    <n v="3403635143500"/>
    <n v="712702365"/>
    <n v="721967495745000"/>
  </r>
  <r>
    <s v="SK하이닉스"/>
    <x v="9"/>
    <n v="660"/>
    <s v="KR7000660001"/>
    <x v="1"/>
    <s v="KOSPI"/>
    <n v="1056000"/>
    <n v="86000"/>
    <n v="8.8699999999999992"/>
    <n v="1000000"/>
    <n v="1060000"/>
    <n v="999000"/>
    <n v="4347884"/>
    <n v="4446872252315"/>
    <n v="712702365"/>
    <n v="752613697440000"/>
  </r>
  <r>
    <s v="SK하이닉스"/>
    <x v="10"/>
    <n v="660"/>
    <s v="KR7000660001"/>
    <x v="1"/>
    <s v="KOSPI"/>
    <n v="970000"/>
    <n v="-4000"/>
    <n v="-0.41"/>
    <n v="1009000"/>
    <n v="1010000"/>
    <n v="969000"/>
    <n v="3326240"/>
    <n v="3299876889400"/>
    <n v="712702365"/>
    <n v="691321294050000"/>
  </r>
  <r>
    <s v="SK하이닉스"/>
    <x v="11"/>
    <n v="660"/>
    <s v="KR7000660001"/>
    <x v="1"/>
    <s v="KOSPI"/>
    <n v="974000"/>
    <n v="64000"/>
    <n v="7.03"/>
    <n v="925000"/>
    <n v="975000"/>
    <n v="924000"/>
    <n v="3829496"/>
    <n v="3626471054520"/>
    <n v="712702365"/>
    <n v="694172103510000"/>
  </r>
  <r>
    <s v="SK하이닉스"/>
    <x v="12"/>
    <n v="660"/>
    <s v="KR7000660001"/>
    <x v="1"/>
    <s v="KOSPI"/>
    <n v="910000"/>
    <n v="-20000"/>
    <n v="-2.15"/>
    <n v="891000"/>
    <n v="929000"/>
    <n v="884000"/>
    <n v="3645102"/>
    <n v="3305800535625"/>
    <n v="712702365"/>
    <n v="648559152150000"/>
  </r>
  <r>
    <s v="SK하이닉스"/>
    <x v="13"/>
    <n v="660"/>
    <s v="KR7000660001"/>
    <x v="1"/>
    <s v="KOSPI"/>
    <n v="930000"/>
    <n v="-25000"/>
    <n v="-2.62"/>
    <n v="938000"/>
    <n v="963000"/>
    <n v="928000"/>
    <n v="3711742"/>
    <n v="3478000276288"/>
    <n v="712702365"/>
    <n v="662813199450000"/>
  </r>
  <r>
    <s v="SK하이닉스"/>
    <x v="14"/>
    <n v="660"/>
    <s v="KR7000660001"/>
    <x v="1"/>
    <s v="KOSPI"/>
    <n v="955000"/>
    <n v="17000"/>
    <n v="1.81"/>
    <n v="954000"/>
    <n v="985000"/>
    <n v="941000"/>
    <n v="3916098"/>
    <n v="3774551780246"/>
    <n v="712702365"/>
    <n v="680630758575000"/>
  </r>
  <r>
    <s v="SK하이닉스"/>
    <x v="15"/>
    <n v="660"/>
    <s v="KR7000660001"/>
    <x v="1"/>
    <s v="KOSPI"/>
    <n v="938000"/>
    <n v="102000"/>
    <n v="12.2"/>
    <n v="915000"/>
    <n v="950000"/>
    <n v="899000"/>
    <n v="5304897"/>
    <n v="4926971087500"/>
    <n v="712702365"/>
    <n v="668514818370000"/>
  </r>
  <r>
    <s v="SK하이닉스"/>
    <x v="16"/>
    <n v="660"/>
    <s v="KR7000660001"/>
    <x v="1"/>
    <s v="KOSPI"/>
    <n v="836000"/>
    <n v="-88000"/>
    <n v="-9.52"/>
    <n v="851000"/>
    <n v="864000"/>
    <n v="808000"/>
    <n v="7253621"/>
    <n v="6026259948840"/>
    <n v="712702365"/>
    <n v="595819177140000"/>
  </r>
  <r>
    <s v="SK하이닉스"/>
    <x v="17"/>
    <n v="660"/>
    <s v="KR7000660001"/>
    <x v="1"/>
    <s v="KOSPI"/>
    <n v="924000"/>
    <n v="-17000"/>
    <n v="-1.81"/>
    <n v="912000"/>
    <n v="938000"/>
    <n v="885000"/>
    <n v="3744322"/>
    <n v="3422798358084"/>
    <n v="712702365"/>
    <n v="658536985260000"/>
  </r>
  <r>
    <s v="SK하이닉스"/>
    <x v="18"/>
    <n v="660"/>
    <s v="KR7000660001"/>
    <x v="1"/>
    <s v="KOSPI"/>
    <n v="941000"/>
    <n v="92000"/>
    <n v="10.84"/>
    <n v="976000"/>
    <n v="992000"/>
    <n v="927000"/>
    <n v="6442459"/>
    <n v="6193801312000"/>
    <n v="712702365"/>
    <n v="670652925465000"/>
  </r>
  <r>
    <s v="SK하이닉스"/>
    <x v="19"/>
    <n v="660"/>
    <s v="KR7000660001"/>
    <x v="1"/>
    <s v="KOSPI"/>
    <n v="849000"/>
    <n v="-90000"/>
    <n v="-9.58"/>
    <n v="894000"/>
    <n v="954000"/>
    <n v="846000"/>
    <n v="9253420"/>
    <n v="8247744051500"/>
    <n v="712702365"/>
    <n v="605084307885000"/>
  </r>
  <r>
    <s v="SK하이닉스"/>
    <x v="20"/>
    <n v="660"/>
    <s v="KR7000660001"/>
    <x v="1"/>
    <s v="KOSPI"/>
    <n v="939000"/>
    <n v="-122000"/>
    <n v="-11.5"/>
    <n v="1022000"/>
    <n v="1040000"/>
    <n v="939000"/>
    <n v="6818327"/>
    <n v="6769961591097"/>
    <n v="712702365"/>
    <n v="669227520735000"/>
  </r>
  <r>
    <s v="SK하이닉스"/>
    <x v="21"/>
    <n v="660"/>
    <s v="KR7000660001"/>
    <x v="1"/>
    <s v="KOSPI"/>
    <n v="1061000"/>
    <n v="-38000"/>
    <n v="-3.46"/>
    <n v="1050000"/>
    <n v="1096000"/>
    <n v="1048000"/>
    <n v="6453062"/>
    <n v="6889357629920"/>
    <n v="712702365"/>
    <n v="756177209265000"/>
  </r>
  <r>
    <s v="SK하이닉스"/>
    <x v="22"/>
    <n v="660"/>
    <s v="KR7000660001"/>
    <x v="1"/>
    <s v="KOSPI"/>
    <n v="1099000"/>
    <n v="81000"/>
    <n v="7.96"/>
    <n v="1024000"/>
    <n v="1099000"/>
    <n v="1023000"/>
    <n v="4461976"/>
    <n v="4692062202704"/>
    <n v="712702365"/>
    <n v="783259899135000"/>
  </r>
  <r>
    <s v="SK하이닉스"/>
    <x v="23"/>
    <n v="660"/>
    <s v="KR7000660001"/>
    <x v="1"/>
    <s v="KOSPI"/>
    <n v="1018000"/>
    <n v="13000"/>
    <n v="1.29"/>
    <n v="1012000"/>
    <n v="1038000"/>
    <n v="1004000"/>
    <n v="3462525"/>
    <n v="3532466059787"/>
    <n v="712702365"/>
    <n v="725531007570000"/>
  </r>
  <r>
    <s v="SK하이닉스"/>
    <x v="24"/>
    <n v="660"/>
    <s v="KR7000660001"/>
    <x v="1"/>
    <s v="KOSPI"/>
    <n v="1005000"/>
    <n v="54000"/>
    <n v="5.68"/>
    <n v="952000"/>
    <n v="1005000"/>
    <n v="946000"/>
    <n v="4102382"/>
    <n v="4051375322312"/>
    <n v="712702365"/>
    <n v="716265876825000"/>
  </r>
  <r>
    <s v="SK하이닉스"/>
    <x v="25"/>
    <n v="660"/>
    <s v="KR7000660001"/>
    <x v="1"/>
    <s v="KOSPI"/>
    <n v="951000"/>
    <n v="2000"/>
    <n v="0.21"/>
    <n v="980000"/>
    <n v="980000"/>
    <n v="941000"/>
    <n v="3523887"/>
    <n v="3380785361500"/>
    <n v="712702365"/>
    <n v="677779949115000"/>
  </r>
  <r>
    <s v="SK하이닉스"/>
    <x v="26"/>
    <n v="660"/>
    <s v="KR7000660001"/>
    <x v="1"/>
    <s v="KOSPI"/>
    <n v="949000"/>
    <n v="55000"/>
    <n v="6.15"/>
    <n v="892000"/>
    <n v="955000"/>
    <n v="881000"/>
    <n v="5054333"/>
    <n v="4678702303000"/>
    <n v="728002365"/>
    <n v="690874244385000"/>
  </r>
  <r>
    <s v="SK하이닉스"/>
    <x v="27"/>
    <n v="660"/>
    <s v="KR7000660001"/>
    <x v="1"/>
    <s v="KOSPI"/>
    <n v="894000"/>
    <n v="14000"/>
    <n v="1.59"/>
    <n v="905000"/>
    <n v="913000"/>
    <n v="888000"/>
    <n v="3285109"/>
    <n v="2944647825000"/>
    <n v="728002365"/>
    <n v="650834114310000"/>
  </r>
  <r>
    <s v="SK하이닉스"/>
    <x v="28"/>
    <n v="660"/>
    <s v="KR7000660001"/>
    <x v="1"/>
    <s v="KOSPI"/>
    <n v="880000"/>
    <n v="-8000"/>
    <n v="-0.9"/>
    <n v="889000"/>
    <n v="903000"/>
    <n v="878000"/>
    <n v="3534047"/>
    <n v="3142574568416"/>
    <n v="728002365"/>
    <n v="640642081200000"/>
  </r>
  <r>
    <s v="SK하이닉스"/>
    <x v="29"/>
    <n v="660"/>
    <s v="KR7000660001"/>
    <x v="1"/>
    <s v="KOSPI"/>
    <n v="888000"/>
    <n v="28000"/>
    <n v="3.26"/>
    <n v="882000"/>
    <n v="894000"/>
    <n v="878000"/>
    <n v="4619344"/>
    <n v="4097020453341"/>
    <n v="728002365"/>
    <n v="646466100120000"/>
  </r>
  <r>
    <s v="SK하이닉스"/>
    <x v="30"/>
    <n v="660"/>
    <s v="KR7000660001"/>
    <x v="1"/>
    <s v="KOSPI"/>
    <n v="860000"/>
    <n v="-16000"/>
    <n v="-1.83"/>
    <n v="860000"/>
    <n v="874000"/>
    <n v="848000"/>
    <n v="3125590"/>
    <n v="2698255229000"/>
    <n v="728002365"/>
    <n v="626082033900000"/>
  </r>
  <r>
    <s v="SK하이닉스"/>
    <x v="31"/>
    <n v="660"/>
    <s v="KR7000660001"/>
    <x v="1"/>
    <s v="KOSPI"/>
    <n v="876000"/>
    <n v="-11000"/>
    <n v="-1.24"/>
    <n v="894000"/>
    <n v="905000"/>
    <n v="876000"/>
    <n v="3441377"/>
    <n v="3058001092490"/>
    <n v="728002365"/>
    <n v="637730071740000"/>
  </r>
  <r>
    <s v="SK하이닉스"/>
    <x v="32"/>
    <n v="660"/>
    <s v="KR7000660001"/>
    <x v="1"/>
    <s v="KOSPI"/>
    <n v="887000"/>
    <n v="48000"/>
    <n v="5.72"/>
    <n v="898000"/>
    <n v="899000"/>
    <n v="873000"/>
    <n v="4228584"/>
    <n v="3746145085500"/>
    <n v="728002365"/>
    <n v="645738097755000"/>
  </r>
  <r>
    <s v="SK하이닉스"/>
    <x v="33"/>
    <n v="660"/>
    <s v="KR7000660001"/>
    <x v="1"/>
    <s v="KOSPI"/>
    <n v="839000"/>
    <n v="-3000"/>
    <n v="-0.36"/>
    <n v="805000"/>
    <n v="850000"/>
    <n v="791000"/>
    <n v="5581574"/>
    <n v="4578256265860"/>
    <n v="728002365"/>
    <n v="610793984235000"/>
  </r>
  <r>
    <s v="SK하이닉스"/>
    <x v="34"/>
    <n v="660"/>
    <s v="KR7000660001"/>
    <x v="1"/>
    <s v="KOSPI"/>
    <n v="842000"/>
    <n v="-58000"/>
    <n v="-6.44"/>
    <n v="851000"/>
    <n v="877000"/>
    <n v="838000"/>
    <n v="5473720"/>
    <n v="4675605487500"/>
    <n v="728002365"/>
    <n v="612977991330000"/>
  </r>
  <r>
    <s v="SK하이닉스"/>
    <x v="35"/>
    <n v="660"/>
    <s v="KR7000660001"/>
    <x v="1"/>
    <s v="KOSPI"/>
    <n v="900000"/>
    <n v="-7000"/>
    <n v="-0.77"/>
    <n v="884000"/>
    <n v="906000"/>
    <n v="883000"/>
    <n v="3800763"/>
    <n v="3400365232231"/>
    <n v="728002365"/>
    <n v="655202128500000"/>
  </r>
  <r>
    <s v="SK하이닉스"/>
    <x v="36"/>
    <n v="660"/>
    <s v="KR7000660001"/>
    <x v="1"/>
    <s v="KOSPI"/>
    <n v="907000"/>
    <n v="77000"/>
    <n v="9.2799999999999994"/>
    <n v="874000"/>
    <n v="907000"/>
    <n v="871000"/>
    <n v="5272538"/>
    <n v="4709002033767"/>
    <n v="728002365"/>
    <n v="660298145055000"/>
  </r>
  <r>
    <s v="SK하이닉스"/>
    <x v="37"/>
    <n v="660"/>
    <s v="KR7000660001"/>
    <x v="1"/>
    <s v="KOSPI"/>
    <n v="830000"/>
    <n v="-79000"/>
    <n v="-8.69"/>
    <n v="870000"/>
    <n v="888000"/>
    <n v="830000"/>
    <n v="7634191"/>
    <n v="6545821160532"/>
    <n v="728002365"/>
    <n v="604241962950000"/>
  </r>
  <r>
    <s v="SK하이닉스"/>
    <x v="38"/>
    <n v="660"/>
    <s v="KR7000660001"/>
    <x v="1"/>
    <s v="KOSPI"/>
    <n v="909000"/>
    <n v="48000"/>
    <n v="5.57"/>
    <n v="854000"/>
    <n v="931000"/>
    <n v="853000"/>
    <n v="7875195"/>
    <n v="7138823506342"/>
    <n v="728002365"/>
    <n v="661754149785000"/>
  </r>
  <r>
    <s v="SK하이닉스"/>
    <x v="39"/>
    <n v="660"/>
    <s v="KR7000660001"/>
    <x v="1"/>
    <s v="KOSPI"/>
    <n v="861000"/>
    <n v="20000"/>
    <n v="2.38"/>
    <n v="879000"/>
    <n v="884000"/>
    <n v="819000"/>
    <n v="6837983"/>
    <n v="5852001349316"/>
    <n v="728002365"/>
    <n v="626810036265000"/>
  </r>
  <r>
    <s v="SK하이닉스"/>
    <x v="40"/>
    <n v="660"/>
    <s v="KR7000660001"/>
    <x v="1"/>
    <s v="KOSPI"/>
    <n v="841000"/>
    <n v="41000"/>
    <n v="5.13"/>
    <n v="810000"/>
    <n v="854000"/>
    <n v="803000"/>
    <n v="6708497"/>
    <n v="5583139773181"/>
    <n v="728002365"/>
    <n v="612249988965000"/>
  </r>
  <r>
    <s v="SK하이닉스"/>
    <x v="41"/>
    <n v="660"/>
    <s v="KR7000660001"/>
    <x v="1"/>
    <s v="KOSPI"/>
    <n v="800000"/>
    <n v="64000"/>
    <n v="8.6999999999999993"/>
    <n v="738000"/>
    <n v="800000"/>
    <n v="733000"/>
    <n v="5660198"/>
    <n v="4383477685500"/>
    <n v="728002365"/>
    <n v="582401892000000"/>
  </r>
  <r>
    <s v="SK하이닉스"/>
    <x v="42"/>
    <n v="660"/>
    <s v="KR7000660001"/>
    <x v="1"/>
    <s v="KOSPI"/>
    <n v="736000"/>
    <n v="-31000"/>
    <n v="-4.04"/>
    <n v="753000"/>
    <n v="754000"/>
    <n v="736000"/>
    <n v="3133330"/>
    <n v="2334468107336"/>
    <n v="728002365"/>
    <n v="535809740640000"/>
  </r>
  <r>
    <s v="SK하이닉스"/>
    <x v="43"/>
    <n v="660"/>
    <s v="KR7000660001"/>
    <x v="1"/>
    <s v="KOSPI"/>
    <n v="767000"/>
    <n v="12000"/>
    <n v="1.59"/>
    <n v="754000"/>
    <n v="776000"/>
    <n v="744000"/>
    <n v="3508272"/>
    <n v="2655268603316"/>
    <n v="728002365"/>
    <n v="558377813955000"/>
  </r>
  <r>
    <s v="SK하이닉스"/>
    <x v="44"/>
    <n v="660"/>
    <s v="KR7000660001"/>
    <x v="1"/>
    <s v="KOSPI"/>
    <n v="755000"/>
    <n v="15000"/>
    <n v="2.0299999999999998"/>
    <n v="766000"/>
    <n v="773000"/>
    <n v="751000"/>
    <n v="3545309"/>
    <n v="2699826367844"/>
    <n v="728002365"/>
    <n v="549641785575000"/>
  </r>
  <r>
    <s v="SK하이닉스"/>
    <x v="45"/>
    <n v="660"/>
    <s v="KR7000660001"/>
    <x v="1"/>
    <s v="KOSPI"/>
    <n v="740000"/>
    <n v="-3000"/>
    <n v="-0.4"/>
    <n v="729000"/>
    <n v="756000"/>
    <n v="728000"/>
    <n v="5108442"/>
    <n v="3794476507116"/>
    <n v="728002365"/>
    <n v="538721750100000"/>
  </r>
  <r>
    <s v="SK하이닉스"/>
    <x v="46"/>
    <n v="660"/>
    <s v="KR7000660001"/>
    <x v="1"/>
    <s v="KOSPI"/>
    <n v="743000"/>
    <n v="-21000"/>
    <n v="-2.75"/>
    <n v="764000"/>
    <n v="764000"/>
    <n v="737000"/>
    <n v="2762369"/>
    <n v="2066362484000"/>
    <n v="728002365"/>
    <n v="540905757195000"/>
  </r>
  <r>
    <s v="SK하이닉스"/>
    <x v="47"/>
    <n v="660"/>
    <s v="KR7000660001"/>
    <x v="1"/>
    <s v="KOSPI"/>
    <n v="764000"/>
    <n v="8000"/>
    <n v="1.06"/>
    <n v="755000"/>
    <n v="774000"/>
    <n v="750000"/>
    <n v="3392008"/>
    <n v="2588923615000"/>
    <n v="728002365"/>
    <n v="556193806860000"/>
  </r>
  <r>
    <s v="SK하이닉스"/>
    <x v="48"/>
    <n v="660"/>
    <s v="KR7000660001"/>
    <x v="1"/>
    <s v="KOSPI"/>
    <n v="756000"/>
    <n v="7000"/>
    <n v="0.93"/>
    <n v="751000"/>
    <n v="763000"/>
    <n v="747000"/>
    <n v="3712326"/>
    <n v="2800148676108"/>
    <n v="728002365"/>
    <n v="550369787940000"/>
  </r>
  <r>
    <s v="SK하이닉스"/>
    <x v="49"/>
    <n v="660"/>
    <s v="KR7000660001"/>
    <x v="1"/>
    <s v="KOSPI"/>
    <n v="749000"/>
    <n v="7000"/>
    <n v="0.94"/>
    <n v="732000"/>
    <n v="750000"/>
    <n v="727000"/>
    <n v="3003414"/>
    <n v="2221828050300"/>
    <n v="728002365"/>
    <n v="545273771385000"/>
  </r>
  <r>
    <s v="SK하이닉스"/>
    <x v="50"/>
    <n v="660"/>
    <s v="KR7000660001"/>
    <x v="1"/>
    <s v="KOSPI"/>
    <n v="742000"/>
    <n v="4000"/>
    <n v="0.54"/>
    <n v="733000"/>
    <n v="750000"/>
    <n v="728000"/>
    <n v="4885051"/>
    <n v="3612610326132"/>
    <n v="728002365"/>
    <n v="540177754830000"/>
  </r>
  <r>
    <s v="SK하이닉스"/>
    <x v="51"/>
    <n v="660"/>
    <s v="KR7000660001"/>
    <x v="1"/>
    <s v="KOSPI"/>
    <n v="738000"/>
    <n v="-11000"/>
    <n v="-1.47"/>
    <n v="753000"/>
    <n v="754000"/>
    <n v="724000"/>
    <n v="3771944"/>
    <n v="2784052503000"/>
    <n v="728002365"/>
    <n v="537265745370000"/>
  </r>
  <r>
    <s v="SK하이닉스"/>
    <x v="52"/>
    <n v="660"/>
    <s v="KR7000660001"/>
    <x v="1"/>
    <s v="KOSPI"/>
    <n v="749000"/>
    <n v="5000"/>
    <n v="0.67"/>
    <n v="755000"/>
    <n v="762000"/>
    <n v="735000"/>
    <n v="3329793"/>
    <n v="2499458505000"/>
    <n v="728002365"/>
    <n v="545273771385000"/>
  </r>
  <r>
    <s v="SK하이닉스"/>
    <x v="53"/>
    <n v="660"/>
    <s v="KR7000660001"/>
    <x v="1"/>
    <s v="KOSPI"/>
    <n v="744000"/>
    <n v="-12000"/>
    <n v="-1.59"/>
    <n v="744000"/>
    <n v="756000"/>
    <n v="727000"/>
    <n v="4343703"/>
    <n v="3225029514448"/>
    <n v="728002365"/>
    <n v="541633759560000"/>
  </r>
  <r>
    <s v="SK하이닉스"/>
    <x v="54"/>
    <n v="660"/>
    <s v="KR7000660001"/>
    <x v="1"/>
    <s v="KOSPI"/>
    <n v="756000"/>
    <n v="14000"/>
    <n v="1.89"/>
    <n v="731000"/>
    <n v="788000"/>
    <n v="731000"/>
    <n v="6496379"/>
    <n v="4974842286972"/>
    <n v="728002365"/>
    <n v="550369787940000"/>
  </r>
  <r>
    <s v="SK하이닉스"/>
    <x v="55"/>
    <n v="660"/>
    <s v="KR7000660001"/>
    <x v="1"/>
    <s v="KOSPI"/>
    <n v="742000"/>
    <n v="16000"/>
    <n v="2.2000000000000002"/>
    <n v="760000"/>
    <n v="762000"/>
    <n v="728000"/>
    <n v="5693115"/>
    <n v="4253604033000"/>
    <n v="728002365"/>
    <n v="540177754830000"/>
  </r>
  <r>
    <s v="SK하이닉스"/>
    <x v="56"/>
    <n v="660"/>
    <s v="KR7000660001"/>
    <x v="1"/>
    <s v="KOSPI"/>
    <n v="726000"/>
    <n v="30000"/>
    <n v="4.3099999999999996"/>
    <n v="690000"/>
    <n v="727000"/>
    <n v="671000"/>
    <n v="4830275"/>
    <n v="3381650231374"/>
    <n v="728002365"/>
    <n v="528529716990000"/>
  </r>
  <r>
    <s v="SK하이닉스"/>
    <x v="57"/>
    <n v="660"/>
    <s v="KR7000660001"/>
    <x v="1"/>
    <s v="KOSPI"/>
    <n v="696000"/>
    <n v="19000"/>
    <n v="2.81"/>
    <n v="698000"/>
    <n v="700000"/>
    <n v="684000"/>
    <n v="4337511"/>
    <n v="3007998338292"/>
    <n v="728002365"/>
    <n v="506689646040000"/>
  </r>
  <r>
    <s v="SK하이닉스"/>
    <x v="58"/>
    <n v="660"/>
    <s v="KR7000660001"/>
    <x v="1"/>
    <s v="KOSPI"/>
    <n v="677000"/>
    <n v="26000"/>
    <n v="3.99"/>
    <n v="651000"/>
    <n v="679000"/>
    <n v="647000"/>
    <n v="4181895"/>
    <n v="2778983677000"/>
    <n v="728002365"/>
    <n v="492857601105000"/>
  </r>
  <r>
    <s v="현대차"/>
    <x v="0"/>
    <n v="5380"/>
    <s v="KR7005380001"/>
    <x v="2"/>
    <s v="KOSPI"/>
    <n v="445500"/>
    <n v="-24000"/>
    <n v="-5.1100000000000003"/>
    <n v="459500"/>
    <n v="464000"/>
    <n v="445000"/>
    <n v="1271113"/>
    <n v="573987079500"/>
    <n v="204757766"/>
    <n v="91219584753000"/>
  </r>
  <r>
    <s v="현대차"/>
    <x v="1"/>
    <n v="5380"/>
    <s v="KR7005380001"/>
    <x v="2"/>
    <s v="KOSPI"/>
    <n v="469500"/>
    <n v="-25500"/>
    <n v="-5.15"/>
    <n v="468500"/>
    <n v="472500"/>
    <n v="461000"/>
    <n v="942256"/>
    <n v="441044297000"/>
    <n v="204757766"/>
    <n v="96133771137000"/>
  </r>
  <r>
    <s v="현대차"/>
    <x v="2"/>
    <n v="5380"/>
    <s v="KR7005380001"/>
    <x v="2"/>
    <s v="KOSPI"/>
    <n v="495000"/>
    <n v="5000"/>
    <n v="1.02"/>
    <n v="472500"/>
    <n v="498500"/>
    <n v="467000"/>
    <n v="1151726"/>
    <n v="556807290750"/>
    <n v="204757766"/>
    <n v="101355094170000"/>
  </r>
  <r>
    <s v="현대차"/>
    <x v="3"/>
    <n v="5380"/>
    <s v="KR7005380001"/>
    <x v="2"/>
    <s v="KOSPI"/>
    <n v="490000"/>
    <n v="-11000"/>
    <n v="-2.2000000000000002"/>
    <n v="496000"/>
    <n v="499500"/>
    <n v="486000"/>
    <n v="954455"/>
    <n v="469150545250"/>
    <n v="204757766"/>
    <n v="100331305340000"/>
  </r>
  <r>
    <s v="현대차"/>
    <x v="4"/>
    <n v="5380"/>
    <s v="KR7005380001"/>
    <x v="2"/>
    <s v="KOSPI"/>
    <n v="501000"/>
    <n v="9000"/>
    <n v="1.83"/>
    <n v="509000"/>
    <n v="518000"/>
    <n v="498500"/>
    <n v="1102731"/>
    <n v="557082878750"/>
    <n v="204757766"/>
    <n v="102583640766000"/>
  </r>
  <r>
    <s v="현대차"/>
    <x v="5"/>
    <n v="5380"/>
    <s v="KR7005380001"/>
    <x v="2"/>
    <s v="KOSPI"/>
    <n v="492000"/>
    <n v="7000"/>
    <n v="1.44"/>
    <n v="508000"/>
    <n v="509000"/>
    <n v="484000"/>
    <n v="1082455"/>
    <n v="534253804750"/>
    <n v="204757766"/>
    <n v="100740820872000"/>
  </r>
  <r>
    <s v="현대차"/>
    <x v="6"/>
    <n v="5380"/>
    <s v="KR7005380001"/>
    <x v="2"/>
    <s v="KOSPI"/>
    <n v="485000"/>
    <n v="-32000"/>
    <n v="-6.19"/>
    <n v="500000"/>
    <n v="501000"/>
    <n v="485000"/>
    <n v="1603262"/>
    <n v="787026326250"/>
    <n v="204757766"/>
    <n v="99307516510000"/>
  </r>
  <r>
    <s v="현대차"/>
    <x v="7"/>
    <n v="5380"/>
    <s v="KR7005380001"/>
    <x v="2"/>
    <s v="KOSPI"/>
    <n v="517000"/>
    <n v="-5000"/>
    <n v="-0.96"/>
    <n v="527000"/>
    <n v="528000"/>
    <n v="517000"/>
    <n v="1049264"/>
    <n v="545346618500"/>
    <n v="204757766"/>
    <n v="105859765022000"/>
  </r>
  <r>
    <s v="현대차"/>
    <x v="8"/>
    <n v="5380"/>
    <s v="KR7005380001"/>
    <x v="2"/>
    <s v="KOSPI"/>
    <n v="522000"/>
    <n v="-23000"/>
    <n v="-4.22"/>
    <n v="521000"/>
    <n v="530000"/>
    <n v="521000"/>
    <n v="770000"/>
    <n v="404154305500"/>
    <n v="204757766"/>
    <n v="106883553852000"/>
  </r>
  <r>
    <s v="현대차"/>
    <x v="9"/>
    <n v="5380"/>
    <s v="KR7005380001"/>
    <x v="2"/>
    <s v="KOSPI"/>
    <n v="545000"/>
    <n v="23000"/>
    <n v="4.41"/>
    <n v="536000"/>
    <n v="545000"/>
    <n v="530000"/>
    <n v="930616"/>
    <n v="502057597000"/>
    <n v="204757766"/>
    <n v="111592982470000"/>
  </r>
  <r>
    <s v="현대차"/>
    <x v="10"/>
    <n v="5380"/>
    <s v="KR7005380001"/>
    <x v="2"/>
    <s v="KOSPI"/>
    <n v="522000"/>
    <n v="16000"/>
    <n v="3.16"/>
    <n v="528000"/>
    <n v="544000"/>
    <n v="520000"/>
    <n v="1346937"/>
    <n v="715461538000"/>
    <n v="204757766"/>
    <n v="106883553852000"/>
  </r>
  <r>
    <s v="현대차"/>
    <x v="11"/>
    <n v="5380"/>
    <s v="KR7005380001"/>
    <x v="2"/>
    <s v="KOSPI"/>
    <n v="506000"/>
    <n v="-11000"/>
    <n v="-2.13"/>
    <n v="511000"/>
    <n v="520000"/>
    <n v="499000"/>
    <n v="1348089"/>
    <n v="680424593000"/>
    <n v="204757766"/>
    <n v="103607429596000"/>
  </r>
  <r>
    <s v="현대차"/>
    <x v="12"/>
    <n v="5380"/>
    <s v="KR7005380001"/>
    <x v="2"/>
    <s v="KOSPI"/>
    <n v="517000"/>
    <n v="-4000"/>
    <n v="-0.77"/>
    <n v="502000"/>
    <n v="529500"/>
    <n v="501000"/>
    <n v="950437"/>
    <n v="490787480000"/>
    <n v="204757766"/>
    <n v="105859765022000"/>
  </r>
  <r>
    <s v="현대차"/>
    <x v="13"/>
    <n v="5380"/>
    <s v="KR7005380001"/>
    <x v="2"/>
    <s v="KOSPI"/>
    <n v="521000"/>
    <n v="-9000"/>
    <n v="-1.7"/>
    <n v="524000"/>
    <n v="528000"/>
    <n v="513000"/>
    <n v="1146292"/>
    <n v="596531161500"/>
    <n v="204757766"/>
    <n v="106678796086000"/>
  </r>
  <r>
    <s v="현대차"/>
    <x v="14"/>
    <n v="5380"/>
    <s v="KR7005380001"/>
    <x v="2"/>
    <s v="KOSPI"/>
    <n v="530000"/>
    <n v="5000"/>
    <n v="0.95"/>
    <n v="550000"/>
    <n v="561000"/>
    <n v="523000"/>
    <n v="1415825"/>
    <n v="766091876500"/>
    <n v="204757766"/>
    <n v="108521615980000"/>
  </r>
  <r>
    <s v="현대차"/>
    <x v="15"/>
    <n v="5380"/>
    <s v="KR7005380001"/>
    <x v="2"/>
    <s v="KOSPI"/>
    <n v="525000"/>
    <n v="18000"/>
    <n v="3.55"/>
    <n v="538000"/>
    <n v="541000"/>
    <n v="519000"/>
    <n v="1270933"/>
    <n v="673361151500"/>
    <n v="204757766"/>
    <n v="107497827150000"/>
  </r>
  <r>
    <s v="현대차"/>
    <x v="16"/>
    <n v="5380"/>
    <s v="KR7005380001"/>
    <x v="2"/>
    <s v="KOSPI"/>
    <n v="507000"/>
    <n v="-46000"/>
    <n v="-8.32"/>
    <n v="504000"/>
    <n v="511000"/>
    <n v="491000"/>
    <n v="1913094"/>
    <n v="957042736818"/>
    <n v="204757766"/>
    <n v="103812187362000"/>
  </r>
  <r>
    <s v="현대차"/>
    <x v="17"/>
    <n v="5380"/>
    <s v="KR7005380001"/>
    <x v="2"/>
    <s v="KOSPI"/>
    <n v="553000"/>
    <n v="5000"/>
    <n v="0.91"/>
    <n v="532000"/>
    <n v="564000"/>
    <n v="530000"/>
    <n v="1582300"/>
    <n v="866474723500"/>
    <n v="204757766"/>
    <n v="113231044598000"/>
  </r>
  <r>
    <s v="현대차"/>
    <x v="18"/>
    <n v="5380"/>
    <s v="KR7005380001"/>
    <x v="2"/>
    <s v="KOSPI"/>
    <n v="548000"/>
    <n v="47000"/>
    <n v="9.3800000000000008"/>
    <n v="565000"/>
    <n v="582000"/>
    <n v="540000"/>
    <n v="2663493"/>
    <n v="1491066599000"/>
    <n v="204757766"/>
    <n v="112207255768000"/>
  </r>
  <r>
    <s v="현대차"/>
    <x v="19"/>
    <n v="5380"/>
    <s v="KR7005380001"/>
    <x v="2"/>
    <s v="KOSPI"/>
    <n v="501000"/>
    <n v="-94000"/>
    <n v="-15.8"/>
    <n v="560000"/>
    <n v="593000"/>
    <n v="497500"/>
    <n v="4855346"/>
    <n v="2597594558750"/>
    <n v="204757766"/>
    <n v="102583640766000"/>
  </r>
  <r>
    <s v="현대차"/>
    <x v="20"/>
    <n v="5380"/>
    <s v="KR7005380001"/>
    <x v="2"/>
    <s v="KOSPI"/>
    <n v="595000"/>
    <n v="-79000"/>
    <n v="-11.72"/>
    <n v="654000"/>
    <n v="658000"/>
    <n v="594000"/>
    <n v="3763225"/>
    <n v="2350545257000"/>
    <n v="204757766"/>
    <n v="121830870770000"/>
  </r>
  <r>
    <s v="현대차"/>
    <x v="21"/>
    <n v="5380"/>
    <s v="KR7005380001"/>
    <x v="2"/>
    <s v="KOSPI"/>
    <n v="674000"/>
    <n v="65000"/>
    <n v="10.67"/>
    <n v="592000"/>
    <n v="687000"/>
    <n v="590000"/>
    <n v="4354409"/>
    <n v="2807363134000"/>
    <n v="204757766"/>
    <n v="138006734284000"/>
  </r>
  <r>
    <s v="현대차"/>
    <x v="22"/>
    <n v="5380"/>
    <s v="KR7005380001"/>
    <x v="2"/>
    <s v="KOSPI"/>
    <n v="609000"/>
    <n v="37000"/>
    <n v="6.47"/>
    <n v="574000"/>
    <n v="618000"/>
    <n v="563000"/>
    <n v="2894222"/>
    <n v="1707953315500"/>
    <n v="204757766"/>
    <n v="124697479494000"/>
  </r>
  <r>
    <s v="현대차"/>
    <x v="23"/>
    <n v="5380"/>
    <s v="KR7005380001"/>
    <x v="2"/>
    <s v="KOSPI"/>
    <n v="572000"/>
    <n v="48000"/>
    <n v="9.16"/>
    <n v="535000"/>
    <n v="584000"/>
    <n v="532000"/>
    <n v="4149696"/>
    <n v="2343545128000"/>
    <n v="204757766"/>
    <n v="117121442152000"/>
  </r>
  <r>
    <s v="현대차"/>
    <x v="24"/>
    <n v="5380"/>
    <s v="KR7005380001"/>
    <x v="2"/>
    <s v="KOSPI"/>
    <n v="524000"/>
    <n v="1000"/>
    <n v="0.19"/>
    <n v="522000"/>
    <n v="530000"/>
    <n v="505000"/>
    <n v="1490869"/>
    <n v="773100818000"/>
    <n v="204757766"/>
    <n v="107293069384000"/>
  </r>
  <r>
    <s v="현대차"/>
    <x v="25"/>
    <n v="5380"/>
    <s v="KR7005380001"/>
    <x v="2"/>
    <s v="KOSPI"/>
    <n v="523000"/>
    <n v="14000"/>
    <n v="2.75"/>
    <n v="524000"/>
    <n v="541000"/>
    <n v="517000"/>
    <n v="2094265"/>
    <n v="1104465268500"/>
    <n v="204757766"/>
    <n v="107088311618000"/>
  </r>
  <r>
    <s v="현대차"/>
    <x v="26"/>
    <n v="5380"/>
    <s v="KR7005380001"/>
    <x v="2"/>
    <s v="KOSPI"/>
    <n v="509000"/>
    <n v="-4000"/>
    <n v="-0.78"/>
    <n v="516000"/>
    <n v="516000"/>
    <n v="504000"/>
    <n v="1251835"/>
    <n v="637092330500"/>
    <n v="204757766"/>
    <n v="104221702894000"/>
  </r>
  <r>
    <s v="현대차"/>
    <x v="27"/>
    <n v="5380"/>
    <s v="KR7005380001"/>
    <x v="2"/>
    <s v="KOSPI"/>
    <n v="513000"/>
    <n v="14000"/>
    <n v="2.81"/>
    <n v="504000"/>
    <n v="523000"/>
    <n v="495500"/>
    <n v="1907584"/>
    <n v="972096753250"/>
    <n v="204757766"/>
    <n v="105040733958000"/>
  </r>
  <r>
    <s v="현대차"/>
    <x v="28"/>
    <n v="5380"/>
    <s v="KR7005380001"/>
    <x v="2"/>
    <s v="KOSPI"/>
    <n v="499000"/>
    <n v="-7000"/>
    <n v="-1.38"/>
    <n v="499500"/>
    <n v="509500"/>
    <n v="497500"/>
    <n v="1147006"/>
    <n v="574835991500"/>
    <n v="204757766"/>
    <n v="102174125234000"/>
  </r>
  <r>
    <s v="현대차"/>
    <x v="29"/>
    <n v="5380"/>
    <s v="KR7005380001"/>
    <x v="2"/>
    <s v="KOSPI"/>
    <n v="506000"/>
    <n v="-3000"/>
    <n v="-0.59"/>
    <n v="512000"/>
    <n v="512000"/>
    <n v="498000"/>
    <n v="1733637"/>
    <n v="874771927750"/>
    <n v="204757766"/>
    <n v="103607429596000"/>
  </r>
  <r>
    <s v="현대차"/>
    <x v="30"/>
    <n v="5380"/>
    <s v="KR7005380001"/>
    <x v="2"/>
    <s v="KOSPI"/>
    <n v="509000"/>
    <n v="28500"/>
    <n v="5.93"/>
    <n v="480500"/>
    <n v="515000"/>
    <n v="477000"/>
    <n v="3270111"/>
    <n v="1639190603500"/>
    <n v="204757766"/>
    <n v="104221702894000"/>
  </r>
  <r>
    <s v="현대차"/>
    <x v="31"/>
    <n v="5380"/>
    <s v="KR7005380001"/>
    <x v="2"/>
    <s v="KOSPI"/>
    <n v="480500"/>
    <n v="2500"/>
    <n v="0.52"/>
    <n v="499000"/>
    <n v="505000"/>
    <n v="479000"/>
    <n v="1738747"/>
    <n v="850651601000"/>
    <n v="204757766"/>
    <n v="98386106563000"/>
  </r>
  <r>
    <s v="현대차"/>
    <x v="32"/>
    <n v="5380"/>
    <s v="KR7005380001"/>
    <x v="2"/>
    <s v="KOSPI"/>
    <n v="478000"/>
    <n v="10500"/>
    <n v="2.25"/>
    <n v="484000"/>
    <n v="485000"/>
    <n v="473000"/>
    <n v="1518143"/>
    <n v="726961477000"/>
    <n v="204757766"/>
    <n v="97874212148000"/>
  </r>
  <r>
    <s v="현대차"/>
    <x v="33"/>
    <n v="5380"/>
    <s v="KR7005380001"/>
    <x v="2"/>
    <s v="KOSPI"/>
    <n v="467500"/>
    <n v="-21000"/>
    <n v="-4.3"/>
    <n v="469500"/>
    <n v="473000"/>
    <n v="452000"/>
    <n v="2023516"/>
    <n v="938552051750"/>
    <n v="204757766"/>
    <n v="95724255605000"/>
  </r>
  <r>
    <s v="현대차"/>
    <x v="34"/>
    <n v="5380"/>
    <s v="KR7005380001"/>
    <x v="2"/>
    <s v="KOSPI"/>
    <n v="488500"/>
    <n v="-15500"/>
    <n v="-3.08"/>
    <n v="492500"/>
    <n v="508000"/>
    <n v="483500"/>
    <n v="1653286"/>
    <n v="816561531750"/>
    <n v="204757766"/>
    <n v="100024168691000"/>
  </r>
  <r>
    <s v="현대차"/>
    <x v="35"/>
    <n v="5380"/>
    <s v="KR7005380001"/>
    <x v="2"/>
    <s v="KOSPI"/>
    <n v="504000"/>
    <n v="12500"/>
    <n v="2.54"/>
    <n v="502000"/>
    <n v="518000"/>
    <n v="497500"/>
    <n v="1706630"/>
    <n v="863584752500"/>
    <n v="204757766"/>
    <n v="103197914064000"/>
  </r>
  <r>
    <s v="현대차"/>
    <x v="36"/>
    <n v="5380"/>
    <s v="KR7005380001"/>
    <x v="2"/>
    <s v="KOSPI"/>
    <n v="491500"/>
    <n v="13500"/>
    <n v="2.82"/>
    <n v="487000"/>
    <n v="495000"/>
    <n v="473000"/>
    <n v="2275995"/>
    <n v="1107562522460"/>
    <n v="204757766"/>
    <n v="100638441989000"/>
  </r>
  <r>
    <s v="현대차"/>
    <x v="37"/>
    <n v="5380"/>
    <s v="KR7005380001"/>
    <x v="2"/>
    <s v="KOSPI"/>
    <n v="478000"/>
    <n v="-22000"/>
    <n v="-4.4000000000000004"/>
    <n v="486000"/>
    <n v="507000"/>
    <n v="473000"/>
    <n v="2652237"/>
    <n v="1291710304750"/>
    <n v="204757766"/>
    <n v="97874212148000"/>
  </r>
  <r>
    <s v="현대차"/>
    <x v="38"/>
    <n v="5380"/>
    <s v="KR7005380001"/>
    <x v="2"/>
    <s v="KOSPI"/>
    <n v="500000"/>
    <n v="-28000"/>
    <n v="-5.3"/>
    <n v="516000"/>
    <n v="517000"/>
    <n v="500000"/>
    <n v="3032673"/>
    <n v="1535372588000"/>
    <n v="204757766"/>
    <n v="102378883000000"/>
  </r>
  <r>
    <s v="현대차"/>
    <x v="39"/>
    <n v="5380"/>
    <s v="KR7005380001"/>
    <x v="2"/>
    <s v="KOSPI"/>
    <n v="528000"/>
    <n v="35500"/>
    <n v="7.21"/>
    <n v="501000"/>
    <n v="529000"/>
    <n v="494000"/>
    <n v="5431226"/>
    <n v="2781914345476"/>
    <n v="204757766"/>
    <n v="108112100448000"/>
  </r>
  <r>
    <s v="현대차"/>
    <x v="40"/>
    <n v="5380"/>
    <s v="KR7005380001"/>
    <x v="2"/>
    <s v="KOSPI"/>
    <n v="492500"/>
    <n v="4000"/>
    <n v="0.82"/>
    <n v="505000"/>
    <n v="506000"/>
    <n v="490500"/>
    <n v="2514604"/>
    <n v="1248436638750"/>
    <n v="204757766"/>
    <n v="100843199755000"/>
  </r>
  <r>
    <s v="현대차"/>
    <x v="41"/>
    <n v="5380"/>
    <s v="KR7005380001"/>
    <x v="2"/>
    <s v="KOSPI"/>
    <n v="488500"/>
    <n v="-4000"/>
    <n v="-0.81"/>
    <n v="473000"/>
    <n v="499000"/>
    <n v="469000"/>
    <n v="4492400"/>
    <n v="2182085557000"/>
    <n v="204757766"/>
    <n v="100024168691000"/>
  </r>
  <r>
    <s v="현대차"/>
    <x v="42"/>
    <n v="5380"/>
    <s v="KR7005380001"/>
    <x v="2"/>
    <s v="KOSPI"/>
    <n v="492500"/>
    <n v="-17500"/>
    <n v="-3.43"/>
    <n v="499000"/>
    <n v="515000"/>
    <n v="490000"/>
    <n v="3680159"/>
    <n v="1838776025766"/>
    <n v="204757766"/>
    <n v="100843199755000"/>
  </r>
  <r>
    <s v="현대차"/>
    <x v="43"/>
    <n v="5380"/>
    <s v="KR7005380001"/>
    <x v="2"/>
    <s v="KOSPI"/>
    <n v="510000"/>
    <n v="-19000"/>
    <n v="-3.59"/>
    <n v="530000"/>
    <n v="543000"/>
    <n v="500000"/>
    <n v="4774169"/>
    <n v="2467401511500"/>
    <n v="204757766"/>
    <n v="104426460660000"/>
  </r>
  <r>
    <s v="현대차"/>
    <x v="44"/>
    <n v="5380"/>
    <s v="KR7005380001"/>
    <x v="2"/>
    <s v="KOSPI"/>
    <n v="529000"/>
    <n v="-20000"/>
    <n v="-3.64"/>
    <n v="586000"/>
    <n v="590000"/>
    <n v="525000"/>
    <n v="7176207"/>
    <n v="3967626131500"/>
    <n v="204757766"/>
    <n v="108316858214000"/>
  </r>
  <r>
    <s v="현대차"/>
    <x v="45"/>
    <n v="5380"/>
    <s v="KR7005380001"/>
    <x v="2"/>
    <s v="KOSPI"/>
    <n v="549000"/>
    <n v="70000"/>
    <n v="14.61"/>
    <n v="468000"/>
    <n v="551000"/>
    <n v="467500"/>
    <n v="7830202"/>
    <n v="4051496210950"/>
    <n v="204757766"/>
    <n v="112412013534000"/>
  </r>
  <r>
    <s v="현대차"/>
    <x v="46"/>
    <n v="5380"/>
    <s v="KR7005380001"/>
    <x v="2"/>
    <s v="KOSPI"/>
    <n v="479000"/>
    <n v="-1000"/>
    <n v="-0.21"/>
    <n v="494000"/>
    <n v="496500"/>
    <n v="460500"/>
    <n v="5235613"/>
    <n v="2503816650810"/>
    <n v="204757766"/>
    <n v="98078969914000"/>
  </r>
  <r>
    <s v="현대차"/>
    <x v="47"/>
    <n v="5380"/>
    <s v="KR7005380001"/>
    <x v="2"/>
    <s v="KOSPI"/>
    <n v="480000"/>
    <n v="67000"/>
    <n v="16.22"/>
    <n v="420000"/>
    <n v="487000"/>
    <n v="419500"/>
    <n v="5990850"/>
    <n v="2768643471750"/>
    <n v="204757766"/>
    <n v="98283727680000"/>
  </r>
  <r>
    <s v="현대차"/>
    <x v="48"/>
    <n v="5380"/>
    <s v="KR7005380001"/>
    <x v="2"/>
    <s v="KOSPI"/>
    <n v="413000"/>
    <n v="-9000"/>
    <n v="-2.13"/>
    <n v="426500"/>
    <n v="426500"/>
    <n v="408000"/>
    <n v="2589883"/>
    <n v="1082019347500"/>
    <n v="204757766"/>
    <n v="84564957358000"/>
  </r>
  <r>
    <s v="현대차"/>
    <x v="49"/>
    <n v="5380"/>
    <s v="KR7005380001"/>
    <x v="2"/>
    <s v="KOSPI"/>
    <n v="422000"/>
    <n v="10500"/>
    <n v="2.5499999999999998"/>
    <n v="409500"/>
    <n v="425000"/>
    <n v="405000"/>
    <n v="2864894"/>
    <n v="1194627916181"/>
    <n v="204757766"/>
    <n v="86407777252000"/>
  </r>
  <r>
    <s v="현대차"/>
    <x v="50"/>
    <n v="5380"/>
    <s v="KR7005380001"/>
    <x v="2"/>
    <s v="KOSPI"/>
    <n v="411500"/>
    <n v="5500"/>
    <n v="1.35"/>
    <n v="406500"/>
    <n v="413500"/>
    <n v="398000"/>
    <n v="2861932"/>
    <n v="1160882101250"/>
    <n v="204757766"/>
    <n v="84257820709000"/>
  </r>
  <r>
    <s v="현대차"/>
    <x v="51"/>
    <n v="5380"/>
    <s v="KR7005380001"/>
    <x v="2"/>
    <s v="KOSPI"/>
    <n v="406000"/>
    <n v="39000"/>
    <n v="10.63"/>
    <n v="380500"/>
    <n v="413500"/>
    <n v="378000"/>
    <n v="5463622"/>
    <n v="2180542263500"/>
    <n v="204757766"/>
    <n v="83131652996000"/>
  </r>
  <r>
    <s v="현대차"/>
    <x v="52"/>
    <n v="5380"/>
    <s v="KR7005380001"/>
    <x v="2"/>
    <s v="KOSPI"/>
    <n v="367000"/>
    <n v="1000"/>
    <n v="0.27"/>
    <n v="383000"/>
    <n v="383500"/>
    <n v="358500"/>
    <n v="3027809"/>
    <n v="1126159492750"/>
    <n v="204757766"/>
    <n v="75146100122000"/>
  </r>
  <r>
    <s v="현대차"/>
    <x v="53"/>
    <n v="5380"/>
    <s v="KR7005380001"/>
    <x v="2"/>
    <s v="KOSPI"/>
    <n v="366000"/>
    <n v="25500"/>
    <n v="7.49"/>
    <n v="349000"/>
    <n v="369000"/>
    <n v="340000"/>
    <n v="3104258"/>
    <n v="1102922804250"/>
    <n v="204757766"/>
    <n v="74941342356000"/>
  </r>
  <r>
    <s v="현대차"/>
    <x v="54"/>
    <n v="5380"/>
    <s v="KR7005380001"/>
    <x v="2"/>
    <s v="KOSPI"/>
    <n v="340500"/>
    <n v="-10000"/>
    <n v="-2.85"/>
    <n v="361000"/>
    <n v="361000"/>
    <n v="338000"/>
    <n v="3053301"/>
    <n v="1057360251750"/>
    <n v="204757766"/>
    <n v="69720019323000"/>
  </r>
  <r>
    <s v="현대차"/>
    <x v="55"/>
    <n v="5380"/>
    <s v="KR7005380001"/>
    <x v="2"/>
    <s v="KOSPI"/>
    <n v="350500"/>
    <n v="42500"/>
    <n v="13.8"/>
    <n v="314000"/>
    <n v="362000"/>
    <n v="313000"/>
    <n v="7764177"/>
    <n v="2655729376500"/>
    <n v="204757766"/>
    <n v="71767596983000"/>
  </r>
  <r>
    <s v="현대차"/>
    <x v="56"/>
    <n v="5380"/>
    <s v="KR7005380001"/>
    <x v="2"/>
    <s v="KOSPI"/>
    <n v="308000"/>
    <n v="3500"/>
    <n v="1.1499999999999999"/>
    <n v="318000"/>
    <n v="330000"/>
    <n v="304000"/>
    <n v="3346949"/>
    <n v="1052280146500"/>
    <n v="204757766"/>
    <n v="63065391928000"/>
  </r>
  <r>
    <s v="현대차"/>
    <x v="57"/>
    <n v="5380"/>
    <s v="KR7005380001"/>
    <x v="2"/>
    <s v="KOSPI"/>
    <n v="304500"/>
    <n v="6000"/>
    <n v="2.0099999999999998"/>
    <n v="302500"/>
    <n v="310000"/>
    <n v="302000"/>
    <n v="1292161"/>
    <n v="395737421750"/>
    <n v="204757766"/>
    <n v="62348739747000"/>
  </r>
  <r>
    <s v="현대차"/>
    <x v="58"/>
    <n v="5380"/>
    <s v="KR7005380001"/>
    <x v="2"/>
    <s v="KOSPI"/>
    <n v="298500"/>
    <n v="2000"/>
    <n v="0.67"/>
    <n v="299500"/>
    <n v="302000"/>
    <n v="293000"/>
    <n v="955205"/>
    <n v="284589571750"/>
    <n v="204757766"/>
    <n v="61120193151000"/>
  </r>
  <r>
    <s v="LG에너지솔루션"/>
    <x v="0"/>
    <n v="373220"/>
    <s v="KR7373220003"/>
    <x v="3"/>
    <s v="KOSPI"/>
    <n v="394500"/>
    <n v="-15500"/>
    <n v="-3.78"/>
    <n v="406000"/>
    <n v="410000"/>
    <n v="390500"/>
    <n v="518297"/>
    <n v="206926156500"/>
    <n v="234000000"/>
    <n v="92313000000000"/>
  </r>
  <r>
    <s v="LG에너지솔루션"/>
    <x v="1"/>
    <n v="373220"/>
    <s v="KR7373220003"/>
    <x v="3"/>
    <s v="KOSPI"/>
    <n v="410000"/>
    <n v="15500"/>
    <n v="3.93"/>
    <n v="379500"/>
    <n v="414000"/>
    <n v="377000"/>
    <n v="747897"/>
    <n v="303854880500"/>
    <n v="234000000"/>
    <n v="95940000000000"/>
  </r>
  <r>
    <s v="LG에너지솔루션"/>
    <x v="2"/>
    <n v="373220"/>
    <s v="KR7373220003"/>
    <x v="3"/>
    <s v="KOSPI"/>
    <n v="394500"/>
    <n v="10000"/>
    <n v="2.6"/>
    <n v="374000"/>
    <n v="396000"/>
    <n v="366000"/>
    <n v="372863"/>
    <n v="143166970250"/>
    <n v="234000000"/>
    <n v="92313000000000"/>
  </r>
  <r>
    <s v="LG에너지솔루션"/>
    <x v="3"/>
    <n v="373220"/>
    <s v="KR7373220003"/>
    <x v="3"/>
    <s v="KOSPI"/>
    <n v="384500"/>
    <n v="-9500"/>
    <n v="-2.41"/>
    <n v="392500"/>
    <n v="393000"/>
    <n v="380000"/>
    <n v="274503"/>
    <n v="106025187000"/>
    <n v="234000000"/>
    <n v="89973000000000"/>
  </r>
  <r>
    <s v="LG에너지솔루션"/>
    <x v="4"/>
    <n v="373220"/>
    <s v="KR7373220003"/>
    <x v="3"/>
    <s v="KOSPI"/>
    <n v="394000"/>
    <n v="1500"/>
    <n v="0.38"/>
    <n v="392000"/>
    <n v="400000"/>
    <n v="386500"/>
    <n v="352715"/>
    <n v="138642260000"/>
    <n v="234000000"/>
    <n v="92196000000000"/>
  </r>
  <r>
    <s v="LG에너지솔루션"/>
    <x v="5"/>
    <n v="373220"/>
    <s v="KR7373220003"/>
    <x v="3"/>
    <s v="KOSPI"/>
    <n v="392500"/>
    <n v="36500"/>
    <n v="10.25"/>
    <n v="371500"/>
    <n v="392500"/>
    <n v="368000"/>
    <n v="656541"/>
    <n v="251899280750"/>
    <n v="234000000"/>
    <n v="91845000000000"/>
  </r>
  <r>
    <s v="LG에너지솔루션"/>
    <x v="6"/>
    <n v="373220"/>
    <s v="KR7373220003"/>
    <x v="3"/>
    <s v="KOSPI"/>
    <n v="356000"/>
    <n v="-19500"/>
    <n v="-5.19"/>
    <n v="362000"/>
    <n v="365000"/>
    <n v="355000"/>
    <n v="302070"/>
    <n v="108417222500"/>
    <n v="234000000"/>
    <n v="83304000000000"/>
  </r>
  <r>
    <s v="LG에너지솔루션"/>
    <x v="7"/>
    <n v="373220"/>
    <s v="KR7373220003"/>
    <x v="3"/>
    <s v="KOSPI"/>
    <n v="375500"/>
    <n v="4500"/>
    <n v="1.21"/>
    <n v="377000"/>
    <n v="378000"/>
    <n v="372000"/>
    <n v="200932"/>
    <n v="75218991000"/>
    <n v="234000000"/>
    <n v="87867000000000"/>
  </r>
  <r>
    <s v="LG에너지솔루션"/>
    <x v="8"/>
    <n v="373220"/>
    <s v="KR7373220003"/>
    <x v="3"/>
    <s v="KOSPI"/>
    <n v="371000"/>
    <n v="-12500"/>
    <n v="-3.26"/>
    <n v="374500"/>
    <n v="378500"/>
    <n v="371000"/>
    <n v="213253"/>
    <n v="79807027750"/>
    <n v="234000000"/>
    <n v="86814000000000"/>
  </r>
  <r>
    <s v="LG에너지솔루션"/>
    <x v="9"/>
    <n v="373220"/>
    <s v="KR7373220003"/>
    <x v="3"/>
    <s v="KOSPI"/>
    <n v="383500"/>
    <n v="3000"/>
    <n v="0.79"/>
    <n v="390500"/>
    <n v="390500"/>
    <n v="381500"/>
    <n v="279721"/>
    <n v="107373811000"/>
    <n v="234000000"/>
    <n v="89739000000000"/>
  </r>
  <r>
    <s v="LG에너지솔루션"/>
    <x v="10"/>
    <n v="373220"/>
    <s v="KR7373220003"/>
    <x v="3"/>
    <s v="KOSPI"/>
    <n v="380500"/>
    <n v="14500"/>
    <n v="3.96"/>
    <n v="371000"/>
    <n v="380500"/>
    <n v="370000"/>
    <n v="345242"/>
    <n v="129788034500"/>
    <n v="234000000"/>
    <n v="89037000000000"/>
  </r>
  <r>
    <s v="LG에너지솔루션"/>
    <x v="11"/>
    <n v="373220"/>
    <s v="KR7373220003"/>
    <x v="3"/>
    <s v="KOSPI"/>
    <n v="366000"/>
    <n v="-3000"/>
    <n v="-0.81"/>
    <n v="368500"/>
    <n v="373000"/>
    <n v="363500"/>
    <n v="280349"/>
    <n v="102937780250"/>
    <n v="234000000"/>
    <n v="85644000000000"/>
  </r>
  <r>
    <s v="LG에너지솔루션"/>
    <x v="12"/>
    <n v="373220"/>
    <s v="KR7373220003"/>
    <x v="3"/>
    <s v="KOSPI"/>
    <n v="369000"/>
    <n v="-15000"/>
    <n v="-3.91"/>
    <n v="370000"/>
    <n v="372500"/>
    <n v="363500"/>
    <n v="370087"/>
    <n v="136317521000"/>
    <n v="234000000"/>
    <n v="86346000000000"/>
  </r>
  <r>
    <s v="LG에너지솔루션"/>
    <x v="13"/>
    <n v="373220"/>
    <s v="KR7373220003"/>
    <x v="3"/>
    <s v="KOSPI"/>
    <n v="384000"/>
    <n v="14500"/>
    <n v="3.92"/>
    <n v="369500"/>
    <n v="384000"/>
    <n v="367000"/>
    <n v="345803"/>
    <n v="130386327750"/>
    <n v="234000000"/>
    <n v="89856000000000"/>
  </r>
  <r>
    <s v="LG에너지솔루션"/>
    <x v="14"/>
    <n v="373220"/>
    <s v="KR7373220003"/>
    <x v="3"/>
    <s v="KOSPI"/>
    <n v="369500"/>
    <n v="2500"/>
    <n v="0.68"/>
    <n v="375000"/>
    <n v="380750"/>
    <n v="367000"/>
    <n v="263280"/>
    <n v="98701195500"/>
    <n v="234000000"/>
    <n v="86463000000000"/>
  </r>
  <r>
    <s v="LG에너지솔루션"/>
    <x v="15"/>
    <n v="373220"/>
    <s v="KR7373220003"/>
    <x v="3"/>
    <s v="KOSPI"/>
    <n v="367000"/>
    <n v="7500"/>
    <n v="2.09"/>
    <n v="375500"/>
    <n v="376500"/>
    <n v="360000"/>
    <n v="298332"/>
    <n v="109384502000"/>
    <n v="234000000"/>
    <n v="85878000000000"/>
  </r>
  <r>
    <s v="LG에너지솔루션"/>
    <x v="16"/>
    <n v="373220"/>
    <s v="KR7373220003"/>
    <x v="3"/>
    <s v="KOSPI"/>
    <n v="359500"/>
    <n v="-18000"/>
    <n v="-4.7699999999999996"/>
    <n v="360000"/>
    <n v="364500"/>
    <n v="350500"/>
    <n v="414051"/>
    <n v="147376796500"/>
    <n v="234000000"/>
    <n v="84123000000000"/>
  </r>
  <r>
    <s v="LG에너지솔루션"/>
    <x v="17"/>
    <n v="373220"/>
    <s v="KR7373220003"/>
    <x v="3"/>
    <s v="KOSPI"/>
    <n v="377500"/>
    <n v="6000"/>
    <n v="1.62"/>
    <n v="372000"/>
    <n v="382500"/>
    <n v="365000"/>
    <n v="350799"/>
    <n v="130917588250"/>
    <n v="234000000"/>
    <n v="88335000000000"/>
  </r>
  <r>
    <s v="LG에너지솔루션"/>
    <x v="18"/>
    <n v="373220"/>
    <s v="KR7373220003"/>
    <x v="3"/>
    <s v="KOSPI"/>
    <n v="371500"/>
    <n v="24000"/>
    <n v="6.91"/>
    <n v="376500"/>
    <n v="382000"/>
    <n v="366000"/>
    <n v="541523"/>
    <n v="202663651500"/>
    <n v="234000000"/>
    <n v="86931000000000"/>
  </r>
  <r>
    <s v="LG에너지솔루션"/>
    <x v="19"/>
    <n v="373220"/>
    <s v="KR7373220003"/>
    <x v="3"/>
    <s v="KOSPI"/>
    <n v="347500"/>
    <n v="-45500"/>
    <n v="-11.58"/>
    <n v="380000"/>
    <n v="390000"/>
    <n v="346000"/>
    <n v="826847"/>
    <n v="300482717000"/>
    <n v="234000000"/>
    <n v="81315000000000"/>
  </r>
  <r>
    <s v="LG에너지솔루션"/>
    <x v="20"/>
    <n v="373220"/>
    <s v="KR7373220003"/>
    <x v="3"/>
    <s v="KOSPI"/>
    <n v="393000"/>
    <n v="-34000"/>
    <n v="-7.96"/>
    <n v="414500"/>
    <n v="418000"/>
    <n v="389000"/>
    <n v="489727"/>
    <n v="197552544500"/>
    <n v="234000000"/>
    <n v="91962000000000"/>
  </r>
  <r>
    <s v="LG에너지솔루션"/>
    <x v="21"/>
    <n v="373220"/>
    <s v="KR7373220003"/>
    <x v="3"/>
    <s v="KOSPI"/>
    <n v="427000"/>
    <n v="0"/>
    <n v="0"/>
    <n v="420000"/>
    <n v="434000"/>
    <n v="415500"/>
    <n v="591387"/>
    <n v="252281092500"/>
    <n v="234000000"/>
    <n v="99918000000000"/>
  </r>
  <r>
    <s v="LG에너지솔루션"/>
    <x v="22"/>
    <n v="373220"/>
    <s v="KR7373220003"/>
    <x v="3"/>
    <s v="KOSPI"/>
    <n v="427000"/>
    <n v="1000"/>
    <n v="0.23"/>
    <n v="431500"/>
    <n v="440000"/>
    <n v="419000"/>
    <n v="540625"/>
    <n v="231384579750"/>
    <n v="234000000"/>
    <n v="99918000000000"/>
  </r>
  <r>
    <s v="LG에너지솔루션"/>
    <x v="23"/>
    <n v="373220"/>
    <s v="KR7373220003"/>
    <x v="3"/>
    <s v="KOSPI"/>
    <n v="426000"/>
    <n v="13500"/>
    <n v="3.27"/>
    <n v="417500"/>
    <n v="429000"/>
    <n v="409000"/>
    <n v="650523"/>
    <n v="274574034000"/>
    <n v="234000000"/>
    <n v="99684000000000"/>
  </r>
  <r>
    <s v="LG에너지솔루션"/>
    <x v="24"/>
    <n v="373220"/>
    <s v="KR7373220003"/>
    <x v="3"/>
    <s v="KOSPI"/>
    <n v="412500"/>
    <n v="16500"/>
    <n v="4.17"/>
    <n v="407000"/>
    <n v="416500"/>
    <n v="403000"/>
    <n v="588995"/>
    <n v="242216884500"/>
    <n v="234000000"/>
    <n v="96525000000000"/>
  </r>
  <r>
    <s v="LG에너지솔루션"/>
    <x v="25"/>
    <n v="373220"/>
    <s v="KR7373220003"/>
    <x v="3"/>
    <s v="KOSPI"/>
    <n v="396000"/>
    <n v="-5500"/>
    <n v="-1.37"/>
    <n v="403500"/>
    <n v="405000"/>
    <n v="395500"/>
    <n v="268719"/>
    <n v="106967885250"/>
    <n v="234000000"/>
    <n v="92664000000000"/>
  </r>
  <r>
    <s v="LG에너지솔루션"/>
    <x v="26"/>
    <n v="373220"/>
    <s v="KR7373220003"/>
    <x v="3"/>
    <s v="KOSPI"/>
    <n v="401500"/>
    <n v="-2000"/>
    <n v="-0.5"/>
    <n v="403500"/>
    <n v="406500"/>
    <n v="400000"/>
    <n v="219069"/>
    <n v="88092688250"/>
    <n v="234000000"/>
    <n v="93951000000000"/>
  </r>
  <r>
    <s v="LG에너지솔루션"/>
    <x v="27"/>
    <n v="373220"/>
    <s v="KR7373220003"/>
    <x v="3"/>
    <s v="KOSPI"/>
    <n v="403500"/>
    <n v="8500"/>
    <n v="2.15"/>
    <n v="399500"/>
    <n v="403500"/>
    <n v="395500"/>
    <n v="267049"/>
    <n v="107010516500"/>
    <n v="234000000"/>
    <n v="94419000000000"/>
  </r>
  <r>
    <s v="LG에너지솔루션"/>
    <x v="28"/>
    <n v="373220"/>
    <s v="KR7373220003"/>
    <x v="3"/>
    <s v="KOSPI"/>
    <n v="395000"/>
    <n v="-15000"/>
    <n v="-3.66"/>
    <n v="404000"/>
    <n v="404500"/>
    <n v="394500"/>
    <n v="321449"/>
    <n v="127814416250"/>
    <n v="234000000"/>
    <n v="92430000000000"/>
  </r>
  <r>
    <s v="LG에너지솔루션"/>
    <x v="29"/>
    <n v="373220"/>
    <s v="KR7373220003"/>
    <x v="3"/>
    <s v="KOSPI"/>
    <n v="410000"/>
    <n v="18000"/>
    <n v="4.59"/>
    <n v="400000"/>
    <n v="411000"/>
    <n v="393000"/>
    <n v="583824"/>
    <n v="237001666500"/>
    <n v="234000000"/>
    <n v="95940000000000"/>
  </r>
  <r>
    <s v="LG에너지솔루션"/>
    <x v="30"/>
    <n v="373220"/>
    <s v="KR7373220003"/>
    <x v="3"/>
    <s v="KOSPI"/>
    <n v="392000"/>
    <n v="1500"/>
    <n v="0.38"/>
    <n v="393500"/>
    <n v="397500"/>
    <n v="388000"/>
    <n v="187479"/>
    <n v="73378164250"/>
    <n v="234000000"/>
    <n v="91728000000000"/>
  </r>
  <r>
    <s v="LG에너지솔루션"/>
    <x v="31"/>
    <n v="373220"/>
    <s v="KR7373220003"/>
    <x v="3"/>
    <s v="KOSPI"/>
    <n v="390500"/>
    <n v="-4000"/>
    <n v="-1.01"/>
    <n v="397500"/>
    <n v="399000"/>
    <n v="386500"/>
    <n v="302157"/>
    <n v="117831080500"/>
    <n v="234000000"/>
    <n v="91377000000000"/>
  </r>
  <r>
    <s v="LG에너지솔루션"/>
    <x v="32"/>
    <n v="373220"/>
    <s v="KR7373220003"/>
    <x v="3"/>
    <s v="KOSPI"/>
    <n v="394500"/>
    <n v="9500"/>
    <n v="2.4700000000000002"/>
    <n v="398000"/>
    <n v="401500"/>
    <n v="388000"/>
    <n v="230057"/>
    <n v="90378612750"/>
    <n v="234000000"/>
    <n v="92313000000000"/>
  </r>
  <r>
    <s v="LG에너지솔루션"/>
    <x v="33"/>
    <n v="373220"/>
    <s v="KR7373220003"/>
    <x v="3"/>
    <s v="KOSPI"/>
    <n v="385000"/>
    <n v="-10000"/>
    <n v="-2.5299999999999998"/>
    <n v="383500"/>
    <n v="386000"/>
    <n v="377000"/>
    <n v="265446"/>
    <n v="101486138000"/>
    <n v="234000000"/>
    <n v="90090000000000"/>
  </r>
  <r>
    <s v="LG에너지솔루션"/>
    <x v="34"/>
    <n v="373220"/>
    <s v="KR7373220003"/>
    <x v="3"/>
    <s v="KOSPI"/>
    <n v="395000"/>
    <n v="-7500"/>
    <n v="-1.86"/>
    <n v="399500"/>
    <n v="408500"/>
    <n v="392000"/>
    <n v="338536"/>
    <n v="134795077000"/>
    <n v="234000000"/>
    <n v="92430000000000"/>
  </r>
  <r>
    <s v="LG에너지솔루션"/>
    <x v="35"/>
    <n v="373220"/>
    <s v="KR7373220003"/>
    <x v="3"/>
    <s v="KOSPI"/>
    <n v="402500"/>
    <n v="11500"/>
    <n v="2.94"/>
    <n v="398000"/>
    <n v="405000"/>
    <n v="394000"/>
    <n v="337066"/>
    <n v="135101685250"/>
    <n v="234000000"/>
    <n v="94185000000000"/>
  </r>
  <r>
    <s v="LG에너지솔루션"/>
    <x v="36"/>
    <n v="373220"/>
    <s v="KR7373220003"/>
    <x v="3"/>
    <s v="KOSPI"/>
    <n v="391000"/>
    <n v="11000"/>
    <n v="2.89"/>
    <n v="391000"/>
    <n v="391500"/>
    <n v="381500"/>
    <n v="271188"/>
    <n v="105214004500"/>
    <n v="234000000"/>
    <n v="91494000000000"/>
  </r>
  <r>
    <s v="LG에너지솔루션"/>
    <x v="37"/>
    <n v="373220"/>
    <s v="KR7373220003"/>
    <x v="3"/>
    <s v="KOSPI"/>
    <n v="380000"/>
    <n v="-18000"/>
    <n v="-4.5199999999999996"/>
    <n v="392500"/>
    <n v="400500"/>
    <n v="379000"/>
    <n v="401037"/>
    <n v="155555457000"/>
    <n v="234000000"/>
    <n v="88920000000000"/>
  </r>
  <r>
    <s v="LG에너지솔루션"/>
    <x v="38"/>
    <n v="373220"/>
    <s v="KR7373220003"/>
    <x v="3"/>
    <s v="KOSPI"/>
    <n v="398000"/>
    <n v="-18500"/>
    <n v="-4.4400000000000004"/>
    <n v="417000"/>
    <n v="419500"/>
    <n v="398000"/>
    <n v="579004"/>
    <n v="235166574250"/>
    <n v="234000000"/>
    <n v="93132000000000"/>
  </r>
  <r>
    <s v="LG에너지솔루션"/>
    <x v="39"/>
    <n v="373220"/>
    <s v="KR7373220003"/>
    <x v="3"/>
    <s v="KOSPI"/>
    <n v="416500"/>
    <n v="-14500"/>
    <n v="-3.36"/>
    <n v="435000"/>
    <n v="435000"/>
    <n v="411500"/>
    <n v="709422"/>
    <n v="296330947500"/>
    <n v="234000000"/>
    <n v="97461000000000"/>
  </r>
  <r>
    <s v="LG에너지솔루션"/>
    <x v="40"/>
    <n v="373220"/>
    <s v="KR7373220003"/>
    <x v="3"/>
    <s v="KOSPI"/>
    <n v="431000"/>
    <n v="22500"/>
    <n v="5.51"/>
    <n v="421500"/>
    <n v="455000"/>
    <n v="421500"/>
    <n v="1462794"/>
    <n v="637497787000"/>
    <n v="234000000"/>
    <n v="100854000000000"/>
  </r>
  <r>
    <s v="LG에너지솔루션"/>
    <x v="41"/>
    <n v="373220"/>
    <s v="KR7373220003"/>
    <x v="3"/>
    <s v="KOSPI"/>
    <n v="408500"/>
    <n v="-7500"/>
    <n v="-1.8"/>
    <n v="410000"/>
    <n v="416500"/>
    <n v="404500"/>
    <n v="330244"/>
    <n v="135299042750"/>
    <n v="234000000"/>
    <n v="95589000000000"/>
  </r>
  <r>
    <s v="LG에너지솔루션"/>
    <x v="42"/>
    <n v="373220"/>
    <s v="KR7373220003"/>
    <x v="3"/>
    <s v="KOSPI"/>
    <n v="416000"/>
    <n v="4000"/>
    <n v="0.97"/>
    <n v="415000"/>
    <n v="422000"/>
    <n v="411000"/>
    <n v="323197"/>
    <n v="134168680750"/>
    <n v="234000000"/>
    <n v="97344000000000"/>
  </r>
  <r>
    <s v="LG에너지솔루션"/>
    <x v="43"/>
    <n v="373220"/>
    <s v="KR7373220003"/>
    <x v="3"/>
    <s v="KOSPI"/>
    <n v="412000"/>
    <n v="-5000"/>
    <n v="-1.2"/>
    <n v="427500"/>
    <n v="430500"/>
    <n v="407000"/>
    <n v="486387"/>
    <n v="201782984500"/>
    <n v="234000000"/>
    <n v="96408000000000"/>
  </r>
  <r>
    <s v="LG에너지솔루션"/>
    <x v="44"/>
    <n v="373220"/>
    <s v="KR7373220003"/>
    <x v="3"/>
    <s v="KOSPI"/>
    <n v="417000"/>
    <n v="22500"/>
    <n v="5.7"/>
    <n v="397500"/>
    <n v="418000"/>
    <n v="395500"/>
    <n v="680002"/>
    <n v="280920608500"/>
    <n v="234000000"/>
    <n v="97578000000000"/>
  </r>
  <r>
    <s v="LG에너지솔루션"/>
    <x v="45"/>
    <n v="373220"/>
    <s v="KR7373220003"/>
    <x v="3"/>
    <s v="KOSPI"/>
    <n v="394500"/>
    <n v="-8500"/>
    <n v="-2.11"/>
    <n v="395500"/>
    <n v="398000"/>
    <n v="389000"/>
    <n v="280563"/>
    <n v="110357504000"/>
    <n v="234000000"/>
    <n v="92313000000000"/>
  </r>
  <r>
    <s v="LG에너지솔루션"/>
    <x v="46"/>
    <n v="373220"/>
    <s v="KR7373220003"/>
    <x v="3"/>
    <s v="KOSPI"/>
    <n v="403000"/>
    <n v="4500"/>
    <n v="1.1299999999999999"/>
    <n v="398000"/>
    <n v="413500"/>
    <n v="396500"/>
    <n v="455475"/>
    <n v="183995191000"/>
    <n v="234000000"/>
    <n v="94302000000000"/>
  </r>
  <r>
    <s v="LG에너지솔루션"/>
    <x v="47"/>
    <n v="373220"/>
    <s v="KR7373220003"/>
    <x v="3"/>
    <s v="KOSPI"/>
    <n v="398500"/>
    <n v="7500"/>
    <n v="1.92"/>
    <n v="389500"/>
    <n v="401000"/>
    <n v="384000"/>
    <n v="408315"/>
    <n v="160505124750"/>
    <n v="234000000"/>
    <n v="93249000000000"/>
  </r>
  <r>
    <s v="LG에너지솔루션"/>
    <x v="48"/>
    <n v="373220"/>
    <s v="KR7373220003"/>
    <x v="3"/>
    <s v="KOSPI"/>
    <n v="391000"/>
    <n v="-1000"/>
    <n v="-0.26"/>
    <n v="394000"/>
    <n v="398000"/>
    <n v="388000"/>
    <n v="289648"/>
    <n v="113504237500"/>
    <n v="234000000"/>
    <n v="91494000000000"/>
  </r>
  <r>
    <s v="LG에너지솔루션"/>
    <x v="49"/>
    <n v="373220"/>
    <s v="KR7373220003"/>
    <x v="3"/>
    <s v="KOSPI"/>
    <n v="392000"/>
    <n v="2500"/>
    <n v="0.64"/>
    <n v="390000"/>
    <n v="395500"/>
    <n v="384500"/>
    <n v="284050"/>
    <n v="110412230750"/>
    <n v="234000000"/>
    <n v="91728000000000"/>
  </r>
  <r>
    <s v="LG에너지솔루션"/>
    <x v="50"/>
    <n v="373220"/>
    <s v="KR7373220003"/>
    <x v="3"/>
    <s v="KOSPI"/>
    <n v="389500"/>
    <n v="-4500"/>
    <n v="-1.1399999999999999"/>
    <n v="394000"/>
    <n v="396000"/>
    <n v="387000"/>
    <n v="270844"/>
    <n v="105619638250"/>
    <n v="234000000"/>
    <n v="91143000000000"/>
  </r>
  <r>
    <s v="LG에너지솔루션"/>
    <x v="51"/>
    <n v="373220"/>
    <s v="KR7373220003"/>
    <x v="3"/>
    <s v="KOSPI"/>
    <n v="394000"/>
    <n v="15000"/>
    <n v="3.96"/>
    <n v="385500"/>
    <n v="394500"/>
    <n v="378000"/>
    <n v="473453"/>
    <n v="184087092250"/>
    <n v="234000000"/>
    <n v="92196000000000"/>
  </r>
  <r>
    <s v="LG에너지솔루션"/>
    <x v="52"/>
    <n v="373220"/>
    <s v="KR7373220003"/>
    <x v="3"/>
    <s v="KOSPI"/>
    <n v="379000"/>
    <n v="16000"/>
    <n v="4.41"/>
    <n v="364500"/>
    <n v="379500"/>
    <n v="363000"/>
    <n v="429789"/>
    <n v="161391602750"/>
    <n v="234000000"/>
    <n v="88686000000000"/>
  </r>
  <r>
    <s v="LG에너지솔루션"/>
    <x v="53"/>
    <n v="373220"/>
    <s v="KR7373220003"/>
    <x v="3"/>
    <s v="KOSPI"/>
    <n v="363000"/>
    <n v="-3000"/>
    <n v="-0.82"/>
    <n v="370000"/>
    <n v="371000"/>
    <n v="361000"/>
    <n v="344929"/>
    <n v="125563788500"/>
    <n v="234000000"/>
    <n v="84942000000000"/>
  </r>
  <r>
    <s v="LG에너지솔루션"/>
    <x v="54"/>
    <n v="373220"/>
    <s v="KR7373220003"/>
    <x v="3"/>
    <s v="KOSPI"/>
    <n v="366000"/>
    <n v="-4500"/>
    <n v="-1.21"/>
    <n v="369000"/>
    <n v="371000"/>
    <n v="363500"/>
    <n v="413793"/>
    <n v="151267032750"/>
    <n v="234000000"/>
    <n v="85644000000000"/>
  </r>
  <r>
    <s v="LG에너지솔루션"/>
    <x v="55"/>
    <n v="373220"/>
    <s v="KR7373220003"/>
    <x v="3"/>
    <s v="KOSPI"/>
    <n v="370500"/>
    <n v="-7500"/>
    <n v="-1.98"/>
    <n v="378500"/>
    <n v="383500"/>
    <n v="367500"/>
    <n v="275402"/>
    <n v="102456878000"/>
    <n v="234000000"/>
    <n v="86697000000000"/>
  </r>
  <r>
    <s v="LG에너지솔루션"/>
    <x v="56"/>
    <n v="373220"/>
    <s v="KR7373220003"/>
    <x v="3"/>
    <s v="KOSPI"/>
    <n v="378000"/>
    <n v="6500"/>
    <n v="1.75"/>
    <n v="379000"/>
    <n v="383000"/>
    <n v="373500"/>
    <n v="316118"/>
    <n v="119345682750"/>
    <n v="234000000"/>
    <n v="88452000000000"/>
  </r>
  <r>
    <s v="LG에너지솔루션"/>
    <x v="57"/>
    <n v="373220"/>
    <s v="KR7373220003"/>
    <x v="3"/>
    <s v="KOSPI"/>
    <n v="371500"/>
    <n v="10500"/>
    <n v="2.91"/>
    <n v="358500"/>
    <n v="373500"/>
    <n v="358500"/>
    <n v="355352"/>
    <n v="131332373250"/>
    <n v="234000000"/>
    <n v="86931000000000"/>
  </r>
  <r>
    <s v="LG에너지솔루션"/>
    <x v="58"/>
    <n v="373220"/>
    <s v="KR7373220003"/>
    <x v="3"/>
    <s v="KOSPI"/>
    <n v="361000"/>
    <n v="-7500"/>
    <n v="-2.04"/>
    <n v="368500"/>
    <n v="368500"/>
    <n v="358500"/>
    <n v="329529"/>
    <n v="119065453500"/>
    <n v="234000000"/>
    <n v="84474000000000"/>
  </r>
  <r>
    <s v="한화에어로스페이스"/>
    <x v="0"/>
    <n v="12450"/>
    <s v="KR7012450003"/>
    <x v="4"/>
    <s v="KOSPI"/>
    <n v="1249000"/>
    <n v="-59000"/>
    <n v="-4.51"/>
    <n v="1263000"/>
    <n v="1289000"/>
    <n v="1217000"/>
    <n v="277570"/>
    <n v="346018472500"/>
    <n v="51563401"/>
    <n v="64402687849000"/>
  </r>
  <r>
    <s v="한화에어로스페이스"/>
    <x v="1"/>
    <n v="12450"/>
    <s v="KR7012450003"/>
    <x v="4"/>
    <s v="KOSPI"/>
    <n v="1308000"/>
    <n v="-27000"/>
    <n v="-2.02"/>
    <n v="1276000"/>
    <n v="1327000"/>
    <n v="1256000"/>
    <n v="160318"/>
    <n v="208118189000"/>
    <n v="51563401"/>
    <n v="67444928508000"/>
  </r>
  <r>
    <s v="한화에어로스페이스"/>
    <x v="2"/>
    <n v="12450"/>
    <s v="KR7012450003"/>
    <x v="4"/>
    <s v="KOSPI"/>
    <n v="1335000"/>
    <n v="-34000"/>
    <n v="-2.48"/>
    <n v="1349000"/>
    <n v="1349000"/>
    <n v="1287000"/>
    <n v="205178"/>
    <n v="270677694500"/>
    <n v="51563401"/>
    <n v="68837140335000"/>
  </r>
  <r>
    <s v="한화에어로스페이스"/>
    <x v="3"/>
    <n v="12450"/>
    <s v="KR7012450003"/>
    <x v="4"/>
    <s v="KOSPI"/>
    <n v="1369000"/>
    <n v="-31000"/>
    <n v="-2.21"/>
    <n v="1425000"/>
    <n v="1425000"/>
    <n v="1351000"/>
    <n v="158124"/>
    <n v="219721866500"/>
    <n v="51563401"/>
    <n v="70590295969000"/>
  </r>
  <r>
    <s v="한화에어로스페이스"/>
    <x v="4"/>
    <n v="12450"/>
    <s v="KR7012450003"/>
    <x v="4"/>
    <s v="KOSPI"/>
    <n v="1400000"/>
    <n v="65000"/>
    <n v="4.87"/>
    <n v="1362000"/>
    <n v="1400000"/>
    <n v="1332000"/>
    <n v="212913"/>
    <n v="293552798500"/>
    <n v="51563401"/>
    <n v="72188761400000"/>
  </r>
  <r>
    <s v="한화에어로스페이스"/>
    <x v="5"/>
    <n v="12450"/>
    <s v="KR7012450003"/>
    <x v="4"/>
    <s v="KOSPI"/>
    <n v="1335000"/>
    <n v="57000"/>
    <n v="4.46"/>
    <n v="1310000"/>
    <n v="1348000"/>
    <n v="1291000"/>
    <n v="154321"/>
    <n v="204023090000"/>
    <n v="51563401"/>
    <n v="68837140335000"/>
  </r>
  <r>
    <s v="한화에어로스페이스"/>
    <x v="6"/>
    <n v="12450"/>
    <s v="KR7012450003"/>
    <x v="4"/>
    <s v="KOSPI"/>
    <n v="1278000"/>
    <n v="-42000"/>
    <n v="-3.18"/>
    <n v="1300000"/>
    <n v="1314000"/>
    <n v="1232000"/>
    <n v="232870"/>
    <n v="294651687000"/>
    <n v="51563401"/>
    <n v="65898026478000"/>
  </r>
  <r>
    <s v="한화에어로스페이스"/>
    <x v="7"/>
    <n v="12450"/>
    <s v="KR7012450003"/>
    <x v="4"/>
    <s v="KOSPI"/>
    <n v="1320000"/>
    <n v="-55000"/>
    <n v="-4"/>
    <n v="1347000"/>
    <n v="1360000"/>
    <n v="1306000"/>
    <n v="270214"/>
    <n v="357160356500"/>
    <n v="51563401"/>
    <n v="68063689320000"/>
  </r>
  <r>
    <s v="한화에어로스페이스"/>
    <x v="8"/>
    <n v="12450"/>
    <s v="KR7012450003"/>
    <x v="4"/>
    <s v="KOSPI"/>
    <n v="1375000"/>
    <n v="-15000"/>
    <n v="-1.08"/>
    <n v="1416000"/>
    <n v="1417000"/>
    <n v="1361000"/>
    <n v="111115"/>
    <n v="152805855500"/>
    <n v="51563401"/>
    <n v="70899676375000"/>
  </r>
  <r>
    <s v="한화에어로스페이스"/>
    <x v="9"/>
    <n v="12450"/>
    <s v="KR7012450003"/>
    <x v="4"/>
    <s v="KOSPI"/>
    <n v="1390000"/>
    <n v="-6000"/>
    <n v="-0.43"/>
    <n v="1415000"/>
    <n v="1415000"/>
    <n v="1362000"/>
    <n v="161859"/>
    <n v="223728459804"/>
    <n v="51563401"/>
    <n v="71673127390000"/>
  </r>
  <r>
    <s v="한화에어로스페이스"/>
    <x v="10"/>
    <n v="12450"/>
    <s v="KR7012450003"/>
    <x v="4"/>
    <s v="KOSPI"/>
    <n v="1396000"/>
    <n v="-80000"/>
    <n v="-5.42"/>
    <n v="1470000"/>
    <n v="1470000"/>
    <n v="1388000"/>
    <n v="210274"/>
    <n v="296066474000"/>
    <n v="51563401"/>
    <n v="71982507796000"/>
  </r>
  <r>
    <s v="한화에어로스페이스"/>
    <x v="11"/>
    <n v="12450"/>
    <s v="KR7012450003"/>
    <x v="4"/>
    <s v="KOSPI"/>
    <n v="1476000"/>
    <n v="-12000"/>
    <n v="-0.81"/>
    <n v="1478000"/>
    <n v="1522000"/>
    <n v="1457000"/>
    <n v="180940"/>
    <n v="268353549500"/>
    <n v="51563401"/>
    <n v="76107579876000"/>
  </r>
  <r>
    <s v="한화에어로스페이스"/>
    <x v="12"/>
    <n v="12450"/>
    <s v="KR7012450003"/>
    <x v="4"/>
    <s v="KOSPI"/>
    <n v="1488000"/>
    <n v="23000"/>
    <n v="1.57"/>
    <n v="1462000"/>
    <n v="1489000"/>
    <n v="1409000"/>
    <n v="324291"/>
    <n v="476824902860"/>
    <n v="51563401"/>
    <n v="76726340688000"/>
  </r>
  <r>
    <s v="한화에어로스페이스"/>
    <x v="13"/>
    <n v="12450"/>
    <s v="KR7012450003"/>
    <x v="4"/>
    <s v="KOSPI"/>
    <n v="1465000"/>
    <n v="55000"/>
    <n v="3.9"/>
    <n v="1430000"/>
    <n v="1474000"/>
    <n v="1424000"/>
    <n v="261688"/>
    <n v="381058942500"/>
    <n v="51563401"/>
    <n v="75540382465000"/>
  </r>
  <r>
    <s v="한화에어로스페이스"/>
    <x v="14"/>
    <n v="12450"/>
    <s v="KR7012450003"/>
    <x v="4"/>
    <s v="KOSPI"/>
    <n v="1410000"/>
    <n v="-45000"/>
    <n v="-3.09"/>
    <n v="1459000"/>
    <n v="1496000"/>
    <n v="1390000"/>
    <n v="285240"/>
    <n v="414745842500"/>
    <n v="51563401"/>
    <n v="72704395410000"/>
  </r>
  <r>
    <s v="한화에어로스페이스"/>
    <x v="15"/>
    <n v="12450"/>
    <s v="KR7012450003"/>
    <x v="4"/>
    <s v="KOSPI"/>
    <n v="1455000"/>
    <n v="21000"/>
    <n v="1.46"/>
    <n v="1365000"/>
    <n v="1484000"/>
    <n v="1353000"/>
    <n v="452836"/>
    <n v="648900797500"/>
    <n v="51563401"/>
    <n v="75024748455000"/>
  </r>
  <r>
    <s v="한화에어로스페이스"/>
    <x v="16"/>
    <n v="12450"/>
    <s v="KR7012450003"/>
    <x v="4"/>
    <s v="KOSPI"/>
    <n v="1434000"/>
    <n v="-47000"/>
    <n v="-3.17"/>
    <n v="1516000"/>
    <n v="1550000"/>
    <n v="1361000"/>
    <n v="564231"/>
    <n v="809437107500"/>
    <n v="51563401"/>
    <n v="73941917034000"/>
  </r>
  <r>
    <s v="한화에어로스페이스"/>
    <x v="17"/>
    <n v="12450"/>
    <s v="KR7012450003"/>
    <x v="4"/>
    <s v="KOSPI"/>
    <n v="1481000"/>
    <n v="100000"/>
    <n v="7.24"/>
    <n v="1414000"/>
    <n v="1540000"/>
    <n v="1368000"/>
    <n v="836707"/>
    <n v="1224363234500"/>
    <n v="51563401"/>
    <n v="76365396881000"/>
  </r>
  <r>
    <s v="한화에어로스페이스"/>
    <x v="18"/>
    <n v="12450"/>
    <s v="KR7012450003"/>
    <x v="4"/>
    <s v="KOSPI"/>
    <n v="1381000"/>
    <n v="58000"/>
    <n v="4.38"/>
    <n v="1361000"/>
    <n v="1486000"/>
    <n v="1322000"/>
    <n v="785586"/>
    <n v="1100321576500"/>
    <n v="51563401"/>
    <n v="71209056781000"/>
  </r>
  <r>
    <s v="한화에어로스페이스"/>
    <x v="19"/>
    <n v="12450"/>
    <s v="KR7012450003"/>
    <x v="4"/>
    <s v="KOSPI"/>
    <n v="1323000"/>
    <n v="-109000"/>
    <n v="-7.61"/>
    <n v="1526000"/>
    <n v="1655000"/>
    <n v="1243000"/>
    <n v="1191514"/>
    <n v="1617292326500"/>
    <n v="51563401"/>
    <n v="68218379523000"/>
  </r>
  <r>
    <s v="한화에어로스페이스"/>
    <x v="20"/>
    <n v="12450"/>
    <s v="KR7012450003"/>
    <x v="4"/>
    <s v="KOSPI"/>
    <n v="1432000"/>
    <n v="237000"/>
    <n v="19.829999999999998"/>
    <n v="1330000"/>
    <n v="1492000"/>
    <n v="1304000"/>
    <n v="1295365"/>
    <n v="1808581203000"/>
    <n v="51563401"/>
    <n v="73838790232000"/>
  </r>
  <r>
    <s v="한화에어로스페이스"/>
    <x v="21"/>
    <n v="12450"/>
    <s v="KR7012450003"/>
    <x v="4"/>
    <s v="KOSPI"/>
    <n v="1195000"/>
    <n v="1000"/>
    <n v="0.08"/>
    <n v="1227000"/>
    <n v="1241000"/>
    <n v="1195000"/>
    <n v="325910"/>
    <n v="396457815500"/>
    <n v="51563401"/>
    <n v="61618264195000"/>
  </r>
  <r>
    <s v="한화에어로스페이스"/>
    <x v="22"/>
    <n v="12450"/>
    <s v="KR7012450003"/>
    <x v="4"/>
    <s v="KOSPI"/>
    <n v="1194000"/>
    <n v="-18000"/>
    <n v="-1.49"/>
    <n v="1207000"/>
    <n v="1207000"/>
    <n v="1182000"/>
    <n v="184947"/>
    <n v="220088457500"/>
    <n v="51563401"/>
    <n v="61566700794000"/>
  </r>
  <r>
    <s v="한화에어로스페이스"/>
    <x v="23"/>
    <n v="12450"/>
    <s v="KR7012450003"/>
    <x v="4"/>
    <s v="KOSPI"/>
    <n v="1212000"/>
    <n v="-29000"/>
    <n v="-2.34"/>
    <n v="1240000"/>
    <n v="1241000"/>
    <n v="1205000"/>
    <n v="168169"/>
    <n v="204332629500"/>
    <n v="51563401"/>
    <n v="62494842012000"/>
  </r>
  <r>
    <s v="한화에어로스페이스"/>
    <x v="24"/>
    <n v="12450"/>
    <s v="KR7012450003"/>
    <x v="4"/>
    <s v="KOSPI"/>
    <n v="1241000"/>
    <n v="5000"/>
    <n v="0.4"/>
    <n v="1243000"/>
    <n v="1246000"/>
    <n v="1201000"/>
    <n v="172787"/>
    <n v="212863699252"/>
    <n v="51563401"/>
    <n v="63990180641000"/>
  </r>
  <r>
    <s v="한화에어로스페이스"/>
    <x v="25"/>
    <n v="12450"/>
    <s v="KR7012450003"/>
    <x v="4"/>
    <s v="KOSPI"/>
    <n v="1236000"/>
    <n v="-6000"/>
    <n v="-0.48"/>
    <n v="1241000"/>
    <n v="1251000"/>
    <n v="1215000"/>
    <n v="196612"/>
    <n v="242735584500"/>
    <n v="51563401"/>
    <n v="63732363636000"/>
  </r>
  <r>
    <s v="한화에어로스페이스"/>
    <x v="26"/>
    <n v="12450"/>
    <s v="KR7012450003"/>
    <x v="4"/>
    <s v="KOSPI"/>
    <n v="1242000"/>
    <n v="93000"/>
    <n v="8.09"/>
    <n v="1224000"/>
    <n v="1258000"/>
    <n v="1192000"/>
    <n v="443593"/>
    <n v="545000267500"/>
    <n v="51563401"/>
    <n v="64041744042000"/>
  </r>
  <r>
    <s v="한화에어로스페이스"/>
    <x v="27"/>
    <n v="12450"/>
    <s v="KR7012450003"/>
    <x v="4"/>
    <s v="KOSPI"/>
    <n v="1149000"/>
    <n v="44000"/>
    <n v="3.98"/>
    <n v="1199000"/>
    <n v="1199000"/>
    <n v="1131000"/>
    <n v="190403"/>
    <n v="218031158500"/>
    <n v="51563401"/>
    <n v="59246347749000"/>
  </r>
  <r>
    <s v="한화에어로스페이스"/>
    <x v="28"/>
    <n v="12450"/>
    <s v="KR7012450003"/>
    <x v="4"/>
    <s v="KOSPI"/>
    <n v="1105000"/>
    <n v="-26000"/>
    <n v="-2.2999999999999998"/>
    <n v="1119000"/>
    <n v="1128000"/>
    <n v="1097000"/>
    <n v="236946"/>
    <n v="263449100500"/>
    <n v="51563401"/>
    <n v="56977558105000"/>
  </r>
  <r>
    <s v="한화에어로스페이스"/>
    <x v="29"/>
    <n v="12450"/>
    <s v="KR7012450003"/>
    <x v="4"/>
    <s v="KOSPI"/>
    <n v="1131000"/>
    <n v="1000"/>
    <n v="0.09"/>
    <n v="1139000"/>
    <n v="1140000"/>
    <n v="1120000"/>
    <n v="210941"/>
    <n v="238034277000"/>
    <n v="51563401"/>
    <n v="58318206531000"/>
  </r>
  <r>
    <s v="한화에어로스페이스"/>
    <x v="30"/>
    <n v="12450"/>
    <s v="KR7012450003"/>
    <x v="4"/>
    <s v="KOSPI"/>
    <n v="1130000"/>
    <n v="-16000"/>
    <n v="-1.4"/>
    <n v="1153000"/>
    <n v="1163000"/>
    <n v="1125000"/>
    <n v="248096"/>
    <n v="282302893328"/>
    <n v="51563401"/>
    <n v="58266643130000"/>
  </r>
  <r>
    <s v="한화에어로스페이스"/>
    <x v="31"/>
    <n v="12450"/>
    <s v="KR7012450003"/>
    <x v="4"/>
    <s v="KOSPI"/>
    <n v="1146000"/>
    <n v="-47000"/>
    <n v="-3.94"/>
    <n v="1220000"/>
    <n v="1249000"/>
    <n v="1112000"/>
    <n v="504416"/>
    <n v="574068851829"/>
    <n v="51563401"/>
    <n v="59091657546000"/>
  </r>
  <r>
    <s v="한화에어로스페이스"/>
    <x v="32"/>
    <n v="12450"/>
    <s v="KR7012450003"/>
    <x v="4"/>
    <s v="KOSPI"/>
    <n v="1193000"/>
    <n v="12000"/>
    <n v="1.02"/>
    <n v="1246000"/>
    <n v="1260000"/>
    <n v="1173000"/>
    <n v="275049"/>
    <n v="338107950500"/>
    <n v="51563401"/>
    <n v="61515137393000"/>
  </r>
  <r>
    <s v="한화에어로스페이스"/>
    <x v="33"/>
    <n v="12450"/>
    <s v="KR7012450003"/>
    <x v="4"/>
    <s v="KOSPI"/>
    <n v="1181000"/>
    <n v="-46000"/>
    <n v="-3.75"/>
    <n v="1159000"/>
    <n v="1192000"/>
    <n v="1110000"/>
    <n v="295504"/>
    <n v="342100412000"/>
    <n v="51563401"/>
    <n v="60896376581000"/>
  </r>
  <r>
    <s v="한화에어로스페이스"/>
    <x v="34"/>
    <n v="12450"/>
    <s v="KR7012450003"/>
    <x v="4"/>
    <s v="KOSPI"/>
    <n v="1227000"/>
    <n v="-97000"/>
    <n v="-7.33"/>
    <n v="1290000"/>
    <n v="1300000"/>
    <n v="1208000"/>
    <n v="333625"/>
    <n v="414383981500"/>
    <n v="51563401"/>
    <n v="63268293027000"/>
  </r>
  <r>
    <s v="한화에어로스페이스"/>
    <x v="35"/>
    <n v="12450"/>
    <s v="KR7012450003"/>
    <x v="4"/>
    <s v="KOSPI"/>
    <n v="1324000"/>
    <n v="25000"/>
    <n v="1.92"/>
    <n v="1315000"/>
    <n v="1333000"/>
    <n v="1287000"/>
    <n v="143922"/>
    <n v="188803163000"/>
    <n v="51563401"/>
    <n v="68269942924000"/>
  </r>
  <r>
    <s v="한화에어로스페이스"/>
    <x v="36"/>
    <n v="12450"/>
    <s v="KR7012450003"/>
    <x v="4"/>
    <s v="KOSPI"/>
    <n v="1299000"/>
    <n v="60000"/>
    <n v="4.84"/>
    <n v="1280000"/>
    <n v="1315000"/>
    <n v="1268000"/>
    <n v="203785"/>
    <n v="263753031500"/>
    <n v="51563401"/>
    <n v="66980857899000"/>
  </r>
  <r>
    <s v="한화에어로스페이스"/>
    <x v="37"/>
    <n v="12450"/>
    <s v="KR7012450003"/>
    <x v="4"/>
    <s v="KOSPI"/>
    <n v="1239000"/>
    <n v="-61000"/>
    <n v="-4.6900000000000004"/>
    <n v="1320000"/>
    <n v="1348000"/>
    <n v="1207000"/>
    <n v="312729"/>
    <n v="397618806000"/>
    <n v="51563401"/>
    <n v="63887053839000"/>
  </r>
  <r>
    <s v="한화에어로스페이스"/>
    <x v="38"/>
    <n v="12450"/>
    <s v="KR7012450003"/>
    <x v="4"/>
    <s v="KOSPI"/>
    <n v="1300000"/>
    <n v="0"/>
    <n v="0"/>
    <n v="1340000"/>
    <n v="1348000"/>
    <n v="1271000"/>
    <n v="247057"/>
    <n v="322009085500"/>
    <n v="51563401"/>
    <n v="67032421300000"/>
  </r>
  <r>
    <s v="한화에어로스페이스"/>
    <x v="39"/>
    <n v="12450"/>
    <s v="KR7012450003"/>
    <x v="4"/>
    <s v="KOSPI"/>
    <n v="1300000"/>
    <n v="12000"/>
    <n v="0.93"/>
    <n v="1301000"/>
    <n v="1329000"/>
    <n v="1268000"/>
    <n v="227097"/>
    <n v="294414209500"/>
    <n v="51563401"/>
    <n v="67032421300000"/>
  </r>
  <r>
    <s v="한화에어로스페이스"/>
    <x v="40"/>
    <n v="12450"/>
    <s v="KR7012450003"/>
    <x v="4"/>
    <s v="KOSPI"/>
    <n v="1288000"/>
    <n v="58000"/>
    <n v="4.72"/>
    <n v="1280000"/>
    <n v="1299000"/>
    <n v="1251000"/>
    <n v="180905"/>
    <n v="231289039500"/>
    <n v="51563401"/>
    <n v="66413660488000"/>
  </r>
  <r>
    <s v="한화에어로스페이스"/>
    <x v="41"/>
    <n v="12450"/>
    <s v="KR7012450003"/>
    <x v="4"/>
    <s v="KOSPI"/>
    <n v="1230000"/>
    <n v="-32000"/>
    <n v="-2.54"/>
    <n v="1295000"/>
    <n v="1295000"/>
    <n v="1230000"/>
    <n v="154527"/>
    <n v="191788008000"/>
    <n v="51563401"/>
    <n v="63422983230000"/>
  </r>
  <r>
    <s v="한화에어로스페이스"/>
    <x v="42"/>
    <n v="12450"/>
    <s v="KR7012450003"/>
    <x v="4"/>
    <s v="KOSPI"/>
    <n v="1262000"/>
    <n v="7000"/>
    <n v="0.56000000000000005"/>
    <n v="1268000"/>
    <n v="1292000"/>
    <n v="1258000"/>
    <n v="126918"/>
    <n v="161390384508"/>
    <n v="51563401"/>
    <n v="65073012062000"/>
  </r>
  <r>
    <s v="한화에어로스페이스"/>
    <x v="43"/>
    <n v="12450"/>
    <s v="KR7012450003"/>
    <x v="4"/>
    <s v="KOSPI"/>
    <n v="1255000"/>
    <n v="-34000"/>
    <n v="-2.64"/>
    <n v="1281000"/>
    <n v="1289000"/>
    <n v="1234000"/>
    <n v="260134"/>
    <n v="326708122497"/>
    <n v="51563401"/>
    <n v="64712068255000"/>
  </r>
  <r>
    <s v="한화에어로스페이스"/>
    <x v="44"/>
    <n v="12450"/>
    <s v="KR7012450003"/>
    <x v="4"/>
    <s v="KOSPI"/>
    <n v="1289000"/>
    <n v="-26000"/>
    <n v="-1.98"/>
    <n v="1292000"/>
    <n v="1313000"/>
    <n v="1270000"/>
    <n v="205157"/>
    <n v="265237033500"/>
    <n v="51563401"/>
    <n v="66465223889000"/>
  </r>
  <r>
    <s v="한화에어로스페이스"/>
    <x v="45"/>
    <n v="12450"/>
    <s v="KR7012450003"/>
    <x v="4"/>
    <s v="KOSPI"/>
    <n v="1315000"/>
    <n v="6000"/>
    <n v="0.46"/>
    <n v="1312000"/>
    <n v="1328000"/>
    <n v="1281000"/>
    <n v="264111"/>
    <n v="343746904500"/>
    <n v="51563401"/>
    <n v="67805872315000"/>
  </r>
  <r>
    <s v="한화에어로스페이스"/>
    <x v="46"/>
    <n v="12450"/>
    <s v="KR7012450003"/>
    <x v="4"/>
    <s v="KOSPI"/>
    <n v="1309000"/>
    <n v="-21000"/>
    <n v="-1.58"/>
    <n v="1345000"/>
    <n v="1398000"/>
    <n v="1294000"/>
    <n v="222510"/>
    <n v="296278170500"/>
    <n v="51563401"/>
    <n v="67496491909000"/>
  </r>
  <r>
    <s v="한화에어로스페이스"/>
    <x v="47"/>
    <n v="12450"/>
    <s v="KR7012450003"/>
    <x v="4"/>
    <s v="KOSPI"/>
    <n v="1330000"/>
    <n v="31000"/>
    <n v="2.39"/>
    <n v="1316000"/>
    <n v="1339000"/>
    <n v="1292000"/>
    <n v="194888"/>
    <n v="257938125500"/>
    <n v="51563401"/>
    <n v="68579323330000"/>
  </r>
  <r>
    <s v="한화에어로스페이스"/>
    <x v="48"/>
    <n v="12450"/>
    <s v="KR7012450003"/>
    <x v="4"/>
    <s v="KOSPI"/>
    <n v="1299000"/>
    <n v="5000"/>
    <n v="0.39"/>
    <n v="1308000"/>
    <n v="1319000"/>
    <n v="1279000"/>
    <n v="291401"/>
    <n v="378219434928"/>
    <n v="51563401"/>
    <n v="66980857899000"/>
  </r>
  <r>
    <s v="한화에어로스페이스"/>
    <x v="49"/>
    <n v="12450"/>
    <s v="KR7012450003"/>
    <x v="4"/>
    <s v="KOSPI"/>
    <n v="1294000"/>
    <n v="25000"/>
    <n v="1.97"/>
    <n v="1312000"/>
    <n v="1329000"/>
    <n v="1269000"/>
    <n v="220568"/>
    <n v="284630704363"/>
    <n v="51563401"/>
    <n v="66723040894000"/>
  </r>
  <r>
    <s v="한화에어로스페이스"/>
    <x v="50"/>
    <n v="12450"/>
    <s v="KR7012450003"/>
    <x v="4"/>
    <s v="KOSPI"/>
    <n v="1269000"/>
    <n v="-13000"/>
    <n v="-1.01"/>
    <n v="1279000"/>
    <n v="1281000"/>
    <n v="1249000"/>
    <n v="182382"/>
    <n v="230907198640"/>
    <n v="51563401"/>
    <n v="65433955869000"/>
  </r>
  <r>
    <s v="한화에어로스페이스"/>
    <x v="51"/>
    <n v="12450"/>
    <s v="KR7012450003"/>
    <x v="4"/>
    <s v="KOSPI"/>
    <n v="1282000"/>
    <n v="70000"/>
    <n v="5.78"/>
    <n v="1229000"/>
    <n v="1296000"/>
    <n v="1212000"/>
    <n v="322326"/>
    <n v="409626024735"/>
    <n v="51563401"/>
    <n v="66104280082000"/>
  </r>
  <r>
    <s v="한화에어로스페이스"/>
    <x v="52"/>
    <n v="12450"/>
    <s v="KR7012450003"/>
    <x v="4"/>
    <s v="KOSPI"/>
    <n v="1212000"/>
    <n v="-2000"/>
    <n v="-0.16"/>
    <n v="1256000"/>
    <n v="1257000"/>
    <n v="1186000"/>
    <n v="282589"/>
    <n v="342525799300"/>
    <n v="51563401"/>
    <n v="62494842012000"/>
  </r>
  <r>
    <s v="한화에어로스페이스"/>
    <x v="53"/>
    <n v="12450"/>
    <s v="KR7012450003"/>
    <x v="4"/>
    <s v="KOSPI"/>
    <n v="1214000"/>
    <n v="124000"/>
    <n v="11.38"/>
    <n v="1101000"/>
    <n v="1219000"/>
    <n v="1099000"/>
    <n v="575132"/>
    <n v="678226931608"/>
    <n v="51563401"/>
    <n v="62597968814000"/>
  </r>
  <r>
    <s v="한화에어로스페이스"/>
    <x v="54"/>
    <n v="12450"/>
    <s v="KR7012450003"/>
    <x v="4"/>
    <s v="KOSPI"/>
    <n v="1090000"/>
    <n v="80000"/>
    <n v="7.92"/>
    <n v="1051000"/>
    <n v="1114000"/>
    <n v="1025000"/>
    <n v="508382"/>
    <n v="553240769500"/>
    <n v="51563401"/>
    <n v="56204107090000"/>
  </r>
  <r>
    <s v="한화에어로스페이스"/>
    <x v="55"/>
    <n v="12450"/>
    <s v="KR7012450003"/>
    <x v="4"/>
    <s v="KOSPI"/>
    <n v="1010000"/>
    <n v="-12000"/>
    <n v="-1.17"/>
    <n v="1033000"/>
    <n v="1049000"/>
    <n v="988000"/>
    <n v="269662"/>
    <n v="272432208000"/>
    <n v="51563401"/>
    <n v="52079035010000"/>
  </r>
  <r>
    <s v="한화에어로스페이스"/>
    <x v="56"/>
    <n v="12450"/>
    <s v="KR7012450003"/>
    <x v="4"/>
    <s v="KOSPI"/>
    <n v="1022000"/>
    <n v="10000"/>
    <n v="0.99"/>
    <n v="997000"/>
    <n v="1030000"/>
    <n v="981000"/>
    <n v="279979"/>
    <n v="283588917000"/>
    <n v="51563401"/>
    <n v="52697795822000"/>
  </r>
  <r>
    <s v="한화에어로스페이스"/>
    <x v="57"/>
    <n v="12450"/>
    <s v="KR7012450003"/>
    <x v="4"/>
    <s v="KOSPI"/>
    <n v="1012000"/>
    <n v="66000"/>
    <n v="6.98"/>
    <n v="969000"/>
    <n v="1015000"/>
    <n v="968000"/>
    <n v="327727"/>
    <n v="325547099150"/>
    <n v="51563401"/>
    <n v="52182161812000"/>
  </r>
  <r>
    <s v="한화에어로스페이스"/>
    <x v="58"/>
    <n v="12450"/>
    <s v="KR7012450003"/>
    <x v="4"/>
    <s v="KOSPI"/>
    <n v="946000"/>
    <n v="5000"/>
    <n v="0.53"/>
    <n v="953000"/>
    <n v="981000"/>
    <n v="938000"/>
    <n v="144603"/>
    <n v="137942431000"/>
    <n v="51563401"/>
    <n v="48778977346000"/>
  </r>
  <r>
    <s v="삼성바이오로직스"/>
    <x v="0"/>
    <n v="207940"/>
    <s v="KR7207940008"/>
    <x v="5"/>
    <s v="KOSPI"/>
    <n v="1504000"/>
    <n v="-26000"/>
    <n v="-1.7"/>
    <n v="1515000"/>
    <n v="1588000"/>
    <n v="1480000"/>
    <n v="82617"/>
    <n v="126228891000"/>
    <n v="46290951"/>
    <n v="69621590304000"/>
  </r>
  <r>
    <s v="삼성바이오로직스"/>
    <x v="1"/>
    <n v="207940"/>
    <s v="KR7207940008"/>
    <x v="5"/>
    <s v="KOSPI"/>
    <n v="1530000"/>
    <n v="-76000"/>
    <n v="-4.7300000000000004"/>
    <n v="1537000"/>
    <n v="1550000"/>
    <n v="1522000"/>
    <n v="34318"/>
    <n v="52933265500"/>
    <n v="46290951"/>
    <n v="70825155030000"/>
  </r>
  <r>
    <s v="삼성바이오로직스"/>
    <x v="2"/>
    <n v="207940"/>
    <s v="KR7207940008"/>
    <x v="5"/>
    <s v="KOSPI"/>
    <n v="1606000"/>
    <n v="21000"/>
    <n v="1.32"/>
    <n v="1551000"/>
    <n v="1608000"/>
    <n v="1537000"/>
    <n v="27116"/>
    <n v="42876318000"/>
    <n v="46290951"/>
    <n v="74343267306000"/>
  </r>
  <r>
    <s v="삼성바이오로직스"/>
    <x v="3"/>
    <n v="207940"/>
    <s v="KR7207940008"/>
    <x v="5"/>
    <s v="KOSPI"/>
    <n v="1585000"/>
    <n v="0"/>
    <n v="0"/>
    <n v="1608000"/>
    <n v="1619000"/>
    <n v="1581000"/>
    <n v="30276"/>
    <n v="48257209000"/>
    <n v="46290951"/>
    <n v="73371157335000"/>
  </r>
  <r>
    <s v="삼성바이오로직스"/>
    <x v="4"/>
    <n v="207940"/>
    <s v="KR7207940008"/>
    <x v="5"/>
    <s v="KOSPI"/>
    <n v="1585000"/>
    <n v="38000"/>
    <n v="2.46"/>
    <n v="1578000"/>
    <n v="1607000"/>
    <n v="1540000"/>
    <n v="35752"/>
    <n v="56729508000"/>
    <n v="46290951"/>
    <n v="73371157335000"/>
  </r>
  <r>
    <s v="삼성바이오로직스"/>
    <x v="5"/>
    <n v="207940"/>
    <s v="KR7207940008"/>
    <x v="5"/>
    <s v="KOSPI"/>
    <n v="1547000"/>
    <n v="24000"/>
    <n v="1.58"/>
    <n v="1569000"/>
    <n v="1570000"/>
    <n v="1519000"/>
    <n v="27709"/>
    <n v="42700978000"/>
    <n v="46290951"/>
    <n v="71612101197000"/>
  </r>
  <r>
    <s v="삼성바이오로직스"/>
    <x v="6"/>
    <n v="207940"/>
    <s v="KR7207940008"/>
    <x v="5"/>
    <s v="KOSPI"/>
    <n v="1523000"/>
    <n v="-78000"/>
    <n v="-4.87"/>
    <n v="1556000"/>
    <n v="1562000"/>
    <n v="1523000"/>
    <n v="32660"/>
    <n v="50105675500"/>
    <n v="46290951"/>
    <n v="70501118373000"/>
  </r>
  <r>
    <s v="삼성바이오로직스"/>
    <x v="7"/>
    <n v="207940"/>
    <s v="KR7207940008"/>
    <x v="5"/>
    <s v="KOSPI"/>
    <n v="1601000"/>
    <n v="16000"/>
    <n v="1.01"/>
    <n v="1599000"/>
    <n v="1631000"/>
    <n v="1595000"/>
    <n v="31941"/>
    <n v="51307692000"/>
    <n v="46290951"/>
    <n v="74111812551000"/>
  </r>
  <r>
    <s v="삼성바이오로직스"/>
    <x v="8"/>
    <n v="207940"/>
    <s v="KR7207940008"/>
    <x v="5"/>
    <s v="KOSPI"/>
    <n v="1585000"/>
    <n v="-41000"/>
    <n v="-2.52"/>
    <n v="1597000"/>
    <n v="1605000"/>
    <n v="1585000"/>
    <n v="30824"/>
    <n v="49112364500"/>
    <n v="46290951"/>
    <n v="73371157335000"/>
  </r>
  <r>
    <s v="삼성바이오로직스"/>
    <x v="9"/>
    <n v="207940"/>
    <s v="KR7207940008"/>
    <x v="5"/>
    <s v="KOSPI"/>
    <n v="1626000"/>
    <n v="39000"/>
    <n v="2.46"/>
    <n v="1600000"/>
    <n v="1650000"/>
    <n v="1598000"/>
    <n v="50561"/>
    <n v="82520036000"/>
    <n v="46290951"/>
    <n v="75269086326000"/>
  </r>
  <r>
    <s v="삼성바이오로직스"/>
    <x v="10"/>
    <n v="207940"/>
    <s v="KR7207940008"/>
    <x v="5"/>
    <s v="KOSPI"/>
    <n v="1587000"/>
    <n v="19000"/>
    <n v="1.21"/>
    <n v="1589000"/>
    <n v="1608000"/>
    <n v="1582000"/>
    <n v="29429"/>
    <n v="46877969000"/>
    <n v="46290951"/>
    <n v="73463739237000"/>
  </r>
  <r>
    <s v="삼성바이오로직스"/>
    <x v="11"/>
    <n v="207940"/>
    <s v="KR7207940008"/>
    <x v="5"/>
    <s v="KOSPI"/>
    <n v="1568000"/>
    <n v="-24000"/>
    <n v="-1.51"/>
    <n v="1590000"/>
    <n v="1590000"/>
    <n v="1551000"/>
    <n v="29984"/>
    <n v="46991273500"/>
    <n v="46290951"/>
    <n v="72584211168000"/>
  </r>
  <r>
    <s v="삼성바이오로직스"/>
    <x v="12"/>
    <n v="207940"/>
    <s v="KR7207940008"/>
    <x v="5"/>
    <s v="KOSPI"/>
    <n v="1592000"/>
    <n v="-33000"/>
    <n v="-2.0299999999999998"/>
    <n v="1589000"/>
    <n v="1599000"/>
    <n v="1575000"/>
    <n v="42424"/>
    <n v="67588122000"/>
    <n v="46290951"/>
    <n v="73695193992000"/>
  </r>
  <r>
    <s v="삼성바이오로직스"/>
    <x v="13"/>
    <n v="207940"/>
    <s v="KR7207940008"/>
    <x v="5"/>
    <s v="KOSPI"/>
    <n v="1625000"/>
    <n v="-32000"/>
    <n v="-1.93"/>
    <n v="1650000"/>
    <n v="1650000"/>
    <n v="1610000"/>
    <n v="63692"/>
    <n v="103189824500"/>
    <n v="46290951"/>
    <n v="75222795375000"/>
  </r>
  <r>
    <s v="삼성바이오로직스"/>
    <x v="14"/>
    <n v="207940"/>
    <s v="KR7207940008"/>
    <x v="5"/>
    <s v="KOSPI"/>
    <n v="1657000"/>
    <n v="65000"/>
    <n v="4.08"/>
    <n v="1630000"/>
    <n v="1693000"/>
    <n v="1626000"/>
    <n v="48088"/>
    <n v="79992053000"/>
    <n v="46290951"/>
    <n v="76704105807000"/>
  </r>
  <r>
    <s v="삼성바이오로직스"/>
    <x v="15"/>
    <n v="207940"/>
    <s v="KR7207940008"/>
    <x v="5"/>
    <s v="KOSPI"/>
    <n v="1592000"/>
    <n v="13000"/>
    <n v="0.82"/>
    <n v="1638000"/>
    <n v="1640000"/>
    <n v="1579000"/>
    <n v="48257"/>
    <n v="77074362500"/>
    <n v="46290951"/>
    <n v="73695193992000"/>
  </r>
  <r>
    <s v="삼성바이오로직스"/>
    <x v="16"/>
    <n v="207940"/>
    <s v="KR7207940008"/>
    <x v="5"/>
    <s v="KOSPI"/>
    <n v="1579000"/>
    <n v="-65000"/>
    <n v="-3.95"/>
    <n v="1558000"/>
    <n v="1602000"/>
    <n v="1542000"/>
    <n v="56445"/>
    <n v="88200926500"/>
    <n v="46290951"/>
    <n v="73093411629000"/>
  </r>
  <r>
    <s v="삼성바이오로직스"/>
    <x v="17"/>
    <n v="207940"/>
    <s v="KR7207940008"/>
    <x v="5"/>
    <s v="KOSPI"/>
    <n v="1644000"/>
    <n v="-3000"/>
    <n v="-0.18"/>
    <n v="1614000"/>
    <n v="1668000"/>
    <n v="1599000"/>
    <n v="57347"/>
    <n v="93819911500"/>
    <n v="46290951"/>
    <n v="76102323444000"/>
  </r>
  <r>
    <s v="삼성바이오로직스"/>
    <x v="18"/>
    <n v="207940"/>
    <s v="KR7207940008"/>
    <x v="5"/>
    <s v="KOSPI"/>
    <n v="1647000"/>
    <n v="131000"/>
    <n v="8.64"/>
    <n v="1626000"/>
    <n v="1669000"/>
    <n v="1588000"/>
    <n v="70178"/>
    <n v="114000381500"/>
    <n v="46290951"/>
    <n v="76241196297000"/>
  </r>
  <r>
    <s v="삼성바이오로직스"/>
    <x v="19"/>
    <n v="207940"/>
    <s v="KR7207940008"/>
    <x v="5"/>
    <s v="KOSPI"/>
    <n v="1516000"/>
    <n v="-165000"/>
    <n v="-9.82"/>
    <n v="1639000"/>
    <n v="1650000"/>
    <n v="1501000"/>
    <n v="83414"/>
    <n v="130242867500"/>
    <n v="46290951"/>
    <n v="70177081716000"/>
  </r>
  <r>
    <s v="삼성바이오로직스"/>
    <x v="20"/>
    <n v="207940"/>
    <s v="KR7207940008"/>
    <x v="5"/>
    <s v="KOSPI"/>
    <n v="1681000"/>
    <n v="-97000"/>
    <n v="-5.46"/>
    <n v="1775000"/>
    <n v="1775000"/>
    <n v="1679000"/>
    <n v="81261"/>
    <n v="138713265000"/>
    <n v="46290951"/>
    <n v="77815088631000"/>
  </r>
  <r>
    <s v="삼성바이오로직스"/>
    <x v="21"/>
    <n v="207940"/>
    <s v="KR7207940008"/>
    <x v="5"/>
    <s v="KOSPI"/>
    <n v="1778000"/>
    <n v="12000"/>
    <n v="0.68"/>
    <n v="1760000"/>
    <n v="1778000"/>
    <n v="1741000"/>
    <n v="97725"/>
    <n v="172883240500"/>
    <n v="46290951"/>
    <n v="82305310878000"/>
  </r>
  <r>
    <s v="삼성바이오로직스"/>
    <x v="22"/>
    <n v="207940"/>
    <s v="KR7207940008"/>
    <x v="5"/>
    <s v="KOSPI"/>
    <n v="1766000"/>
    <n v="38000"/>
    <n v="2.2000000000000002"/>
    <n v="1728000"/>
    <n v="1775000"/>
    <n v="1728000"/>
    <n v="88413"/>
    <n v="154847555448"/>
    <n v="46290951"/>
    <n v="81749819466000"/>
  </r>
  <r>
    <s v="삼성바이오로직스"/>
    <x v="23"/>
    <n v="207940"/>
    <s v="KR7207940008"/>
    <x v="5"/>
    <s v="KOSPI"/>
    <n v="1728000"/>
    <n v="5000"/>
    <n v="0.28999999999999998"/>
    <n v="1723000"/>
    <n v="1732000"/>
    <n v="1715000"/>
    <n v="45641"/>
    <n v="78713216000"/>
    <n v="46290951"/>
    <n v="79990763328000"/>
  </r>
  <r>
    <s v="삼성바이오로직스"/>
    <x v="24"/>
    <n v="207940"/>
    <s v="KR7207940008"/>
    <x v="5"/>
    <s v="KOSPI"/>
    <n v="1723000"/>
    <n v="6000"/>
    <n v="0.35"/>
    <n v="1747000"/>
    <n v="1747000"/>
    <n v="1719000"/>
    <n v="47116"/>
    <n v="81298237000"/>
    <n v="46290951"/>
    <n v="79759308573000"/>
  </r>
  <r>
    <s v="삼성바이오로직스"/>
    <x v="25"/>
    <n v="207940"/>
    <s v="KR7207940008"/>
    <x v="5"/>
    <s v="KOSPI"/>
    <n v="1717000"/>
    <n v="-19000"/>
    <n v="-1.0900000000000001"/>
    <n v="1741000"/>
    <n v="1757000"/>
    <n v="1713000"/>
    <n v="67316"/>
    <n v="116394567670"/>
    <n v="46290951"/>
    <n v="79481562867000"/>
  </r>
  <r>
    <s v="삼성바이오로직스"/>
    <x v="26"/>
    <n v="207940"/>
    <s v="KR7207940008"/>
    <x v="5"/>
    <s v="KOSPI"/>
    <n v="1736000"/>
    <n v="16000"/>
    <n v="0.93"/>
    <n v="1729000"/>
    <n v="1739000"/>
    <n v="1727000"/>
    <n v="32604"/>
    <n v="56540195000"/>
    <n v="46290951"/>
    <n v="80361090936000"/>
  </r>
  <r>
    <s v="삼성바이오로직스"/>
    <x v="27"/>
    <n v="207940"/>
    <s v="KR7207940008"/>
    <x v="5"/>
    <s v="KOSPI"/>
    <n v="1720000"/>
    <n v="10000"/>
    <n v="0.57999999999999996"/>
    <n v="1712000"/>
    <n v="1753000"/>
    <n v="1712000"/>
    <n v="40847"/>
    <n v="70669137000"/>
    <n v="46290951"/>
    <n v="79620435720000"/>
  </r>
  <r>
    <s v="삼성바이오로직스"/>
    <x v="28"/>
    <n v="207940"/>
    <s v="KR7207940008"/>
    <x v="5"/>
    <s v="KOSPI"/>
    <n v="1710000"/>
    <n v="-9000"/>
    <n v="-0.52"/>
    <n v="1710000"/>
    <n v="1715000"/>
    <n v="1702000"/>
    <n v="30115"/>
    <n v="51458025500"/>
    <n v="46290951"/>
    <n v="79157526210000"/>
  </r>
  <r>
    <s v="삼성바이오로직스"/>
    <x v="29"/>
    <n v="207940"/>
    <s v="KR7207940008"/>
    <x v="5"/>
    <s v="KOSPI"/>
    <n v="1719000"/>
    <n v="7000"/>
    <n v="0.41"/>
    <n v="1727000"/>
    <n v="1728000"/>
    <n v="1707000"/>
    <n v="39569"/>
    <n v="67822427500"/>
    <n v="46290951"/>
    <n v="79574144769000"/>
  </r>
  <r>
    <s v="삼성바이오로직스"/>
    <x v="30"/>
    <n v="207940"/>
    <s v="KR7207940008"/>
    <x v="5"/>
    <s v="KOSPI"/>
    <n v="1712000"/>
    <n v="2000"/>
    <n v="0.12"/>
    <n v="1732000"/>
    <n v="1743000"/>
    <n v="1710000"/>
    <n v="31291"/>
    <n v="53808843000"/>
    <n v="46290951"/>
    <n v="79250108112000"/>
  </r>
  <r>
    <s v="삼성바이오로직스"/>
    <x v="31"/>
    <n v="207940"/>
    <s v="KR7207940008"/>
    <x v="5"/>
    <s v="KOSPI"/>
    <n v="1710000"/>
    <n v="16000"/>
    <n v="0.94"/>
    <n v="1705000"/>
    <n v="1740000"/>
    <n v="1691000"/>
    <n v="46371"/>
    <n v="79288452500"/>
    <n v="46290951"/>
    <n v="79157526210000"/>
  </r>
  <r>
    <s v="삼성바이오로직스"/>
    <x v="32"/>
    <n v="207940"/>
    <s v="KR7207940008"/>
    <x v="5"/>
    <s v="KOSPI"/>
    <n v="1694000"/>
    <n v="26000"/>
    <n v="1.56"/>
    <n v="1704000"/>
    <n v="1717000"/>
    <n v="1676000"/>
    <n v="57218"/>
    <n v="96960079500"/>
    <n v="46290951"/>
    <n v="78416870994000"/>
  </r>
  <r>
    <s v="삼성바이오로직스"/>
    <x v="33"/>
    <n v="207940"/>
    <s v="KR7207940008"/>
    <x v="5"/>
    <s v="KOSPI"/>
    <n v="1668000"/>
    <n v="-32000"/>
    <n v="-1.88"/>
    <n v="1688000"/>
    <n v="1688000"/>
    <n v="1637000"/>
    <n v="57738"/>
    <n v="95567675000"/>
    <n v="46290951"/>
    <n v="77213306268000"/>
  </r>
  <r>
    <s v="삼성바이오로직스"/>
    <x v="34"/>
    <n v="207940"/>
    <s v="KR7207940008"/>
    <x v="5"/>
    <s v="KOSPI"/>
    <n v="1700000"/>
    <n v="-59000"/>
    <n v="-3.35"/>
    <n v="1792000"/>
    <n v="1795000"/>
    <n v="1700000"/>
    <n v="59550"/>
    <n v="102906216500"/>
    <n v="46290951"/>
    <n v="78694616700000"/>
  </r>
  <r>
    <s v="삼성바이오로직스"/>
    <x v="35"/>
    <n v="207940"/>
    <s v="KR7207940008"/>
    <x v="5"/>
    <s v="KOSPI"/>
    <n v="1759000"/>
    <n v="10000"/>
    <n v="0.56999999999999995"/>
    <n v="1755000"/>
    <n v="1778000"/>
    <n v="1745000"/>
    <n v="55355"/>
    <n v="97456532500"/>
    <n v="46290951"/>
    <n v="81425782809000"/>
  </r>
  <r>
    <s v="삼성바이오로직스"/>
    <x v="36"/>
    <n v="207940"/>
    <s v="KR7207940008"/>
    <x v="5"/>
    <s v="KOSPI"/>
    <n v="1749000"/>
    <n v="38000"/>
    <n v="2.2200000000000002"/>
    <n v="1717000"/>
    <n v="1756000"/>
    <n v="1712000"/>
    <n v="50120"/>
    <n v="87157472500"/>
    <n v="46290951"/>
    <n v="80962873299000"/>
  </r>
  <r>
    <s v="삼성바이오로직스"/>
    <x v="37"/>
    <n v="207940"/>
    <s v="KR7207940008"/>
    <x v="5"/>
    <s v="KOSPI"/>
    <n v="1711000"/>
    <n v="-34000"/>
    <n v="-1.95"/>
    <n v="1745000"/>
    <n v="1763000"/>
    <n v="1705000"/>
    <n v="67005"/>
    <n v="115381471000"/>
    <n v="46290951"/>
    <n v="79203817161000"/>
  </r>
  <r>
    <s v="삼성바이오로직스"/>
    <x v="38"/>
    <n v="207940"/>
    <s v="KR7207940008"/>
    <x v="5"/>
    <s v="KOSPI"/>
    <n v="1745000"/>
    <n v="-31000"/>
    <n v="-1.75"/>
    <n v="1781000"/>
    <n v="1782000"/>
    <n v="1745000"/>
    <n v="63642"/>
    <n v="111756045000"/>
    <n v="46290951"/>
    <n v="80777709495000"/>
  </r>
  <r>
    <s v="삼성바이오로직스"/>
    <x v="39"/>
    <n v="207940"/>
    <s v="KR7207940008"/>
    <x v="5"/>
    <s v="KOSPI"/>
    <n v="1776000"/>
    <n v="-15000"/>
    <n v="-0.84"/>
    <n v="1796000"/>
    <n v="1798000"/>
    <n v="1765000"/>
    <n v="67355"/>
    <n v="119772214500"/>
    <n v="46290951"/>
    <n v="82212728976000"/>
  </r>
  <r>
    <s v="삼성바이오로직스"/>
    <x v="40"/>
    <n v="207940"/>
    <s v="KR7207940008"/>
    <x v="5"/>
    <s v="KOSPI"/>
    <n v="1791000"/>
    <n v="1000"/>
    <n v="0.06"/>
    <n v="1802000"/>
    <n v="1814000"/>
    <n v="1785000"/>
    <n v="59883"/>
    <n v="107273070000"/>
    <n v="46290951"/>
    <n v="82907093241000"/>
  </r>
  <r>
    <s v="삼성바이오로직스"/>
    <x v="41"/>
    <n v="207940"/>
    <s v="KR7207940008"/>
    <x v="5"/>
    <s v="KOSPI"/>
    <n v="1790000"/>
    <n v="-17000"/>
    <n v="-0.94"/>
    <n v="1808000"/>
    <n v="1809000"/>
    <n v="1790000"/>
    <n v="74402"/>
    <n v="133562411000"/>
    <n v="46290951"/>
    <n v="82860802290000"/>
  </r>
  <r>
    <s v="삼성바이오로직스"/>
    <x v="42"/>
    <n v="207940"/>
    <s v="KR7207940008"/>
    <x v="5"/>
    <s v="KOSPI"/>
    <n v="1807000"/>
    <n v="5000"/>
    <n v="0.28000000000000003"/>
    <n v="1805000"/>
    <n v="1819000"/>
    <n v="1793000"/>
    <n v="72980"/>
    <n v="131562984000"/>
    <n v="46290951"/>
    <n v="83647748457000"/>
  </r>
  <r>
    <s v="삼성바이오로직스"/>
    <x v="43"/>
    <n v="207940"/>
    <s v="KR7207940008"/>
    <x v="5"/>
    <s v="KOSPI"/>
    <n v="1802000"/>
    <n v="24000"/>
    <n v="1.35"/>
    <n v="1794000"/>
    <n v="1808000"/>
    <n v="1790000"/>
    <n v="62438"/>
    <n v="112333805164"/>
    <n v="46290951"/>
    <n v="83416293702000"/>
  </r>
  <r>
    <s v="삼성바이오로직스"/>
    <x v="44"/>
    <n v="207940"/>
    <s v="KR7207940008"/>
    <x v="5"/>
    <s v="KOSPI"/>
    <n v="1778000"/>
    <n v="-95000"/>
    <n v="-5.07"/>
    <n v="1874000"/>
    <n v="1888000"/>
    <n v="1778000"/>
    <n v="182684"/>
    <n v="328006219500"/>
    <n v="46290951"/>
    <n v="82305310878000"/>
  </r>
  <r>
    <s v="삼성바이오로직스"/>
    <x v="45"/>
    <n v="207940"/>
    <s v="KR7207940008"/>
    <x v="5"/>
    <s v="KOSPI"/>
    <n v="1873000"/>
    <n v="-47000"/>
    <n v="-2.4500000000000002"/>
    <n v="1909000"/>
    <n v="1909000"/>
    <n v="1870000"/>
    <n v="59612"/>
    <n v="112191096500"/>
    <n v="46290951"/>
    <n v="86702951223000"/>
  </r>
  <r>
    <s v="삼성바이오로직스"/>
    <x v="46"/>
    <n v="207940"/>
    <s v="KR7207940008"/>
    <x v="5"/>
    <s v="KOSPI"/>
    <n v="1920000"/>
    <n v="-1000"/>
    <n v="-0.05"/>
    <n v="1922000"/>
    <n v="1942000"/>
    <n v="1912000"/>
    <n v="42737"/>
    <n v="82257584500"/>
    <n v="46290951"/>
    <n v="88878625920000"/>
  </r>
  <r>
    <s v="삼성바이오로직스"/>
    <x v="47"/>
    <n v="207940"/>
    <s v="KR7207940008"/>
    <x v="5"/>
    <s v="KOSPI"/>
    <n v="1921000"/>
    <n v="-26000"/>
    <n v="-1.34"/>
    <n v="1927000"/>
    <n v="1940000"/>
    <n v="1900000"/>
    <n v="44904"/>
    <n v="86333896500"/>
    <n v="46290951"/>
    <n v="88924916871000"/>
  </r>
  <r>
    <s v="삼성바이오로직스"/>
    <x v="48"/>
    <n v="207940"/>
    <s v="KR7207940008"/>
    <x v="5"/>
    <s v="KOSPI"/>
    <n v="1947000"/>
    <n v="-18000"/>
    <n v="-0.92"/>
    <n v="1980000"/>
    <n v="1981000"/>
    <n v="1895000"/>
    <n v="68134"/>
    <n v="131227502500"/>
    <n v="46290951"/>
    <n v="90128481597000"/>
  </r>
  <r>
    <s v="삼성바이오로직스"/>
    <x v="49"/>
    <n v="207940"/>
    <s v="KR7207940008"/>
    <x v="5"/>
    <s v="KOSPI"/>
    <n v="1965000"/>
    <n v="38000"/>
    <n v="1.97"/>
    <n v="1930000"/>
    <n v="1987000"/>
    <n v="1921000"/>
    <n v="70485"/>
    <n v="138679814500"/>
    <n v="46290951"/>
    <n v="90961718715000"/>
  </r>
  <r>
    <s v="삼성바이오로직스"/>
    <x v="50"/>
    <n v="207940"/>
    <s v="KR7207940008"/>
    <x v="5"/>
    <s v="KOSPI"/>
    <n v="1927000"/>
    <n v="19000"/>
    <n v="1"/>
    <n v="1924000"/>
    <n v="1948000"/>
    <n v="1912000"/>
    <n v="86681"/>
    <n v="167131953552"/>
    <n v="46290951"/>
    <n v="89202662577000"/>
  </r>
  <r>
    <s v="삼성바이오로직스"/>
    <x v="51"/>
    <n v="207940"/>
    <s v="KR7207940008"/>
    <x v="5"/>
    <s v="KOSPI"/>
    <n v="1908000"/>
    <n v="49000"/>
    <n v="2.64"/>
    <n v="1885000"/>
    <n v="1944000"/>
    <n v="1881000"/>
    <n v="77125"/>
    <n v="147795098500"/>
    <n v="46290951"/>
    <n v="88323134508000"/>
  </r>
  <r>
    <s v="삼성바이오로직스"/>
    <x v="52"/>
    <n v="207940"/>
    <s v="KR7207940008"/>
    <x v="5"/>
    <s v="KOSPI"/>
    <n v="1859000"/>
    <n v="-19000"/>
    <n v="-1.01"/>
    <n v="1899000"/>
    <n v="1915000"/>
    <n v="1845000"/>
    <n v="68736"/>
    <n v="128434843500"/>
    <n v="46290951"/>
    <n v="86054877909000"/>
  </r>
  <r>
    <s v="삼성바이오로직스"/>
    <x v="53"/>
    <n v="207940"/>
    <s v="KR7207940008"/>
    <x v="5"/>
    <s v="KOSPI"/>
    <n v="1878000"/>
    <n v="-7000"/>
    <n v="-0.37"/>
    <n v="1875000"/>
    <n v="1879000"/>
    <n v="1834000"/>
    <n v="70385"/>
    <n v="131242689000"/>
    <n v="46290951"/>
    <n v="86934405978000"/>
  </r>
  <r>
    <s v="삼성바이오로직스"/>
    <x v="54"/>
    <n v="207940"/>
    <s v="KR7207940008"/>
    <x v="5"/>
    <s v="KOSPI"/>
    <n v="1885000"/>
    <n v="118000"/>
    <n v="6.68"/>
    <n v="1767000"/>
    <n v="1900000"/>
    <n v="1766000"/>
    <n v="128454"/>
    <n v="238420330500"/>
    <n v="46290951"/>
    <n v="87258442635000"/>
  </r>
  <r>
    <s v="삼성바이오로직스"/>
    <x v="55"/>
    <n v="207940"/>
    <s v="KR7207940008"/>
    <x v="5"/>
    <s v="KOSPI"/>
    <n v="1767000"/>
    <n v="46000"/>
    <n v="2.67"/>
    <n v="1736000"/>
    <n v="1789000"/>
    <n v="1730000"/>
    <n v="61546"/>
    <n v="108404400000"/>
    <n v="46290951"/>
    <n v="81796110417000"/>
  </r>
  <r>
    <s v="삼성바이오로직스"/>
    <x v="56"/>
    <n v="207940"/>
    <s v="KR7207940008"/>
    <x v="5"/>
    <s v="KOSPI"/>
    <n v="1721000"/>
    <n v="8000"/>
    <n v="0.47"/>
    <n v="1720000"/>
    <n v="1735000"/>
    <n v="1710000"/>
    <n v="36813"/>
    <n v="63338060500"/>
    <n v="46290951"/>
    <n v="79666726671000"/>
  </r>
  <r>
    <s v="삼성바이오로직스"/>
    <x v="57"/>
    <n v="207940"/>
    <s v="KR7207940008"/>
    <x v="5"/>
    <s v="KOSPI"/>
    <n v="1713000"/>
    <n v="30000"/>
    <n v="1.78"/>
    <n v="1673000"/>
    <n v="1724000"/>
    <n v="1671000"/>
    <n v="51390"/>
    <n v="87508499000"/>
    <n v="46290951"/>
    <n v="79296399063000"/>
  </r>
  <r>
    <s v="삼성바이오로직스"/>
    <x v="58"/>
    <n v="207940"/>
    <s v="KR7207940008"/>
    <x v="5"/>
    <s v="KOSPI"/>
    <n v="1683000"/>
    <n v="-12000"/>
    <n v="-0.71"/>
    <n v="1695000"/>
    <n v="1709000"/>
    <n v="1679000"/>
    <n v="46684"/>
    <n v="78699495500"/>
    <n v="46290951"/>
    <n v="77907670533000"/>
  </r>
  <r>
    <s v="SK스퀘어"/>
    <x v="0"/>
    <n v="402340"/>
    <s v="KR7402340004"/>
    <x v="6"/>
    <s v="KOSPI"/>
    <n v="466500"/>
    <n v="-43500"/>
    <n v="-8.5299999999999994"/>
    <n v="473500"/>
    <n v="488000"/>
    <n v="462500"/>
    <n v="1428264"/>
    <n v="674284717000"/>
    <n v="132087115"/>
    <n v="61618639147500"/>
  </r>
  <r>
    <s v="SK스퀘어"/>
    <x v="1"/>
    <n v="402340"/>
    <s v="KR7402340004"/>
    <x v="6"/>
    <s v="KOSPI"/>
    <n v="510000"/>
    <n v="-34000"/>
    <n v="-6.25"/>
    <n v="503000"/>
    <n v="516000"/>
    <n v="500000"/>
    <n v="625397"/>
    <n v="317488795720"/>
    <n v="132087115"/>
    <n v="67364428650000"/>
  </r>
  <r>
    <s v="SK스퀘어"/>
    <x v="2"/>
    <n v="402340"/>
    <s v="KR7402340004"/>
    <x v="6"/>
    <s v="KOSPI"/>
    <n v="544000"/>
    <n v="-14000"/>
    <n v="-2.5099999999999998"/>
    <n v="528000"/>
    <n v="549000"/>
    <n v="521000"/>
    <n v="616056"/>
    <n v="331120880000"/>
    <n v="132087115"/>
    <n v="71855390560000"/>
  </r>
  <r>
    <s v="SK스퀘어"/>
    <x v="3"/>
    <n v="402340"/>
    <s v="KR7402340004"/>
    <x v="6"/>
    <s v="KOSPI"/>
    <n v="558000"/>
    <n v="-47000"/>
    <n v="-7.77"/>
    <n v="592000"/>
    <n v="594000"/>
    <n v="556000"/>
    <n v="600622"/>
    <n v="342129964500"/>
    <n v="132087115"/>
    <n v="73704610170000"/>
  </r>
  <r>
    <s v="SK스퀘어"/>
    <x v="4"/>
    <n v="402340"/>
    <s v="KR7402340004"/>
    <x v="6"/>
    <s v="KOSPI"/>
    <n v="605000"/>
    <n v="10000"/>
    <n v="1.68"/>
    <n v="614000"/>
    <n v="633000"/>
    <n v="602000"/>
    <n v="521309"/>
    <n v="319583766476"/>
    <n v="132087115"/>
    <n v="79912704575000"/>
  </r>
  <r>
    <s v="SK스퀘어"/>
    <x v="5"/>
    <n v="402340"/>
    <s v="KR7402340004"/>
    <x v="6"/>
    <s v="KOSPI"/>
    <n v="595000"/>
    <n v="38000"/>
    <n v="6.82"/>
    <n v="591000"/>
    <n v="598000"/>
    <n v="564000"/>
    <n v="679224"/>
    <n v="397814307500"/>
    <n v="132087115"/>
    <n v="78591833425000"/>
  </r>
  <r>
    <s v="SK스퀘어"/>
    <x v="6"/>
    <n v="402340"/>
    <s v="KR7402340004"/>
    <x v="6"/>
    <s v="KOSPI"/>
    <n v="557000"/>
    <n v="-51000"/>
    <n v="-8.39"/>
    <n v="564000"/>
    <n v="571000"/>
    <n v="536000"/>
    <n v="779508"/>
    <n v="432807846000"/>
    <n v="132087115"/>
    <n v="73572523055000"/>
  </r>
  <r>
    <s v="SK스퀘어"/>
    <x v="7"/>
    <n v="402340"/>
    <s v="KR7402340004"/>
    <x v="6"/>
    <s v="KOSPI"/>
    <n v="608000"/>
    <n v="-3000"/>
    <n v="-0.49"/>
    <n v="617000"/>
    <n v="618000"/>
    <n v="595000"/>
    <n v="656130"/>
    <n v="397131736500"/>
    <n v="132087115"/>
    <n v="80308965920000"/>
  </r>
  <r>
    <s v="SK스퀘어"/>
    <x v="8"/>
    <n v="402340"/>
    <s v="KR7402340004"/>
    <x v="6"/>
    <s v="KOSPI"/>
    <n v="611000"/>
    <n v="-19000"/>
    <n v="-3.02"/>
    <n v="606000"/>
    <n v="627000"/>
    <n v="600000"/>
    <n v="399104"/>
    <n v="244324009000"/>
    <n v="132087115"/>
    <n v="80705227265000"/>
  </r>
  <r>
    <s v="SK스퀘어"/>
    <x v="9"/>
    <n v="402340"/>
    <s v="KR7402340004"/>
    <x v="6"/>
    <s v="KOSPI"/>
    <n v="630000"/>
    <n v="43000"/>
    <n v="7.33"/>
    <n v="612000"/>
    <n v="637000"/>
    <n v="608000"/>
    <n v="559150"/>
    <n v="348487375500"/>
    <n v="132087115"/>
    <n v="83214882450000"/>
  </r>
  <r>
    <s v="SK스퀘어"/>
    <x v="10"/>
    <n v="402340"/>
    <s v="KR7402340004"/>
    <x v="6"/>
    <s v="KOSPI"/>
    <n v="587000"/>
    <n v="25000"/>
    <n v="4.45"/>
    <n v="589000"/>
    <n v="608000"/>
    <n v="580000"/>
    <n v="479303"/>
    <n v="285444734000"/>
    <n v="132087115"/>
    <n v="77535136505000"/>
  </r>
  <r>
    <s v="SK스퀘어"/>
    <x v="11"/>
    <n v="402340"/>
    <s v="KR7402340004"/>
    <x v="6"/>
    <s v="KOSPI"/>
    <n v="562000"/>
    <n v="28000"/>
    <n v="5.24"/>
    <n v="536000"/>
    <n v="571000"/>
    <n v="532000"/>
    <n v="523408"/>
    <n v="288451545928"/>
    <n v="132087115"/>
    <n v="74232958630000"/>
  </r>
  <r>
    <s v="SK스퀘어"/>
    <x v="12"/>
    <n v="402340"/>
    <s v="KR7402340004"/>
    <x v="6"/>
    <s v="KOSPI"/>
    <n v="534000"/>
    <n v="-20000"/>
    <n v="-3.61"/>
    <n v="530000"/>
    <n v="544000"/>
    <n v="517000"/>
    <n v="420495"/>
    <n v="224571439000"/>
    <n v="132087115"/>
    <n v="70534519410000"/>
  </r>
  <r>
    <s v="SK스퀘어"/>
    <x v="13"/>
    <n v="402340"/>
    <s v="KR7402340004"/>
    <x v="6"/>
    <s v="KOSPI"/>
    <n v="554000"/>
    <n v="-11000"/>
    <n v="-1.95"/>
    <n v="550000"/>
    <n v="567000"/>
    <n v="546000"/>
    <n v="351861"/>
    <n v="195100909000"/>
    <n v="132087115"/>
    <n v="73176261710000"/>
  </r>
  <r>
    <s v="SK스퀘어"/>
    <x v="14"/>
    <n v="402340"/>
    <s v="KR7402340004"/>
    <x v="6"/>
    <s v="KOSPI"/>
    <n v="565000"/>
    <n v="11000"/>
    <n v="1.99"/>
    <n v="575000"/>
    <n v="593000"/>
    <n v="557000"/>
    <n v="342332"/>
    <n v="197854399000"/>
    <n v="132087115"/>
    <n v="74629219975000"/>
  </r>
  <r>
    <s v="SK스퀘어"/>
    <x v="15"/>
    <n v="402340"/>
    <s v="KR7402340004"/>
    <x v="6"/>
    <s v="KOSPI"/>
    <n v="554000"/>
    <n v="45000"/>
    <n v="8.84"/>
    <n v="549000"/>
    <n v="568000"/>
    <n v="535000"/>
    <n v="505516"/>
    <n v="278490921000"/>
    <n v="132087115"/>
    <n v="73176261710000"/>
  </r>
  <r>
    <s v="SK스퀘어"/>
    <x v="16"/>
    <n v="402340"/>
    <s v="KR7402340004"/>
    <x v="6"/>
    <s v="KOSPI"/>
    <n v="509000"/>
    <n v="-44000"/>
    <n v="-7.96"/>
    <n v="498500"/>
    <n v="512000"/>
    <n v="485500"/>
    <n v="742409"/>
    <n v="369110846900"/>
    <n v="132087115"/>
    <n v="67232341535000"/>
  </r>
  <r>
    <s v="SK스퀘어"/>
    <x v="17"/>
    <n v="402340"/>
    <s v="KR7402340004"/>
    <x v="6"/>
    <s v="KOSPI"/>
    <n v="553000"/>
    <n v="-13000"/>
    <n v="-2.2999999999999998"/>
    <n v="539000"/>
    <n v="554000"/>
    <n v="520500"/>
    <n v="578081"/>
    <n v="312432890000"/>
    <n v="132087115"/>
    <n v="73044174595000"/>
  </r>
  <r>
    <s v="SK스퀘어"/>
    <x v="18"/>
    <n v="402340"/>
    <s v="KR7402340004"/>
    <x v="6"/>
    <s v="KOSPI"/>
    <n v="566000"/>
    <n v="59000"/>
    <n v="11.64"/>
    <n v="583000"/>
    <n v="594000"/>
    <n v="554000"/>
    <n v="782233"/>
    <n v="449905195000"/>
    <n v="132087115"/>
    <n v="74761307090000"/>
  </r>
  <r>
    <s v="SK스퀘어"/>
    <x v="19"/>
    <n v="402340"/>
    <s v="KR7402340004"/>
    <x v="6"/>
    <s v="KOSPI"/>
    <n v="507000"/>
    <n v="-74000"/>
    <n v="-12.74"/>
    <n v="549000"/>
    <n v="579000"/>
    <n v="489000"/>
    <n v="1146627"/>
    <n v="604117597000"/>
    <n v="132087115"/>
    <n v="66968167305000"/>
  </r>
  <r>
    <s v="SK스퀘어"/>
    <x v="20"/>
    <n v="402340"/>
    <s v="KR7402340004"/>
    <x v="6"/>
    <s v="KOSPI"/>
    <n v="581000"/>
    <n v="-64000"/>
    <n v="-9.92"/>
    <n v="642000"/>
    <n v="643000"/>
    <n v="578000"/>
    <n v="694465"/>
    <n v="422560386000"/>
    <n v="132087115"/>
    <n v="76742613815000"/>
  </r>
  <r>
    <s v="SK스퀘어"/>
    <x v="21"/>
    <n v="402340"/>
    <s v="KR7402340004"/>
    <x v="6"/>
    <s v="KOSPI"/>
    <n v="645000"/>
    <n v="-34000"/>
    <n v="-5.01"/>
    <n v="654000"/>
    <n v="676000"/>
    <n v="636000"/>
    <n v="1032548"/>
    <n v="670634356055"/>
    <n v="132087115"/>
    <n v="85196189175000"/>
  </r>
  <r>
    <s v="SK스퀘어"/>
    <x v="22"/>
    <n v="402340"/>
    <s v="KR7402340004"/>
    <x v="6"/>
    <s v="KOSPI"/>
    <n v="679000"/>
    <n v="32000"/>
    <n v="4.95"/>
    <n v="659000"/>
    <n v="681000"/>
    <n v="648000"/>
    <n v="778181"/>
    <n v="515895204541"/>
    <n v="132087115"/>
    <n v="89687151085000"/>
  </r>
  <r>
    <s v="SK스퀘어"/>
    <x v="23"/>
    <n v="402340"/>
    <s v="KR7402340004"/>
    <x v="6"/>
    <s v="KOSPI"/>
    <n v="647000"/>
    <n v="30000"/>
    <n v="4.8600000000000003"/>
    <n v="630000"/>
    <n v="660000"/>
    <n v="621000"/>
    <n v="673059"/>
    <n v="432135910884"/>
    <n v="132087115"/>
    <n v="85460363405000"/>
  </r>
  <r>
    <s v="SK스퀘어"/>
    <x v="24"/>
    <n v="402340"/>
    <s v="KR7402340004"/>
    <x v="6"/>
    <s v="KOSPI"/>
    <n v="617000"/>
    <n v="37000"/>
    <n v="6.38"/>
    <n v="577000"/>
    <n v="634000"/>
    <n v="572000"/>
    <n v="712701"/>
    <n v="437672237632"/>
    <n v="132087115"/>
    <n v="81497749955000"/>
  </r>
  <r>
    <s v="SK스퀘어"/>
    <x v="25"/>
    <n v="402340"/>
    <s v="KR7402340004"/>
    <x v="6"/>
    <s v="KOSPI"/>
    <n v="580000"/>
    <n v="0"/>
    <n v="0"/>
    <n v="590000"/>
    <n v="597000"/>
    <n v="564000"/>
    <n v="551340"/>
    <n v="319359144000"/>
    <n v="132087115"/>
    <n v="76610526700000"/>
  </r>
  <r>
    <s v="SK스퀘어"/>
    <x v="26"/>
    <n v="402340"/>
    <s v="KR7402340004"/>
    <x v="6"/>
    <s v="KOSPI"/>
    <n v="580000"/>
    <n v="14000"/>
    <n v="2.4700000000000002"/>
    <n v="566000"/>
    <n v="585000"/>
    <n v="547000"/>
    <n v="731445"/>
    <n v="415838797500"/>
    <n v="132087115"/>
    <n v="76610526700000"/>
  </r>
  <r>
    <s v="SK스퀘어"/>
    <x v="27"/>
    <n v="402340"/>
    <s v="KR7402340004"/>
    <x v="6"/>
    <s v="KOSPI"/>
    <n v="566000"/>
    <n v="8000"/>
    <n v="1.43"/>
    <n v="589000"/>
    <n v="590000"/>
    <n v="562000"/>
    <n v="493870"/>
    <n v="283006683000"/>
    <n v="132087115"/>
    <n v="74761307090000"/>
  </r>
  <r>
    <s v="SK스퀘어"/>
    <x v="28"/>
    <n v="402340"/>
    <s v="KR7402340004"/>
    <x v="6"/>
    <s v="KOSPI"/>
    <n v="558000"/>
    <n v="-12000"/>
    <n v="-2.11"/>
    <n v="565000"/>
    <n v="586000"/>
    <n v="557000"/>
    <n v="457489"/>
    <n v="260925471500"/>
    <n v="132087115"/>
    <n v="73704610170000"/>
  </r>
  <r>
    <s v="SK스퀘어"/>
    <x v="29"/>
    <n v="402340"/>
    <s v="KR7402340004"/>
    <x v="6"/>
    <s v="KOSPI"/>
    <n v="570000"/>
    <n v="38000"/>
    <n v="7.14"/>
    <n v="555000"/>
    <n v="570000"/>
    <n v="548000"/>
    <n v="747204"/>
    <n v="420752811934"/>
    <n v="132087115"/>
    <n v="75289655550000"/>
  </r>
  <r>
    <s v="SK스퀘어"/>
    <x v="30"/>
    <n v="402340"/>
    <s v="KR7402340004"/>
    <x v="6"/>
    <s v="KOSPI"/>
    <n v="532000"/>
    <n v="-11000"/>
    <n v="-2.0299999999999998"/>
    <n v="540000"/>
    <n v="542000"/>
    <n v="523000"/>
    <n v="395925"/>
    <n v="211587199500"/>
    <n v="132087115"/>
    <n v="70270345180000"/>
  </r>
  <r>
    <s v="SK스퀘어"/>
    <x v="31"/>
    <n v="402340"/>
    <s v="KR7402340004"/>
    <x v="6"/>
    <s v="KOSPI"/>
    <n v="543000"/>
    <n v="-20000"/>
    <n v="-3.55"/>
    <n v="570000"/>
    <n v="574000"/>
    <n v="538000"/>
    <n v="534386"/>
    <n v="295205381435"/>
    <n v="132087115"/>
    <n v="71723303445000"/>
  </r>
  <r>
    <s v="SK스퀘어"/>
    <x v="32"/>
    <n v="402340"/>
    <s v="KR7402340004"/>
    <x v="6"/>
    <s v="KOSPI"/>
    <n v="563000"/>
    <n v="49000"/>
    <n v="9.5299999999999994"/>
    <n v="548000"/>
    <n v="577000"/>
    <n v="543000"/>
    <n v="873884"/>
    <n v="494357961000"/>
    <n v="132087115"/>
    <n v="74365045745000"/>
  </r>
  <r>
    <s v="SK스퀘어"/>
    <x v="33"/>
    <n v="402340"/>
    <s v="KR7402340004"/>
    <x v="6"/>
    <s v="KOSPI"/>
    <n v="514000"/>
    <n v="-20000"/>
    <n v="-3.75"/>
    <n v="510000"/>
    <n v="523000"/>
    <n v="492000"/>
    <n v="1175181"/>
    <n v="596353753685"/>
    <n v="132087115"/>
    <n v="67892777110000"/>
  </r>
  <r>
    <s v="SK스퀘어"/>
    <x v="34"/>
    <n v="402340"/>
    <s v="KR7402340004"/>
    <x v="6"/>
    <s v="KOSPI"/>
    <n v="534000"/>
    <n v="-35000"/>
    <n v="-6.15"/>
    <n v="523000"/>
    <n v="561000"/>
    <n v="523000"/>
    <n v="1108307"/>
    <n v="597219636500"/>
    <n v="132087115"/>
    <n v="70534519410000"/>
  </r>
  <r>
    <s v="SK스퀘어"/>
    <x v="35"/>
    <n v="402340"/>
    <s v="KR7402340004"/>
    <x v="6"/>
    <s v="KOSPI"/>
    <n v="569000"/>
    <n v="23000"/>
    <n v="4.21"/>
    <n v="542000"/>
    <n v="576000"/>
    <n v="532000"/>
    <n v="1009177"/>
    <n v="568459007720"/>
    <n v="132087115"/>
    <n v="75157568435000"/>
  </r>
  <r>
    <s v="SK스퀘어"/>
    <x v="36"/>
    <n v="402340"/>
    <s v="KR7402340004"/>
    <x v="6"/>
    <s v="KOSPI"/>
    <n v="546000"/>
    <n v="41000"/>
    <n v="8.1199999999999992"/>
    <n v="542000"/>
    <n v="549000"/>
    <n v="522000"/>
    <n v="1374761"/>
    <n v="740106474784"/>
    <n v="132087115"/>
    <n v="72119564790000"/>
  </r>
  <r>
    <s v="SK스퀘어"/>
    <x v="37"/>
    <n v="402340"/>
    <s v="KR7402340004"/>
    <x v="6"/>
    <s v="KOSPI"/>
    <n v="505000"/>
    <n v="-65000"/>
    <n v="-11.4"/>
    <n v="537000"/>
    <n v="557000"/>
    <n v="493500"/>
    <n v="1337758"/>
    <n v="693950199485"/>
    <n v="132087115"/>
    <n v="66703993075000"/>
  </r>
  <r>
    <s v="SK스퀘어"/>
    <x v="38"/>
    <n v="402340"/>
    <s v="KR7402340004"/>
    <x v="6"/>
    <s v="KOSPI"/>
    <n v="570000"/>
    <n v="39000"/>
    <n v="7.34"/>
    <n v="524000"/>
    <n v="581000"/>
    <n v="520000"/>
    <n v="895623"/>
    <n v="501262513000"/>
    <n v="132087115"/>
    <n v="75289655550000"/>
  </r>
  <r>
    <s v="SK스퀘어"/>
    <x v="39"/>
    <n v="402340"/>
    <s v="KR7402340004"/>
    <x v="6"/>
    <s v="KOSPI"/>
    <n v="531000"/>
    <n v="27000"/>
    <n v="5.36"/>
    <n v="528000"/>
    <n v="536000"/>
    <n v="500000"/>
    <n v="858102"/>
    <n v="448814728981"/>
    <n v="132087115"/>
    <n v="70138258065000"/>
  </r>
  <r>
    <s v="SK스퀘어"/>
    <x v="40"/>
    <n v="402340"/>
    <s v="KR7402340004"/>
    <x v="6"/>
    <s v="KOSPI"/>
    <n v="504000"/>
    <n v="31000"/>
    <n v="6.55"/>
    <n v="482000"/>
    <n v="507000"/>
    <n v="476500"/>
    <n v="536054"/>
    <n v="265683142977"/>
    <n v="132087115"/>
    <n v="66571905960000"/>
  </r>
  <r>
    <s v="SK스퀘어"/>
    <x v="41"/>
    <n v="402340"/>
    <s v="KR7402340004"/>
    <x v="6"/>
    <s v="KOSPI"/>
    <n v="473000"/>
    <n v="32000"/>
    <n v="7.26"/>
    <n v="444500"/>
    <n v="483500"/>
    <n v="436500"/>
    <n v="676907"/>
    <n v="317098315000"/>
    <n v="132087115"/>
    <n v="62477205395000"/>
  </r>
  <r>
    <s v="SK스퀘어"/>
    <x v="42"/>
    <n v="402340"/>
    <s v="KR7402340004"/>
    <x v="6"/>
    <s v="KOSPI"/>
    <n v="441000"/>
    <n v="-4500"/>
    <n v="-1.01"/>
    <n v="442500"/>
    <n v="447000"/>
    <n v="435000"/>
    <n v="334124"/>
    <n v="147656257001"/>
    <n v="132087115"/>
    <n v="58250417715000"/>
  </r>
  <r>
    <s v="SK스퀘어"/>
    <x v="43"/>
    <n v="402340"/>
    <s v="KR7402340004"/>
    <x v="6"/>
    <s v="KOSPI"/>
    <n v="445500"/>
    <n v="-1000"/>
    <n v="-0.22"/>
    <n v="451000"/>
    <n v="451500"/>
    <n v="434500"/>
    <n v="322700"/>
    <n v="142825533000"/>
    <n v="132087115"/>
    <n v="58844809732500"/>
  </r>
  <r>
    <s v="SK스퀘어"/>
    <x v="44"/>
    <n v="402340"/>
    <s v="KR7402340004"/>
    <x v="6"/>
    <s v="KOSPI"/>
    <n v="446500"/>
    <n v="16500"/>
    <n v="3.84"/>
    <n v="430500"/>
    <n v="466000"/>
    <n v="430000"/>
    <n v="572111"/>
    <n v="256890598184"/>
    <n v="132087115"/>
    <n v="58976896847500"/>
  </r>
  <r>
    <s v="SK스퀘어"/>
    <x v="45"/>
    <n v="402340"/>
    <s v="KR7402340004"/>
    <x v="6"/>
    <s v="KOSPI"/>
    <n v="430000"/>
    <n v="3000"/>
    <n v="0.7"/>
    <n v="422000"/>
    <n v="438000"/>
    <n v="413500"/>
    <n v="406209"/>
    <n v="174274278750"/>
    <n v="132087115"/>
    <n v="56797459450000"/>
  </r>
  <r>
    <s v="SK스퀘어"/>
    <x v="46"/>
    <n v="402340"/>
    <s v="KR7402340004"/>
    <x v="6"/>
    <s v="KOSPI"/>
    <n v="427000"/>
    <n v="-8500"/>
    <n v="-1.95"/>
    <n v="431000"/>
    <n v="439000"/>
    <n v="424000"/>
    <n v="389355"/>
    <n v="167117009042"/>
    <n v="132087115"/>
    <n v="56401198105000"/>
  </r>
  <r>
    <s v="SK스퀘어"/>
    <x v="47"/>
    <n v="402340"/>
    <s v="KR7402340004"/>
    <x v="6"/>
    <s v="KOSPI"/>
    <n v="435500"/>
    <n v="-11000"/>
    <n v="-2.46"/>
    <n v="439500"/>
    <n v="443500"/>
    <n v="425000"/>
    <n v="434118"/>
    <n v="188523656750"/>
    <n v="132087115"/>
    <n v="57523938582500"/>
  </r>
  <r>
    <s v="SK스퀘어"/>
    <x v="48"/>
    <n v="402340"/>
    <s v="KR7402340004"/>
    <x v="6"/>
    <s v="KOSPI"/>
    <n v="446500"/>
    <n v="17000"/>
    <n v="3.96"/>
    <n v="430500"/>
    <n v="452000"/>
    <n v="424500"/>
    <n v="501455"/>
    <n v="220260564500"/>
    <n v="132087115"/>
    <n v="58976896847500"/>
  </r>
  <r>
    <s v="SK스퀘어"/>
    <x v="49"/>
    <n v="402340"/>
    <s v="KR7402340004"/>
    <x v="6"/>
    <s v="KOSPI"/>
    <n v="429500"/>
    <n v="-6000"/>
    <n v="-1.38"/>
    <n v="428500"/>
    <n v="434000"/>
    <n v="418500"/>
    <n v="383174"/>
    <n v="162872400000"/>
    <n v="132087115"/>
    <n v="56731415892500"/>
  </r>
  <r>
    <s v="SK스퀘어"/>
    <x v="50"/>
    <n v="402340"/>
    <s v="KR7402340004"/>
    <x v="6"/>
    <s v="KOSPI"/>
    <n v="435500"/>
    <n v="9000"/>
    <n v="2.11"/>
    <n v="430000"/>
    <n v="437000"/>
    <n v="420000"/>
    <n v="352280"/>
    <n v="150912070500"/>
    <n v="132087115"/>
    <n v="57523938582500"/>
  </r>
  <r>
    <s v="SK스퀘어"/>
    <x v="51"/>
    <n v="402340"/>
    <s v="KR7402340004"/>
    <x v="6"/>
    <s v="KOSPI"/>
    <n v="426500"/>
    <n v="-1000"/>
    <n v="-0.23"/>
    <n v="431500"/>
    <n v="435000"/>
    <n v="418000"/>
    <n v="285414"/>
    <n v="121343532500"/>
    <n v="132087115"/>
    <n v="56335154547500"/>
  </r>
  <r>
    <s v="SK스퀘어"/>
    <x v="52"/>
    <n v="402340"/>
    <s v="KR7402340004"/>
    <x v="6"/>
    <s v="KOSPI"/>
    <n v="427500"/>
    <n v="-3000"/>
    <n v="-0.7"/>
    <n v="436500"/>
    <n v="440000"/>
    <n v="418500"/>
    <n v="345451"/>
    <n v="147633479750"/>
    <n v="132087115"/>
    <n v="56467241662500"/>
  </r>
  <r>
    <s v="SK스퀘어"/>
    <x v="53"/>
    <n v="402340"/>
    <s v="KR7402340004"/>
    <x v="6"/>
    <s v="KOSPI"/>
    <n v="430500"/>
    <n v="0"/>
    <n v="0"/>
    <n v="424000"/>
    <n v="433500"/>
    <n v="416000"/>
    <n v="422888"/>
    <n v="180211888500"/>
    <n v="132087115"/>
    <n v="56863503007500"/>
  </r>
  <r>
    <s v="SK스퀘어"/>
    <x v="54"/>
    <n v="402340"/>
    <s v="KR7402340004"/>
    <x v="6"/>
    <s v="KOSPI"/>
    <n v="430500"/>
    <n v="1000"/>
    <n v="0.23"/>
    <n v="425000"/>
    <n v="446000"/>
    <n v="420500"/>
    <n v="674047"/>
    <n v="291081302750"/>
    <n v="132087115"/>
    <n v="56863503007500"/>
  </r>
  <r>
    <s v="SK스퀘어"/>
    <x v="55"/>
    <n v="402340"/>
    <s v="KR7402340004"/>
    <x v="6"/>
    <s v="KOSPI"/>
    <n v="429500"/>
    <n v="-2500"/>
    <n v="-0.57999999999999996"/>
    <n v="434000"/>
    <n v="450500"/>
    <n v="420500"/>
    <n v="644927"/>
    <n v="277548689000"/>
    <n v="132087115"/>
    <n v="56731415892500"/>
  </r>
  <r>
    <s v="SK스퀘어"/>
    <x v="56"/>
    <n v="402340"/>
    <s v="KR7402340004"/>
    <x v="6"/>
    <s v="KOSPI"/>
    <n v="432000"/>
    <n v="16000"/>
    <n v="3.85"/>
    <n v="409500"/>
    <n v="434500"/>
    <n v="402500"/>
    <n v="724519"/>
    <n v="306692046798"/>
    <n v="132087115"/>
    <n v="57061633680000"/>
  </r>
  <r>
    <s v="SK스퀘어"/>
    <x v="57"/>
    <n v="402340"/>
    <s v="KR7402340004"/>
    <x v="6"/>
    <s v="KOSPI"/>
    <n v="416000"/>
    <n v="24000"/>
    <n v="6.12"/>
    <n v="407500"/>
    <n v="416000"/>
    <n v="398500"/>
    <n v="645953"/>
    <n v="263885163250"/>
    <n v="132087115"/>
    <n v="54948239840000"/>
  </r>
  <r>
    <s v="SK스퀘어"/>
    <x v="58"/>
    <n v="402340"/>
    <s v="KR7402340004"/>
    <x v="6"/>
    <s v="KOSPI"/>
    <n v="392000"/>
    <n v="24000"/>
    <n v="6.52"/>
    <n v="368500"/>
    <n v="392000"/>
    <n v="364500"/>
    <n v="423146"/>
    <n v="161568007250"/>
    <n v="132087115"/>
    <n v="51778149080000"/>
  </r>
  <r>
    <s v="두산에너빌리티"/>
    <x v="0"/>
    <n v="34020"/>
    <s v="KR7034020008"/>
    <x v="7"/>
    <s v="KOSPI"/>
    <n v="91800"/>
    <n v="-2400"/>
    <n v="-2.5499999999999998"/>
    <n v="94900"/>
    <n v="95900"/>
    <n v="91100"/>
    <n v="4215936"/>
    <n v="392882858950"/>
    <n v="640561146"/>
    <n v="58803513202800"/>
  </r>
  <r>
    <s v="두산에너빌리티"/>
    <x v="1"/>
    <n v="34020"/>
    <s v="KR7034020008"/>
    <x v="7"/>
    <s v="KOSPI"/>
    <n v="94200"/>
    <n v="-3900"/>
    <n v="-3.98"/>
    <n v="93000"/>
    <n v="94500"/>
    <n v="91400"/>
    <n v="2828606"/>
    <n v="263916279200"/>
    <n v="640561146"/>
    <n v="60340859953200"/>
  </r>
  <r>
    <s v="두산에너빌리티"/>
    <x v="2"/>
    <n v="34020"/>
    <s v="KR7034020008"/>
    <x v="7"/>
    <s v="KOSPI"/>
    <n v="98100"/>
    <n v="-2800"/>
    <n v="-2.78"/>
    <n v="97700"/>
    <n v="99200"/>
    <n v="95100"/>
    <n v="3549743"/>
    <n v="344355383700"/>
    <n v="640561146"/>
    <n v="62839048422600"/>
  </r>
  <r>
    <s v="두산에너빌리티"/>
    <x v="3"/>
    <n v="34020"/>
    <s v="KR7034020008"/>
    <x v="7"/>
    <s v="KOSPI"/>
    <n v="100900"/>
    <n v="-1700"/>
    <n v="-1.66"/>
    <n v="103000"/>
    <n v="104200"/>
    <n v="99600"/>
    <n v="2606678"/>
    <n v="264439232900"/>
    <n v="640561146"/>
    <n v="64632619631400"/>
  </r>
  <r>
    <s v="두산에너빌리티"/>
    <x v="4"/>
    <n v="34020"/>
    <s v="KR7034020008"/>
    <x v="7"/>
    <s v="KOSPI"/>
    <n v="102600"/>
    <n v="2500"/>
    <n v="2.5"/>
    <n v="102400"/>
    <n v="104800"/>
    <n v="101300"/>
    <n v="3200148"/>
    <n v="329479456250"/>
    <n v="640561146"/>
    <n v="65721573579600"/>
  </r>
  <r>
    <s v="두산에너빌리티"/>
    <x v="5"/>
    <n v="34020"/>
    <s v="KR7034020008"/>
    <x v="7"/>
    <s v="KOSPI"/>
    <n v="100100"/>
    <n v="-600"/>
    <n v="-0.6"/>
    <n v="105700"/>
    <n v="106800"/>
    <n v="97200"/>
    <n v="5096704"/>
    <n v="511780385450"/>
    <n v="640561146"/>
    <n v="64120170714600"/>
  </r>
  <r>
    <s v="두산에너빌리티"/>
    <x v="6"/>
    <n v="34020"/>
    <s v="KR7034020008"/>
    <x v="7"/>
    <s v="KOSPI"/>
    <n v="100700"/>
    <n v="-8900"/>
    <n v="-8.1199999999999992"/>
    <n v="107100"/>
    <n v="107200"/>
    <n v="100400"/>
    <n v="6026425"/>
    <n v="620153260750"/>
    <n v="640561146"/>
    <n v="64504507402200"/>
  </r>
  <r>
    <s v="두산에너빌리티"/>
    <x v="7"/>
    <n v="34020"/>
    <s v="KR7034020008"/>
    <x v="7"/>
    <s v="KOSPI"/>
    <n v="109600"/>
    <n v="3300"/>
    <n v="3.1"/>
    <n v="107500"/>
    <n v="112100"/>
    <n v="105600"/>
    <n v="8066734"/>
    <n v="883741173750"/>
    <n v="640561146"/>
    <n v="70205501601600"/>
  </r>
  <r>
    <s v="두산에너빌리티"/>
    <x v="8"/>
    <n v="34020"/>
    <s v="KR7034020008"/>
    <x v="7"/>
    <s v="KOSPI"/>
    <n v="106300"/>
    <n v="-1000"/>
    <n v="-0.93"/>
    <n v="105100"/>
    <n v="108500"/>
    <n v="105000"/>
    <n v="3330546"/>
    <n v="355790847500"/>
    <n v="640561146"/>
    <n v="68091649819800"/>
  </r>
  <r>
    <s v="두산에너빌리티"/>
    <x v="9"/>
    <n v="34020"/>
    <s v="KR7034020008"/>
    <x v="7"/>
    <s v="KOSPI"/>
    <n v="107300"/>
    <n v="2900"/>
    <n v="2.78"/>
    <n v="106800"/>
    <n v="108600"/>
    <n v="106500"/>
    <n v="4134308"/>
    <n v="444320594650"/>
    <n v="640561146"/>
    <n v="68732210965800"/>
  </r>
  <r>
    <s v="두산에너빌리티"/>
    <x v="10"/>
    <n v="34020"/>
    <s v="KR7034020008"/>
    <x v="7"/>
    <s v="KOSPI"/>
    <n v="104400"/>
    <n v="-1300"/>
    <n v="-1.23"/>
    <n v="107100"/>
    <n v="107200"/>
    <n v="104400"/>
    <n v="3105960"/>
    <n v="328097131850"/>
    <n v="640561146"/>
    <n v="66874583642400"/>
  </r>
  <r>
    <s v="두산에너빌리티"/>
    <x v="11"/>
    <n v="34020"/>
    <s v="KR7034020008"/>
    <x v="7"/>
    <s v="KOSPI"/>
    <n v="105700"/>
    <n v="-800"/>
    <n v="-0.75"/>
    <n v="108000"/>
    <n v="110700"/>
    <n v="105000"/>
    <n v="5817407"/>
    <n v="625366585850"/>
    <n v="640561146"/>
    <n v="67707313132200"/>
  </r>
  <r>
    <s v="두산에너빌리티"/>
    <x v="12"/>
    <n v="34020"/>
    <s v="KR7034020008"/>
    <x v="7"/>
    <s v="KOSPI"/>
    <n v="106500"/>
    <n v="3000"/>
    <n v="2.9"/>
    <n v="100700"/>
    <n v="108500"/>
    <n v="100700"/>
    <n v="9435079"/>
    <n v="998176857000"/>
    <n v="640561146"/>
    <n v="68219762049000"/>
  </r>
  <r>
    <s v="두산에너빌리티"/>
    <x v="13"/>
    <n v="34020"/>
    <s v="KR7034020008"/>
    <x v="7"/>
    <s v="KOSPI"/>
    <n v="103500"/>
    <n v="2500"/>
    <n v="2.48"/>
    <n v="101000"/>
    <n v="104600"/>
    <n v="101000"/>
    <n v="4875165"/>
    <n v="503147590750"/>
    <n v="640561146"/>
    <n v="66298078611000"/>
  </r>
  <r>
    <s v="두산에너빌리티"/>
    <x v="14"/>
    <n v="34020"/>
    <s v="KR7034020008"/>
    <x v="7"/>
    <s v="KOSPI"/>
    <n v="101000"/>
    <n v="-1500"/>
    <n v="-1.46"/>
    <n v="103800"/>
    <n v="104500"/>
    <n v="99200"/>
    <n v="6103321"/>
    <n v="623885885200"/>
    <n v="640561146"/>
    <n v="64696675746000"/>
  </r>
  <r>
    <s v="두산에너빌리티"/>
    <x v="15"/>
    <n v="34020"/>
    <s v="KR7034020008"/>
    <x v="7"/>
    <s v="KOSPI"/>
    <n v="102500"/>
    <n v="6300"/>
    <n v="6.55"/>
    <n v="100300"/>
    <n v="104900"/>
    <n v="99900"/>
    <n v="10814168"/>
    <n v="1110025892200"/>
    <n v="640561146"/>
    <n v="65657517465000"/>
  </r>
  <r>
    <s v="두산에너빌리티"/>
    <x v="16"/>
    <n v="34020"/>
    <s v="KR7034020008"/>
    <x v="7"/>
    <s v="KOSPI"/>
    <n v="96200"/>
    <n v="-1800"/>
    <n v="-1.84"/>
    <n v="98600"/>
    <n v="99700"/>
    <n v="91500"/>
    <n v="7957034"/>
    <n v="755264928950"/>
    <n v="640561146"/>
    <n v="61621982245200"/>
  </r>
  <r>
    <s v="두산에너빌리티"/>
    <x v="17"/>
    <n v="34020"/>
    <s v="KR7034020008"/>
    <x v="7"/>
    <s v="KOSPI"/>
    <n v="98000"/>
    <n v="7500"/>
    <n v="8.2899999999999991"/>
    <n v="88600"/>
    <n v="98200"/>
    <n v="88600"/>
    <n v="7901291"/>
    <n v="743406153950"/>
    <n v="640561146"/>
    <n v="62774992308000"/>
  </r>
  <r>
    <s v="두산에너빌리티"/>
    <x v="18"/>
    <n v="34020"/>
    <s v="KR7034020008"/>
    <x v="7"/>
    <s v="KOSPI"/>
    <n v="90500"/>
    <n v="9900"/>
    <n v="12.28"/>
    <n v="91000"/>
    <n v="93200"/>
    <n v="89100"/>
    <n v="6781072"/>
    <n v="618458039100"/>
    <n v="640561146"/>
    <n v="57970783713000"/>
  </r>
  <r>
    <s v="두산에너빌리티"/>
    <x v="19"/>
    <n v="34020"/>
    <s v="KR7034020008"/>
    <x v="7"/>
    <s v="KOSPI"/>
    <n v="80600"/>
    <n v="-16300"/>
    <n v="-16.82"/>
    <n v="91300"/>
    <n v="93300"/>
    <n v="79000"/>
    <n v="13364978"/>
    <n v="1143781825250"/>
    <n v="640561146"/>
    <n v="51629228367600"/>
  </r>
  <r>
    <s v="두산에너빌리티"/>
    <x v="20"/>
    <n v="34020"/>
    <s v="KR7034020008"/>
    <x v="7"/>
    <s v="KOSPI"/>
    <n v="96900"/>
    <n v="-9400"/>
    <n v="-8.84"/>
    <n v="104700"/>
    <n v="106200"/>
    <n v="96700"/>
    <n v="7514576"/>
    <n v="758293873350"/>
    <n v="640561146"/>
    <n v="62070375047400"/>
  </r>
  <r>
    <s v="두산에너빌리티"/>
    <x v="21"/>
    <n v="34020"/>
    <s v="KR7034020008"/>
    <x v="7"/>
    <s v="KOSPI"/>
    <n v="106300"/>
    <n v="2500"/>
    <n v="2.41"/>
    <n v="105500"/>
    <n v="110200"/>
    <n v="105500"/>
    <n v="8296804"/>
    <n v="893945398600"/>
    <n v="640561146"/>
    <n v="68091649819800"/>
  </r>
  <r>
    <s v="두산에너빌리티"/>
    <x v="22"/>
    <n v="34020"/>
    <s v="KR7034020008"/>
    <x v="7"/>
    <s v="KOSPI"/>
    <n v="103800"/>
    <n v="600"/>
    <n v="0.57999999999999996"/>
    <n v="104100"/>
    <n v="104500"/>
    <n v="102600"/>
    <n v="4153497"/>
    <n v="429498565800"/>
    <n v="640561146"/>
    <n v="66490246954800"/>
  </r>
  <r>
    <s v="두산에너빌리티"/>
    <x v="23"/>
    <n v="34020"/>
    <s v="KR7034020008"/>
    <x v="7"/>
    <s v="KOSPI"/>
    <n v="103200"/>
    <n v="1900"/>
    <n v="1.88"/>
    <n v="102300"/>
    <n v="104200"/>
    <n v="101400"/>
    <n v="4216954"/>
    <n v="435034108850"/>
    <n v="640561146"/>
    <n v="66105910267200"/>
  </r>
  <r>
    <s v="두산에너빌리티"/>
    <x v="24"/>
    <n v="34020"/>
    <s v="KR7034020008"/>
    <x v="7"/>
    <s v="KOSPI"/>
    <n v="101300"/>
    <n v="-700"/>
    <n v="-0.69"/>
    <n v="101800"/>
    <n v="102700"/>
    <n v="99100"/>
    <n v="3886617"/>
    <n v="391628704450"/>
    <n v="640561146"/>
    <n v="64888844089800"/>
  </r>
  <r>
    <s v="두산에너빌리티"/>
    <x v="25"/>
    <n v="34020"/>
    <s v="KR7034020008"/>
    <x v="7"/>
    <s v="KOSPI"/>
    <n v="102000"/>
    <n v="-1500"/>
    <n v="-1.45"/>
    <n v="105300"/>
    <n v="105300"/>
    <n v="101000"/>
    <n v="5545186"/>
    <n v="571893734400"/>
    <n v="640561146"/>
    <n v="65337236892000"/>
  </r>
  <r>
    <s v="두산에너빌리티"/>
    <x v="26"/>
    <n v="34020"/>
    <s v="KR7034020008"/>
    <x v="7"/>
    <s v="KOSPI"/>
    <n v="103500"/>
    <n v="5100"/>
    <n v="5.18"/>
    <n v="99200"/>
    <n v="106800"/>
    <n v="98400"/>
    <n v="12069557"/>
    <n v="1259575276050"/>
    <n v="640561146"/>
    <n v="66298078611000"/>
  </r>
  <r>
    <s v="두산에너빌리티"/>
    <x v="27"/>
    <n v="34020"/>
    <s v="KR7034020008"/>
    <x v="7"/>
    <s v="KOSPI"/>
    <n v="98400"/>
    <n v="1700"/>
    <n v="1.76"/>
    <n v="100500"/>
    <n v="100600"/>
    <n v="98300"/>
    <n v="5026177"/>
    <n v="498477432800"/>
    <n v="640561146"/>
    <n v="63031216766400"/>
  </r>
  <r>
    <s v="두산에너빌리티"/>
    <x v="28"/>
    <n v="34020"/>
    <s v="KR7034020008"/>
    <x v="7"/>
    <s v="KOSPI"/>
    <n v="96700"/>
    <n v="1200"/>
    <n v="1.26"/>
    <n v="94000"/>
    <n v="99900"/>
    <n v="93700"/>
    <n v="17459913"/>
    <n v="1704821868400"/>
    <n v="640561146"/>
    <n v="61942262818200"/>
  </r>
  <r>
    <s v="두산에너빌리티"/>
    <x v="29"/>
    <n v="34020"/>
    <s v="KR7034020008"/>
    <x v="7"/>
    <s v="KOSPI"/>
    <n v="95500"/>
    <n v="0"/>
    <n v="0"/>
    <n v="94700"/>
    <n v="95500"/>
    <n v="92300"/>
    <n v="6335775"/>
    <n v="592943009050"/>
    <n v="640561146"/>
    <n v="61173589443000"/>
  </r>
  <r>
    <s v="두산에너빌리티"/>
    <x v="30"/>
    <n v="34020"/>
    <s v="KR7034020008"/>
    <x v="7"/>
    <s v="KOSPI"/>
    <n v="95500"/>
    <n v="1400"/>
    <n v="1.49"/>
    <n v="95400"/>
    <n v="96500"/>
    <n v="94000"/>
    <n v="5915111"/>
    <n v="565224532950"/>
    <n v="640561146"/>
    <n v="61173589443000"/>
  </r>
  <r>
    <s v="두산에너빌리티"/>
    <x v="31"/>
    <n v="34020"/>
    <s v="KR7034020008"/>
    <x v="7"/>
    <s v="KOSPI"/>
    <n v="94100"/>
    <n v="-1300"/>
    <n v="-1.36"/>
    <n v="95100"/>
    <n v="95400"/>
    <n v="93300"/>
    <n v="3956141"/>
    <n v="373092019800"/>
    <n v="640561146"/>
    <n v="60276803838600"/>
  </r>
  <r>
    <s v="두산에너빌리티"/>
    <x v="32"/>
    <n v="34020"/>
    <s v="KR7034020008"/>
    <x v="7"/>
    <s v="KOSPI"/>
    <n v="95400"/>
    <n v="6400"/>
    <n v="7.19"/>
    <n v="93100"/>
    <n v="96900"/>
    <n v="91800"/>
    <n v="9843507"/>
    <n v="940449605200"/>
    <n v="640561146"/>
    <n v="61109533328400"/>
  </r>
  <r>
    <s v="두산에너빌리티"/>
    <x v="33"/>
    <n v="34020"/>
    <s v="KR7034020008"/>
    <x v="7"/>
    <s v="KOSPI"/>
    <n v="89000"/>
    <n v="-1600"/>
    <n v="-1.77"/>
    <n v="88300"/>
    <n v="89500"/>
    <n v="85200"/>
    <n v="5838705"/>
    <n v="511209173550"/>
    <n v="640561146"/>
    <n v="57009941994000"/>
  </r>
  <r>
    <s v="두산에너빌리티"/>
    <x v="34"/>
    <n v="34020"/>
    <s v="KR7034020008"/>
    <x v="7"/>
    <s v="KOSPI"/>
    <n v="90600"/>
    <n v="-5900"/>
    <n v="-6.11"/>
    <n v="94000"/>
    <n v="96100"/>
    <n v="90300"/>
    <n v="7594510"/>
    <n v="701737881000"/>
    <n v="640561146"/>
    <n v="58034839827600"/>
  </r>
  <r>
    <s v="두산에너빌리티"/>
    <x v="35"/>
    <n v="34020"/>
    <s v="KR7034020008"/>
    <x v="7"/>
    <s v="KOSPI"/>
    <n v="96500"/>
    <n v="5300"/>
    <n v="5.81"/>
    <n v="94400"/>
    <n v="96700"/>
    <n v="92100"/>
    <n v="12423583"/>
    <n v="1184482718000"/>
    <n v="640561146"/>
    <n v="61814150589000"/>
  </r>
  <r>
    <s v="두산에너빌리티"/>
    <x v="36"/>
    <n v="34020"/>
    <s v="KR7034020008"/>
    <x v="7"/>
    <s v="KOSPI"/>
    <n v="91200"/>
    <n v="5000"/>
    <n v="5.8"/>
    <n v="88300"/>
    <n v="91200"/>
    <n v="87300"/>
    <n v="4647177"/>
    <n v="417808549700"/>
    <n v="640561146"/>
    <n v="58419176515200"/>
  </r>
  <r>
    <s v="두산에너빌리티"/>
    <x v="37"/>
    <n v="34020"/>
    <s v="KR7034020008"/>
    <x v="7"/>
    <s v="KOSPI"/>
    <n v="86200"/>
    <n v="-4400"/>
    <n v="-4.8600000000000003"/>
    <n v="87800"/>
    <n v="91400"/>
    <n v="85400"/>
    <n v="6823888"/>
    <n v="600494247250"/>
    <n v="640561146"/>
    <n v="55216370785200"/>
  </r>
  <r>
    <s v="두산에너빌리티"/>
    <x v="38"/>
    <n v="34020"/>
    <s v="KR7034020008"/>
    <x v="7"/>
    <s v="KOSPI"/>
    <n v="90600"/>
    <n v="-3400"/>
    <n v="-3.62"/>
    <n v="93000"/>
    <n v="94000"/>
    <n v="90400"/>
    <n v="6970845"/>
    <n v="637924660400"/>
    <n v="640561146"/>
    <n v="58034839827600"/>
  </r>
  <r>
    <s v="두산에너빌리티"/>
    <x v="39"/>
    <n v="34020"/>
    <s v="KR7034020008"/>
    <x v="7"/>
    <s v="KOSPI"/>
    <n v="94000"/>
    <n v="2000"/>
    <n v="2.17"/>
    <n v="92400"/>
    <n v="95600"/>
    <n v="92400"/>
    <n v="10185321"/>
    <n v="959615709700"/>
    <n v="640561146"/>
    <n v="60212747724000"/>
  </r>
  <r>
    <s v="두산에너빌리티"/>
    <x v="40"/>
    <n v="34020"/>
    <s v="KR7034020008"/>
    <x v="7"/>
    <s v="KOSPI"/>
    <n v="92000"/>
    <n v="-1600"/>
    <n v="-1.71"/>
    <n v="94100"/>
    <n v="94200"/>
    <n v="91200"/>
    <n v="6937694"/>
    <n v="640227721300"/>
    <n v="640561146"/>
    <n v="58931625432000"/>
  </r>
  <r>
    <s v="두산에너빌리티"/>
    <x v="41"/>
    <n v="34020"/>
    <s v="KR7034020008"/>
    <x v="7"/>
    <s v="KOSPI"/>
    <n v="93600"/>
    <n v="1800"/>
    <n v="1.96"/>
    <n v="96000"/>
    <n v="96200"/>
    <n v="92700"/>
    <n v="6846342"/>
    <n v="643416039800"/>
    <n v="640561146"/>
    <n v="59956523265600"/>
  </r>
  <r>
    <s v="두산에너빌리티"/>
    <x v="42"/>
    <n v="34020"/>
    <s v="KR7034020008"/>
    <x v="7"/>
    <s v="KOSPI"/>
    <n v="91800"/>
    <n v="-1500"/>
    <n v="-1.61"/>
    <n v="94600"/>
    <n v="94600"/>
    <n v="91100"/>
    <n v="5800785"/>
    <n v="535438155400"/>
    <n v="640561146"/>
    <n v="58803513202800"/>
  </r>
  <r>
    <s v="두산에너빌리티"/>
    <x v="43"/>
    <n v="34020"/>
    <s v="KR7034020008"/>
    <x v="7"/>
    <s v="KOSPI"/>
    <n v="93300"/>
    <n v="3300"/>
    <n v="3.67"/>
    <n v="90800"/>
    <n v="94900"/>
    <n v="90000"/>
    <n v="8194841"/>
    <n v="762095734600"/>
    <n v="640561146"/>
    <n v="59764354921800"/>
  </r>
  <r>
    <s v="두산에너빌리티"/>
    <x v="44"/>
    <n v="34020"/>
    <s v="KR7034020008"/>
    <x v="7"/>
    <s v="KOSPI"/>
    <n v="90000"/>
    <n v="-1300"/>
    <n v="-1.42"/>
    <n v="94100"/>
    <n v="95700"/>
    <n v="89500"/>
    <n v="8033403"/>
    <n v="741607507700"/>
    <n v="640561146"/>
    <n v="57650503140000"/>
  </r>
  <r>
    <s v="두산에너빌리티"/>
    <x v="45"/>
    <n v="34020"/>
    <s v="KR7034020008"/>
    <x v="7"/>
    <s v="KOSPI"/>
    <n v="91300"/>
    <n v="-4000"/>
    <n v="-4.2"/>
    <n v="91500"/>
    <n v="92900"/>
    <n v="90200"/>
    <n v="7923831"/>
    <n v="726482928450"/>
    <n v="640561146"/>
    <n v="58483232629800"/>
  </r>
  <r>
    <s v="두산에너빌리티"/>
    <x v="46"/>
    <n v="34020"/>
    <s v="KR7034020008"/>
    <x v="7"/>
    <s v="KOSPI"/>
    <n v="95300"/>
    <n v="-100"/>
    <n v="-0.1"/>
    <n v="96100"/>
    <n v="98100"/>
    <n v="92500"/>
    <n v="10795773"/>
    <n v="1028604526750"/>
    <n v="640561146"/>
    <n v="61045477213800"/>
  </r>
  <r>
    <s v="두산에너빌리티"/>
    <x v="47"/>
    <n v="34020"/>
    <s v="KR7034020008"/>
    <x v="7"/>
    <s v="KOSPI"/>
    <n v="95400"/>
    <n v="100"/>
    <n v="0.1"/>
    <n v="97000"/>
    <n v="97000"/>
    <n v="93700"/>
    <n v="8509605"/>
    <n v="808269285350"/>
    <n v="640561146"/>
    <n v="61109533328400"/>
  </r>
  <r>
    <s v="두산에너빌리티"/>
    <x v="48"/>
    <n v="34020"/>
    <s v="KR7034020008"/>
    <x v="7"/>
    <s v="KOSPI"/>
    <n v="95300"/>
    <n v="5800"/>
    <n v="6.48"/>
    <n v="90100"/>
    <n v="96400"/>
    <n v="89900"/>
    <n v="17969737"/>
    <n v="1686992122000"/>
    <n v="640561146"/>
    <n v="61045477213800"/>
  </r>
  <r>
    <s v="두산에너빌리티"/>
    <x v="49"/>
    <n v="34020"/>
    <s v="KR7034020008"/>
    <x v="7"/>
    <s v="KOSPI"/>
    <n v="89500"/>
    <n v="-100"/>
    <n v="-0.11"/>
    <n v="90000"/>
    <n v="90100"/>
    <n v="88400"/>
    <n v="4591674"/>
    <n v="408709334700"/>
    <n v="640561146"/>
    <n v="57330222567000"/>
  </r>
  <r>
    <s v="두산에너빌리티"/>
    <x v="50"/>
    <n v="34020"/>
    <s v="KR7034020008"/>
    <x v="7"/>
    <s v="KOSPI"/>
    <n v="89600"/>
    <n v="2600"/>
    <n v="2.99"/>
    <n v="88000"/>
    <n v="90800"/>
    <n v="86500"/>
    <n v="11558755"/>
    <n v="1032297178050"/>
    <n v="640561146"/>
    <n v="57394278681600"/>
  </r>
  <r>
    <s v="두산에너빌리티"/>
    <x v="51"/>
    <n v="34020"/>
    <s v="KR7034020008"/>
    <x v="7"/>
    <s v="KOSPI"/>
    <n v="87000"/>
    <n v="-1100"/>
    <n v="-1.25"/>
    <n v="88000"/>
    <n v="88100"/>
    <n v="85500"/>
    <n v="5385770"/>
    <n v="465219248000"/>
    <n v="640561146"/>
    <n v="55728819702000"/>
  </r>
  <r>
    <s v="두산에너빌리티"/>
    <x v="52"/>
    <n v="34020"/>
    <s v="KR7034020008"/>
    <x v="7"/>
    <s v="KOSPI"/>
    <n v="88100"/>
    <n v="3900"/>
    <n v="4.63"/>
    <n v="87700"/>
    <n v="90400"/>
    <n v="86200"/>
    <n v="11400912"/>
    <n v="1004849502200"/>
    <n v="640561146"/>
    <n v="56433436962600"/>
  </r>
  <r>
    <s v="두산에너빌리티"/>
    <x v="53"/>
    <n v="34020"/>
    <s v="KR7034020008"/>
    <x v="7"/>
    <s v="KOSPI"/>
    <n v="84200"/>
    <n v="500"/>
    <n v="0.6"/>
    <n v="84900"/>
    <n v="87300"/>
    <n v="83300"/>
    <n v="5124556"/>
    <n v="433926387050"/>
    <n v="640561146"/>
    <n v="53935248493200"/>
  </r>
  <r>
    <s v="두산에너빌리티"/>
    <x v="54"/>
    <n v="34020"/>
    <s v="KR7034020008"/>
    <x v="7"/>
    <s v="KOSPI"/>
    <n v="83700"/>
    <n v="-300"/>
    <n v="-0.36"/>
    <n v="85000"/>
    <n v="86000"/>
    <n v="83300"/>
    <n v="4745395"/>
    <n v="400329211000"/>
    <n v="640561146"/>
    <n v="53614967920200"/>
  </r>
  <r>
    <s v="두산에너빌리티"/>
    <x v="55"/>
    <n v="34020"/>
    <s v="KR7034020008"/>
    <x v="7"/>
    <s v="KOSPI"/>
    <n v="84000"/>
    <n v="-1900"/>
    <n v="-2.21"/>
    <n v="85000"/>
    <n v="86900"/>
    <n v="83200"/>
    <n v="6931439"/>
    <n v="588587401300"/>
    <n v="640561146"/>
    <n v="53807136264000"/>
  </r>
  <r>
    <s v="두산에너빌리티"/>
    <x v="56"/>
    <n v="34020"/>
    <s v="KR7034020008"/>
    <x v="7"/>
    <s v="KOSPI"/>
    <n v="85900"/>
    <n v="2700"/>
    <n v="3.25"/>
    <n v="86000"/>
    <n v="86100"/>
    <n v="81900"/>
    <n v="9538963"/>
    <n v="803388198250"/>
    <n v="640561146"/>
    <n v="55024202441400"/>
  </r>
  <r>
    <s v="두산에너빌리티"/>
    <x v="57"/>
    <n v="34020"/>
    <s v="KR7034020008"/>
    <x v="7"/>
    <s v="KOSPI"/>
    <n v="83200"/>
    <n v="8000"/>
    <n v="10.64"/>
    <n v="76600"/>
    <n v="83300"/>
    <n v="76500"/>
    <n v="15125707"/>
    <n v="1235873288900"/>
    <n v="640561146"/>
    <n v="53294687347200"/>
  </r>
  <r>
    <s v="두산에너빌리티"/>
    <x v="58"/>
    <n v="34020"/>
    <s v="KR7034020008"/>
    <x v="7"/>
    <s v="KOSPI"/>
    <n v="75200"/>
    <n v="-100"/>
    <n v="-0.13"/>
    <n v="75800"/>
    <n v="76200"/>
    <n v="74600"/>
    <n v="2800553"/>
    <n v="211227939650"/>
    <n v="640561146"/>
    <n v="48170198179200"/>
  </r>
  <r>
    <s v="기아"/>
    <x v="0"/>
    <n v="270"/>
    <s v="KR7000270009"/>
    <x v="8"/>
    <s v="KOSPI"/>
    <n v="145200"/>
    <n v="-6300"/>
    <n v="-4.16"/>
    <n v="145100"/>
    <n v="151800"/>
    <n v="143800"/>
    <n v="1442003"/>
    <n v="210581945800"/>
    <n v="390412998"/>
    <n v="56687967309600"/>
  </r>
  <r>
    <s v="기아"/>
    <x v="1"/>
    <n v="270"/>
    <s v="KR7000270009"/>
    <x v="8"/>
    <s v="KOSPI"/>
    <n v="151500"/>
    <n v="-4300"/>
    <n v="-2.76"/>
    <n v="147400"/>
    <n v="151900"/>
    <n v="145400"/>
    <n v="976319"/>
    <n v="146140226850"/>
    <n v="390412998"/>
    <n v="59147569197000"/>
  </r>
  <r>
    <s v="기아"/>
    <x v="2"/>
    <n v="270"/>
    <s v="KR7000270009"/>
    <x v="8"/>
    <s v="KOSPI"/>
    <n v="155800"/>
    <n v="1100"/>
    <n v="0.71"/>
    <n v="150800"/>
    <n v="156300"/>
    <n v="149400"/>
    <n v="832198"/>
    <n v="127589700150"/>
    <n v="390412998"/>
    <n v="60826345088400"/>
  </r>
  <r>
    <s v="기아"/>
    <x v="3"/>
    <n v="270"/>
    <s v="KR7000270009"/>
    <x v="8"/>
    <s v="KOSPI"/>
    <n v="154700"/>
    <n v="-3200"/>
    <n v="-2.0299999999999998"/>
    <n v="156500"/>
    <n v="158000"/>
    <n v="154300"/>
    <n v="836063"/>
    <n v="129985821850"/>
    <n v="390412998"/>
    <n v="60396890790600"/>
  </r>
  <r>
    <s v="기아"/>
    <x v="4"/>
    <n v="270"/>
    <s v="KR7000270009"/>
    <x v="8"/>
    <s v="KOSPI"/>
    <n v="157900"/>
    <n v="0"/>
    <n v="0"/>
    <n v="160600"/>
    <n v="163300"/>
    <n v="157900"/>
    <n v="1032979"/>
    <n v="165269827300"/>
    <n v="390412998"/>
    <n v="61646212384200"/>
  </r>
  <r>
    <s v="기아"/>
    <x v="5"/>
    <n v="270"/>
    <s v="KR7000270009"/>
    <x v="8"/>
    <s v="KOSPI"/>
    <n v="157900"/>
    <n v="-3800"/>
    <n v="-2.35"/>
    <n v="164000"/>
    <n v="164200"/>
    <n v="154500"/>
    <n v="1544213"/>
    <n v="243716151240"/>
    <n v="390412998"/>
    <n v="61646212384200"/>
  </r>
  <r>
    <s v="기아"/>
    <x v="6"/>
    <n v="270"/>
    <s v="KR7000270009"/>
    <x v="8"/>
    <s v="KOSPI"/>
    <n v="161700"/>
    <n v="-6800"/>
    <n v="-4.04"/>
    <n v="162100"/>
    <n v="163900"/>
    <n v="159200"/>
    <n v="1347768"/>
    <n v="217498652950"/>
    <n v="390412998"/>
    <n v="63129781776600"/>
  </r>
  <r>
    <s v="기아"/>
    <x v="7"/>
    <n v="270"/>
    <s v="KR7000270009"/>
    <x v="8"/>
    <s v="KOSPI"/>
    <n v="168500"/>
    <n v="-2000"/>
    <n v="-1.17"/>
    <n v="172100"/>
    <n v="172500"/>
    <n v="168500"/>
    <n v="2000787"/>
    <n v="338765942000"/>
    <n v="390412998"/>
    <n v="65784590163000"/>
  </r>
  <r>
    <s v="기아"/>
    <x v="8"/>
    <n v="270"/>
    <s v="KR7000270009"/>
    <x v="8"/>
    <s v="KOSPI"/>
    <n v="170500"/>
    <n v="-4600"/>
    <n v="-2.63"/>
    <n v="171000"/>
    <n v="173900"/>
    <n v="170200"/>
    <n v="904634"/>
    <n v="155193662000"/>
    <n v="390412998"/>
    <n v="66565416159000"/>
  </r>
  <r>
    <s v="기아"/>
    <x v="9"/>
    <n v="270"/>
    <s v="KR7000270009"/>
    <x v="8"/>
    <s v="KOSPI"/>
    <n v="175100"/>
    <n v="7800"/>
    <n v="4.66"/>
    <n v="171100"/>
    <n v="176300"/>
    <n v="170600"/>
    <n v="1186749"/>
    <n v="206415739250"/>
    <n v="390412998"/>
    <n v="68361315949800"/>
  </r>
  <r>
    <s v="기아"/>
    <x v="10"/>
    <n v="270"/>
    <s v="KR7000270009"/>
    <x v="8"/>
    <s v="KOSPI"/>
    <n v="167300"/>
    <n v="5300"/>
    <n v="3.27"/>
    <n v="167000"/>
    <n v="170900"/>
    <n v="167000"/>
    <n v="1068349"/>
    <n v="179957298500"/>
    <n v="390412998"/>
    <n v="65316094565400"/>
  </r>
  <r>
    <s v="기아"/>
    <x v="11"/>
    <n v="270"/>
    <s v="KR7000270009"/>
    <x v="8"/>
    <s v="KOSPI"/>
    <n v="162000"/>
    <n v="-2300"/>
    <n v="-1.4"/>
    <n v="162800"/>
    <n v="165200"/>
    <n v="161800"/>
    <n v="1055451"/>
    <n v="172014463050"/>
    <n v="390412998"/>
    <n v="63246905676000"/>
  </r>
  <r>
    <s v="기아"/>
    <x v="12"/>
    <n v="270"/>
    <s v="KR7000270009"/>
    <x v="8"/>
    <s v="KOSPI"/>
    <n v="164300"/>
    <n v="-2700"/>
    <n v="-1.62"/>
    <n v="161400"/>
    <n v="166200"/>
    <n v="158700"/>
    <n v="1614149"/>
    <n v="263932255600"/>
    <n v="390412998"/>
    <n v="64144855571400"/>
  </r>
  <r>
    <s v="기아"/>
    <x v="13"/>
    <n v="270"/>
    <s v="KR7000270009"/>
    <x v="8"/>
    <s v="KOSPI"/>
    <n v="167000"/>
    <n v="5000"/>
    <n v="3.09"/>
    <n v="161500"/>
    <n v="167000"/>
    <n v="161300"/>
    <n v="1348612"/>
    <n v="223217194150"/>
    <n v="390412998"/>
    <n v="65198970666000"/>
  </r>
  <r>
    <s v="기아"/>
    <x v="14"/>
    <n v="270"/>
    <s v="KR7000270009"/>
    <x v="8"/>
    <s v="KOSPI"/>
    <n v="162000"/>
    <n v="1000"/>
    <n v="0.62"/>
    <n v="169000"/>
    <n v="170400"/>
    <n v="160500"/>
    <n v="1171357"/>
    <n v="194686714404"/>
    <n v="390412998"/>
    <n v="63246905676000"/>
  </r>
  <r>
    <s v="기아"/>
    <x v="15"/>
    <n v="270"/>
    <s v="KR7000270009"/>
    <x v="8"/>
    <s v="KOSPI"/>
    <n v="161000"/>
    <n v="7600"/>
    <n v="4.95"/>
    <n v="160200"/>
    <n v="163000"/>
    <n v="157000"/>
    <n v="1765368"/>
    <n v="282690077350"/>
    <n v="390412998"/>
    <n v="62856492678000"/>
  </r>
  <r>
    <s v="기아"/>
    <x v="16"/>
    <n v="270"/>
    <s v="KR7000270009"/>
    <x v="8"/>
    <s v="KOSPI"/>
    <n v="153400"/>
    <n v="-13600"/>
    <n v="-8.14"/>
    <n v="152100"/>
    <n v="155000"/>
    <n v="150100"/>
    <n v="1846031"/>
    <n v="281529388800"/>
    <n v="390412998"/>
    <n v="59889353893200"/>
  </r>
  <r>
    <s v="기아"/>
    <x v="17"/>
    <n v="270"/>
    <s v="KR7000270009"/>
    <x v="8"/>
    <s v="KOSPI"/>
    <n v="167000"/>
    <n v="600"/>
    <n v="0.36"/>
    <n v="161100"/>
    <n v="169600"/>
    <n v="161000"/>
    <n v="1667956"/>
    <n v="276839370000"/>
    <n v="390412998"/>
    <n v="65198970666000"/>
  </r>
  <r>
    <s v="기아"/>
    <x v="18"/>
    <n v="270"/>
    <s v="KR7000270009"/>
    <x v="8"/>
    <s v="KOSPI"/>
    <n v="166400"/>
    <n v="9700"/>
    <n v="6.19"/>
    <n v="171600"/>
    <n v="172600"/>
    <n v="163400"/>
    <n v="2697408"/>
    <n v="453920189350"/>
    <n v="390412998"/>
    <n v="64964722867200"/>
  </r>
  <r>
    <s v="기아"/>
    <x v="19"/>
    <n v="270"/>
    <s v="KR7000270009"/>
    <x v="8"/>
    <s v="KOSPI"/>
    <n v="156700"/>
    <n v="-25600"/>
    <n v="-14.04"/>
    <n v="167600"/>
    <n v="176900"/>
    <n v="155000"/>
    <n v="2941762"/>
    <n v="481783054100"/>
    <n v="390412998"/>
    <n v="61177716786600"/>
  </r>
  <r>
    <s v="기아"/>
    <x v="20"/>
    <n v="270"/>
    <s v="KR7000270009"/>
    <x v="8"/>
    <s v="KOSPI"/>
    <n v="182300"/>
    <n v="-23200"/>
    <n v="-11.29"/>
    <n v="185000"/>
    <n v="195700"/>
    <n v="180000"/>
    <n v="3431157"/>
    <n v="647097752685"/>
    <n v="390412998"/>
    <n v="71172289535400"/>
  </r>
  <r>
    <s v="기아"/>
    <x v="21"/>
    <n v="270"/>
    <s v="KR7000270009"/>
    <x v="8"/>
    <s v="KOSPI"/>
    <n v="205500"/>
    <n v="-500"/>
    <n v="-0.24"/>
    <n v="199600"/>
    <n v="212500"/>
    <n v="197100"/>
    <n v="2945241"/>
    <n v="601959886300"/>
    <n v="390412998"/>
    <n v="80229871089000"/>
  </r>
  <r>
    <s v="기아"/>
    <x v="22"/>
    <n v="270"/>
    <s v="KR7000270009"/>
    <x v="8"/>
    <s v="KOSPI"/>
    <n v="206000"/>
    <n v="9900"/>
    <n v="5.05"/>
    <n v="197400"/>
    <n v="208000"/>
    <n v="194100"/>
    <n v="1991104"/>
    <n v="401088765850"/>
    <n v="390412998"/>
    <n v="80425077588000"/>
  </r>
  <r>
    <s v="기아"/>
    <x v="23"/>
    <n v="270"/>
    <s v="KR7000270009"/>
    <x v="8"/>
    <s v="KOSPI"/>
    <n v="196100"/>
    <n v="22100"/>
    <n v="12.7"/>
    <n v="175700"/>
    <n v="199900"/>
    <n v="175500"/>
    <n v="3876333"/>
    <n v="754631374600"/>
    <n v="390412998"/>
    <n v="76559988907800"/>
  </r>
  <r>
    <s v="기아"/>
    <x v="24"/>
    <n v="270"/>
    <s v="KR7000270009"/>
    <x v="8"/>
    <s v="KOSPI"/>
    <n v="174000"/>
    <n v="1300"/>
    <n v="0.75"/>
    <n v="171200"/>
    <n v="174500"/>
    <n v="169300"/>
    <n v="1213901"/>
    <n v="209850549000"/>
    <n v="390412998"/>
    <n v="67931861652000"/>
  </r>
  <r>
    <s v="기아"/>
    <x v="25"/>
    <n v="270"/>
    <s v="KR7000270009"/>
    <x v="8"/>
    <s v="KOSPI"/>
    <n v="172700"/>
    <n v="900"/>
    <n v="0.52"/>
    <n v="174900"/>
    <n v="176800"/>
    <n v="171500"/>
    <n v="1158150"/>
    <n v="200885193700"/>
    <n v="390412998"/>
    <n v="67424324754600"/>
  </r>
  <r>
    <s v="기아"/>
    <x v="26"/>
    <n v="270"/>
    <s v="KR7000270009"/>
    <x v="8"/>
    <s v="KOSPI"/>
    <n v="171800"/>
    <n v="1800"/>
    <n v="1.06"/>
    <n v="170100"/>
    <n v="172700"/>
    <n v="168700"/>
    <n v="1074310"/>
    <n v="183388401200"/>
    <n v="390412998"/>
    <n v="67072953056400"/>
  </r>
  <r>
    <s v="기아"/>
    <x v="27"/>
    <n v="270"/>
    <s v="KR7000270009"/>
    <x v="8"/>
    <s v="KOSPI"/>
    <n v="170000"/>
    <n v="5900"/>
    <n v="3.6"/>
    <n v="169000"/>
    <n v="171500"/>
    <n v="164000"/>
    <n v="1357727"/>
    <n v="229528491150"/>
    <n v="390412998"/>
    <n v="66370209660000"/>
  </r>
  <r>
    <s v="기아"/>
    <x v="28"/>
    <n v="270"/>
    <s v="KR7000270009"/>
    <x v="8"/>
    <s v="KOSPI"/>
    <n v="164100"/>
    <n v="-2200"/>
    <n v="-1.32"/>
    <n v="164900"/>
    <n v="166000"/>
    <n v="163200"/>
    <n v="972962"/>
    <n v="160186825900"/>
    <n v="390412998"/>
    <n v="64066772971800"/>
  </r>
  <r>
    <s v="기아"/>
    <x v="29"/>
    <n v="270"/>
    <s v="KR7000270009"/>
    <x v="8"/>
    <s v="KOSPI"/>
    <n v="166300"/>
    <n v="4500"/>
    <n v="2.78"/>
    <n v="163200"/>
    <n v="166300"/>
    <n v="160700"/>
    <n v="1804086"/>
    <n v="296424676200"/>
    <n v="390412998"/>
    <n v="64925681567400"/>
  </r>
  <r>
    <s v="기아"/>
    <x v="30"/>
    <n v="270"/>
    <s v="KR7000270009"/>
    <x v="8"/>
    <s v="KOSPI"/>
    <n v="161800"/>
    <n v="7100"/>
    <n v="4.59"/>
    <n v="156400"/>
    <n v="162000"/>
    <n v="154700"/>
    <n v="1622428"/>
    <n v="259283677350"/>
    <n v="390412998"/>
    <n v="63168823076400"/>
  </r>
  <r>
    <s v="기아"/>
    <x v="31"/>
    <n v="270"/>
    <s v="KR7000270009"/>
    <x v="8"/>
    <s v="KOSPI"/>
    <n v="154700"/>
    <n v="900"/>
    <n v="0.59"/>
    <n v="155800"/>
    <n v="158600"/>
    <n v="154600"/>
    <n v="1011933"/>
    <n v="157624528767"/>
    <n v="390412998"/>
    <n v="60396890790600"/>
  </r>
  <r>
    <s v="기아"/>
    <x v="32"/>
    <n v="270"/>
    <s v="KR7000270009"/>
    <x v="8"/>
    <s v="KOSPI"/>
    <n v="153800"/>
    <n v="1900"/>
    <n v="1.25"/>
    <n v="153700"/>
    <n v="155000"/>
    <n v="152200"/>
    <n v="1370996"/>
    <n v="210300926778"/>
    <n v="390412998"/>
    <n v="60045519092400"/>
  </r>
  <r>
    <s v="기아"/>
    <x v="33"/>
    <n v="270"/>
    <s v="KR7000270009"/>
    <x v="8"/>
    <s v="KOSPI"/>
    <n v="151900"/>
    <n v="-4300"/>
    <n v="-2.75"/>
    <n v="154600"/>
    <n v="154900"/>
    <n v="149000"/>
    <n v="1269545"/>
    <n v="192692436900"/>
    <n v="390412998"/>
    <n v="59303734396200"/>
  </r>
  <r>
    <s v="기아"/>
    <x v="34"/>
    <n v="270"/>
    <s v="KR7000270009"/>
    <x v="8"/>
    <s v="KOSPI"/>
    <n v="156200"/>
    <n v="-600"/>
    <n v="-0.38"/>
    <n v="156700"/>
    <n v="161250"/>
    <n v="154800"/>
    <n v="1589252"/>
    <n v="250156417300"/>
    <n v="390412998"/>
    <n v="60982510287600"/>
  </r>
  <r>
    <s v="기아"/>
    <x v="35"/>
    <n v="270"/>
    <s v="KR7000270009"/>
    <x v="8"/>
    <s v="KOSPI"/>
    <n v="156800"/>
    <n v="2800"/>
    <n v="1.82"/>
    <n v="155100"/>
    <n v="158000"/>
    <n v="154000"/>
    <n v="1387022"/>
    <n v="216562846700"/>
    <n v="390412998"/>
    <n v="61216758086400"/>
  </r>
  <r>
    <s v="기아"/>
    <x v="36"/>
    <n v="270"/>
    <s v="KR7000270009"/>
    <x v="8"/>
    <s v="KOSPI"/>
    <n v="154000"/>
    <n v="3900"/>
    <n v="2.6"/>
    <n v="150100"/>
    <n v="154000"/>
    <n v="148800"/>
    <n v="1341474"/>
    <n v="203707017050"/>
    <n v="390412998"/>
    <n v="60123601692000"/>
  </r>
  <r>
    <s v="기아"/>
    <x v="37"/>
    <n v="270"/>
    <s v="KR7000270009"/>
    <x v="8"/>
    <s v="KOSPI"/>
    <n v="150100"/>
    <n v="-2500"/>
    <n v="-1.64"/>
    <n v="151600"/>
    <n v="156800"/>
    <n v="148200"/>
    <n v="1396470"/>
    <n v="211915964000"/>
    <n v="390412998"/>
    <n v="58600990999800"/>
  </r>
  <r>
    <s v="기아"/>
    <x v="38"/>
    <n v="270"/>
    <s v="KR7000270009"/>
    <x v="8"/>
    <s v="KOSPI"/>
    <n v="152600"/>
    <n v="-2300"/>
    <n v="-1.48"/>
    <n v="153400"/>
    <n v="156000"/>
    <n v="151300"/>
    <n v="1571584"/>
    <n v="241856438450"/>
    <n v="390412998"/>
    <n v="59577023494800"/>
  </r>
  <r>
    <s v="기아"/>
    <x v="39"/>
    <n v="270"/>
    <s v="KR7000270009"/>
    <x v="8"/>
    <s v="KOSPI"/>
    <n v="154900"/>
    <n v="5200"/>
    <n v="3.47"/>
    <n v="154000"/>
    <n v="156500"/>
    <n v="149700"/>
    <n v="2518535"/>
    <n v="385695433597"/>
    <n v="390412998"/>
    <n v="60474973390200"/>
  </r>
  <r>
    <s v="기아"/>
    <x v="40"/>
    <n v="270"/>
    <s v="KR7000270009"/>
    <x v="8"/>
    <s v="KOSPI"/>
    <n v="149700"/>
    <n v="-3800"/>
    <n v="-2.48"/>
    <n v="155100"/>
    <n v="156000"/>
    <n v="149100"/>
    <n v="1756119"/>
    <n v="266677932200"/>
    <n v="390412998"/>
    <n v="58444825800600"/>
  </r>
  <r>
    <s v="기아"/>
    <x v="41"/>
    <n v="270"/>
    <s v="KR7000270009"/>
    <x v="8"/>
    <s v="KOSPI"/>
    <n v="153500"/>
    <n v="-1700"/>
    <n v="-1.1000000000000001"/>
    <n v="149300"/>
    <n v="153800"/>
    <n v="145900"/>
    <n v="1856834"/>
    <n v="280186091700"/>
    <n v="390412998"/>
    <n v="59928395193000"/>
  </r>
  <r>
    <s v="기아"/>
    <x v="42"/>
    <n v="270"/>
    <s v="KR7000270009"/>
    <x v="8"/>
    <s v="KOSPI"/>
    <n v="155200"/>
    <n v="-3800"/>
    <n v="-2.39"/>
    <n v="156800"/>
    <n v="158600"/>
    <n v="154100"/>
    <n v="1425292"/>
    <n v="222326759562"/>
    <n v="390412998"/>
    <n v="60592097289600"/>
  </r>
  <r>
    <s v="기아"/>
    <x v="43"/>
    <n v="270"/>
    <s v="KR7000270009"/>
    <x v="8"/>
    <s v="KOSPI"/>
    <n v="159000"/>
    <n v="-5600"/>
    <n v="-3.4"/>
    <n v="162200"/>
    <n v="165550"/>
    <n v="157300"/>
    <n v="2594922"/>
    <n v="416973621650"/>
    <n v="390412998"/>
    <n v="62075666682000"/>
  </r>
  <r>
    <s v="기아"/>
    <x v="44"/>
    <n v="270"/>
    <s v="KR7000270009"/>
    <x v="8"/>
    <s v="KOSPI"/>
    <n v="164600"/>
    <n v="-7500"/>
    <n v="-4.3600000000000003"/>
    <n v="172900"/>
    <n v="175700"/>
    <n v="163600"/>
    <n v="3390188"/>
    <n v="572524555891"/>
    <n v="390412998"/>
    <n v="64261979470800"/>
  </r>
  <r>
    <s v="기아"/>
    <x v="45"/>
    <n v="270"/>
    <s v="KR7000270009"/>
    <x v="8"/>
    <s v="KOSPI"/>
    <n v="172100"/>
    <n v="8200"/>
    <n v="5"/>
    <n v="160100"/>
    <n v="174800"/>
    <n v="160000"/>
    <n v="4144416"/>
    <n v="699853931885"/>
    <n v="390412998"/>
    <n v="67190076955800"/>
  </r>
  <r>
    <s v="기아"/>
    <x v="46"/>
    <n v="270"/>
    <s v="KR7000270009"/>
    <x v="8"/>
    <s v="KOSPI"/>
    <n v="163900"/>
    <n v="-5600"/>
    <n v="-3.3"/>
    <n v="174000"/>
    <n v="177000"/>
    <n v="161800"/>
    <n v="3225052"/>
    <n v="537821491250"/>
    <n v="390412998"/>
    <n v="63988690372200"/>
  </r>
  <r>
    <s v="기아"/>
    <x v="47"/>
    <n v="270"/>
    <s v="KR7000270009"/>
    <x v="8"/>
    <s v="KOSPI"/>
    <n v="169500"/>
    <n v="18400"/>
    <n v="12.18"/>
    <n v="151800"/>
    <n v="170700"/>
    <n v="151300"/>
    <n v="4040319"/>
    <n v="660978476900"/>
    <n v="390412998"/>
    <n v="66175003161000"/>
  </r>
  <r>
    <s v="기아"/>
    <x v="48"/>
    <n v="270"/>
    <s v="KR7000270009"/>
    <x v="8"/>
    <s v="KOSPI"/>
    <n v="151100"/>
    <n v="-1400"/>
    <n v="-0.92"/>
    <n v="158000"/>
    <n v="159500"/>
    <n v="149700"/>
    <n v="2624747"/>
    <n v="405458414950"/>
    <n v="390412998"/>
    <n v="58991403997800"/>
  </r>
  <r>
    <s v="기아"/>
    <x v="49"/>
    <n v="270"/>
    <s v="KR7000270009"/>
    <x v="8"/>
    <s v="KOSPI"/>
    <n v="152500"/>
    <n v="9500"/>
    <n v="6.64"/>
    <n v="142800"/>
    <n v="152500"/>
    <n v="141400"/>
    <n v="3375671"/>
    <n v="501247427900"/>
    <n v="390412998"/>
    <n v="59537982195000"/>
  </r>
  <r>
    <s v="기아"/>
    <x v="50"/>
    <n v="270"/>
    <s v="KR7000270009"/>
    <x v="8"/>
    <s v="KOSPI"/>
    <n v="143000"/>
    <n v="7000"/>
    <n v="5.15"/>
    <n v="139600"/>
    <n v="146300"/>
    <n v="137200"/>
    <n v="2992169"/>
    <n v="425077145250"/>
    <n v="390412998"/>
    <n v="55829058714000"/>
  </r>
  <r>
    <s v="기아"/>
    <x v="51"/>
    <n v="270"/>
    <s v="KR7000270009"/>
    <x v="8"/>
    <s v="KOSPI"/>
    <n v="136000"/>
    <n v="6700"/>
    <n v="5.18"/>
    <n v="130700"/>
    <n v="136200"/>
    <n v="129500"/>
    <n v="2944545"/>
    <n v="394764518150"/>
    <n v="390412998"/>
    <n v="53096167728000"/>
  </r>
  <r>
    <s v="기아"/>
    <x v="52"/>
    <n v="270"/>
    <s v="KR7000270009"/>
    <x v="8"/>
    <s v="KOSPI"/>
    <n v="129300"/>
    <n v="-3900"/>
    <n v="-2.93"/>
    <n v="136000"/>
    <n v="137500"/>
    <n v="127900"/>
    <n v="1768796"/>
    <n v="231945077200"/>
    <n v="390412998"/>
    <n v="50480400641400"/>
  </r>
  <r>
    <s v="기아"/>
    <x v="53"/>
    <n v="270"/>
    <s v="KR7000270009"/>
    <x v="8"/>
    <s v="KOSPI"/>
    <n v="133200"/>
    <n v="8300"/>
    <n v="6.65"/>
    <n v="126400"/>
    <n v="133600"/>
    <n v="125300"/>
    <n v="1738639"/>
    <n v="225559286750"/>
    <n v="390412998"/>
    <n v="52003011333600"/>
  </r>
  <r>
    <s v="기아"/>
    <x v="54"/>
    <n v="270"/>
    <s v="KR7000270009"/>
    <x v="8"/>
    <s v="KOSPI"/>
    <n v="124900"/>
    <n v="-4400"/>
    <n v="-3.4"/>
    <n v="131000"/>
    <n v="131100"/>
    <n v="123600"/>
    <n v="1693240"/>
    <n v="213032721800"/>
    <n v="390412998"/>
    <n v="48762583450200"/>
  </r>
  <r>
    <s v="기아"/>
    <x v="55"/>
    <n v="270"/>
    <s v="KR7000270009"/>
    <x v="8"/>
    <s v="KOSPI"/>
    <n v="129300"/>
    <n v="6800"/>
    <n v="5.55"/>
    <n v="121400"/>
    <n v="130500"/>
    <n v="121300"/>
    <n v="3038127"/>
    <n v="386641683250"/>
    <n v="390412998"/>
    <n v="50480400641400"/>
  </r>
  <r>
    <s v="기아"/>
    <x v="56"/>
    <n v="270"/>
    <s v="KR7000270009"/>
    <x v="8"/>
    <s v="KOSPI"/>
    <n v="122500"/>
    <n v="-100"/>
    <n v="-0.08"/>
    <n v="124500"/>
    <n v="125800"/>
    <n v="121700"/>
    <n v="1302137"/>
    <n v="160173343150"/>
    <n v="390412998"/>
    <n v="47825592255000"/>
  </r>
  <r>
    <s v="기아"/>
    <x v="57"/>
    <n v="270"/>
    <s v="KR7000270009"/>
    <x v="8"/>
    <s v="KOSPI"/>
    <n v="122600"/>
    <n v="2000"/>
    <n v="1.66"/>
    <n v="121000"/>
    <n v="123200"/>
    <n v="120700"/>
    <n v="858385"/>
    <n v="105125205900"/>
    <n v="390412998"/>
    <n v="47864633554800"/>
  </r>
  <r>
    <s v="기아"/>
    <x v="58"/>
    <n v="270"/>
    <s v="KR7000270009"/>
    <x v="8"/>
    <s v="KOSPI"/>
    <n v="120600"/>
    <n v="-1200"/>
    <n v="-0.99"/>
    <n v="121100"/>
    <n v="122200"/>
    <n v="119500"/>
    <n v="645645"/>
    <n v="77972896750"/>
    <n v="390412998"/>
    <n v="47083807558800"/>
  </r>
  <r>
    <s v="KB금융"/>
    <x v="0"/>
    <n v="105560"/>
    <s v="KR7105560007"/>
    <x v="9"/>
    <s v="KOSPI"/>
    <n v="141900"/>
    <n v="-4000"/>
    <n v="-2.74"/>
    <n v="143900"/>
    <n v="145000"/>
    <n v="141400"/>
    <n v="2259948"/>
    <n v="323053923150"/>
    <n v="372850455"/>
    <n v="52907479564500"/>
  </r>
  <r>
    <s v="KB금융"/>
    <x v="1"/>
    <n v="105560"/>
    <s v="KR7105560007"/>
    <x v="9"/>
    <s v="KOSPI"/>
    <n v="145900"/>
    <n v="-6300"/>
    <n v="-4.1399999999999997"/>
    <n v="143500"/>
    <n v="148400"/>
    <n v="143000"/>
    <n v="1294041"/>
    <n v="188891557950"/>
    <n v="372850455"/>
    <n v="54398881384500"/>
  </r>
  <r>
    <s v="KB금융"/>
    <x v="2"/>
    <n v="105560"/>
    <s v="KR7105560007"/>
    <x v="9"/>
    <s v="KOSPI"/>
    <n v="152200"/>
    <n v="0"/>
    <n v="0"/>
    <n v="146500"/>
    <n v="153000"/>
    <n v="146100"/>
    <n v="1216855"/>
    <n v="183511314700"/>
    <n v="372850455"/>
    <n v="56747839251000"/>
  </r>
  <r>
    <s v="KB금융"/>
    <x v="3"/>
    <n v="105560"/>
    <s v="KR7105560007"/>
    <x v="9"/>
    <s v="KOSPI"/>
    <n v="152200"/>
    <n v="2800"/>
    <n v="1.87"/>
    <n v="149500"/>
    <n v="153400"/>
    <n v="149000"/>
    <n v="1058672"/>
    <n v="160875923450"/>
    <n v="372850455"/>
    <n v="56747839251000"/>
  </r>
  <r>
    <s v="KB금융"/>
    <x v="4"/>
    <n v="105560"/>
    <s v="KR7105560007"/>
    <x v="9"/>
    <s v="KOSPI"/>
    <n v="149400"/>
    <n v="2500"/>
    <n v="1.7"/>
    <n v="152100"/>
    <n v="152800"/>
    <n v="148700"/>
    <n v="1431022"/>
    <n v="215829755550"/>
    <n v="372850455"/>
    <n v="55703857977000"/>
  </r>
  <r>
    <s v="KB금융"/>
    <x v="5"/>
    <n v="105560"/>
    <s v="KR7105560007"/>
    <x v="9"/>
    <s v="KOSPI"/>
    <n v="146900"/>
    <n v="1600"/>
    <n v="1.1000000000000001"/>
    <n v="149000"/>
    <n v="150500"/>
    <n v="144100"/>
    <n v="1118859"/>
    <n v="164128833150"/>
    <n v="372850455"/>
    <n v="54771731839500"/>
  </r>
  <r>
    <s v="KB금융"/>
    <x v="6"/>
    <n v="105560"/>
    <s v="KR7105560007"/>
    <x v="9"/>
    <s v="KOSPI"/>
    <n v="145300"/>
    <n v="-9900"/>
    <n v="-6.38"/>
    <n v="147900"/>
    <n v="150300"/>
    <n v="144100"/>
    <n v="1121082"/>
    <n v="164034922050"/>
    <n v="372850455"/>
    <n v="54175171111500"/>
  </r>
  <r>
    <s v="KB금융"/>
    <x v="7"/>
    <n v="105560"/>
    <s v="KR7105560007"/>
    <x v="9"/>
    <s v="KOSPI"/>
    <n v="155200"/>
    <n v="-500"/>
    <n v="-0.32"/>
    <n v="154200"/>
    <n v="158200"/>
    <n v="153500"/>
    <n v="1114958"/>
    <n v="173539122400"/>
    <n v="372850455"/>
    <n v="57866390616000"/>
  </r>
  <r>
    <s v="KB금융"/>
    <x v="8"/>
    <n v="105560"/>
    <s v="KR7105560007"/>
    <x v="9"/>
    <s v="KOSPI"/>
    <n v="155700"/>
    <n v="1000"/>
    <n v="0.65"/>
    <n v="151500"/>
    <n v="158900"/>
    <n v="150800"/>
    <n v="954033"/>
    <n v="148063467200"/>
    <n v="372850455"/>
    <n v="58052815843500"/>
  </r>
  <r>
    <s v="KB금융"/>
    <x v="9"/>
    <n v="105560"/>
    <s v="KR7105560007"/>
    <x v="9"/>
    <s v="KOSPI"/>
    <n v="154700"/>
    <n v="4000"/>
    <n v="2.65"/>
    <n v="152400"/>
    <n v="156300"/>
    <n v="152300"/>
    <n v="1289740"/>
    <n v="199668661750"/>
    <n v="372850455"/>
    <n v="57679965388500"/>
  </r>
  <r>
    <s v="KB금융"/>
    <x v="10"/>
    <n v="105560"/>
    <s v="KR7105560007"/>
    <x v="9"/>
    <s v="KOSPI"/>
    <n v="150700"/>
    <n v="1400"/>
    <n v="0.94"/>
    <n v="150800"/>
    <n v="153300"/>
    <n v="149700"/>
    <n v="947530"/>
    <n v="142977697700"/>
    <n v="372850455"/>
    <n v="56188563568500"/>
  </r>
  <r>
    <s v="KB금융"/>
    <x v="11"/>
    <n v="105560"/>
    <s v="KR7105560007"/>
    <x v="9"/>
    <s v="KOSPI"/>
    <n v="149300"/>
    <n v="400"/>
    <n v="0.27"/>
    <n v="149300"/>
    <n v="153200"/>
    <n v="147200"/>
    <n v="957489"/>
    <n v="143927399300"/>
    <n v="372850455"/>
    <n v="55666572931500"/>
  </r>
  <r>
    <s v="KB금융"/>
    <x v="12"/>
    <n v="105560"/>
    <s v="KR7105560007"/>
    <x v="9"/>
    <s v="KOSPI"/>
    <n v="148900"/>
    <n v="-300"/>
    <n v="-0.2"/>
    <n v="143200"/>
    <n v="150800"/>
    <n v="143000"/>
    <n v="1424028"/>
    <n v="211842441400"/>
    <n v="372850455"/>
    <n v="55517432749500"/>
  </r>
  <r>
    <s v="KB금융"/>
    <x v="13"/>
    <n v="105560"/>
    <s v="KR7105560007"/>
    <x v="9"/>
    <s v="KOSPI"/>
    <n v="149200"/>
    <n v="-2100"/>
    <n v="-1.39"/>
    <n v="149200"/>
    <n v="150800"/>
    <n v="147500"/>
    <n v="803427"/>
    <n v="119796897900"/>
    <n v="372850455"/>
    <n v="55629287886000"/>
  </r>
  <r>
    <s v="KB금융"/>
    <x v="14"/>
    <n v="105560"/>
    <s v="KR7105560007"/>
    <x v="9"/>
    <s v="KOSPI"/>
    <n v="151300"/>
    <n v="3900"/>
    <n v="2.65"/>
    <n v="154100"/>
    <n v="157700"/>
    <n v="149900"/>
    <n v="1451829"/>
    <n v="224574979300"/>
    <n v="372850455"/>
    <n v="56412273841500"/>
  </r>
  <r>
    <s v="KB금융"/>
    <x v="15"/>
    <n v="105560"/>
    <s v="KR7105560007"/>
    <x v="9"/>
    <s v="KOSPI"/>
    <n v="147400"/>
    <n v="4800"/>
    <n v="3.37"/>
    <n v="149700"/>
    <n v="150600"/>
    <n v="145300"/>
    <n v="1371667"/>
    <n v="202905961380"/>
    <n v="372850455"/>
    <n v="54958157067000"/>
  </r>
  <r>
    <s v="KB금융"/>
    <x v="16"/>
    <n v="105560"/>
    <s v="KR7105560007"/>
    <x v="9"/>
    <s v="KOSPI"/>
    <n v="142600"/>
    <n v="-4800"/>
    <n v="-3.26"/>
    <n v="132900"/>
    <n v="143600"/>
    <n v="132900"/>
    <n v="1439220"/>
    <n v="200959570500"/>
    <n v="372850455"/>
    <n v="53168474883000"/>
  </r>
  <r>
    <s v="KB금융"/>
    <x v="17"/>
    <n v="105560"/>
    <s v="KR7105560007"/>
    <x v="9"/>
    <s v="KOSPI"/>
    <n v="147400"/>
    <n v="-1600"/>
    <n v="-1.07"/>
    <n v="144500"/>
    <n v="150300"/>
    <n v="143200"/>
    <n v="1238730"/>
    <n v="182315934050"/>
    <n v="372850455"/>
    <n v="54958157067000"/>
  </r>
  <r>
    <s v="KB금융"/>
    <x v="18"/>
    <n v="105560"/>
    <s v="KR7105560007"/>
    <x v="9"/>
    <s v="KOSPI"/>
    <n v="149000"/>
    <n v="11300"/>
    <n v="8.2100000000000009"/>
    <n v="151400"/>
    <n v="153100"/>
    <n v="146900"/>
    <n v="1934617"/>
    <n v="289366519500"/>
    <n v="372850455"/>
    <n v="55554717795000"/>
  </r>
  <r>
    <s v="KB금융"/>
    <x v="19"/>
    <n v="105560"/>
    <s v="KR7105560007"/>
    <x v="9"/>
    <s v="KOSPI"/>
    <n v="137700"/>
    <n v="-15800"/>
    <n v="-10.29"/>
    <n v="148300"/>
    <n v="149400"/>
    <n v="135100"/>
    <n v="2845836"/>
    <n v="402898714300"/>
    <n v="372850455"/>
    <n v="51341507653500"/>
  </r>
  <r>
    <s v="KB금융"/>
    <x v="20"/>
    <n v="105560"/>
    <s v="KR7105560007"/>
    <x v="9"/>
    <s v="KOSPI"/>
    <n v="153500"/>
    <n v="-5500"/>
    <n v="-3.46"/>
    <n v="157500"/>
    <n v="158300"/>
    <n v="152500"/>
    <n v="2412942"/>
    <n v="375607126632"/>
    <n v="372850455"/>
    <n v="57232544842500"/>
  </r>
  <r>
    <s v="KB금융"/>
    <x v="21"/>
    <n v="105560"/>
    <s v="KR7105560007"/>
    <x v="9"/>
    <s v="KOSPI"/>
    <n v="159000"/>
    <n v="-6300"/>
    <n v="-3.81"/>
    <n v="161100"/>
    <n v="164200"/>
    <n v="159000"/>
    <n v="2686751"/>
    <n v="429393211150"/>
    <n v="372850455"/>
    <n v="59283222345000"/>
  </r>
  <r>
    <s v="KB금융"/>
    <x v="22"/>
    <n v="105560"/>
    <s v="KR7105560007"/>
    <x v="9"/>
    <s v="KOSPI"/>
    <n v="165300"/>
    <n v="-2400"/>
    <n v="-1.43"/>
    <n v="167400"/>
    <n v="167400"/>
    <n v="164300"/>
    <n v="1373955"/>
    <n v="227558862650"/>
    <n v="372850455"/>
    <n v="61632180211500"/>
  </r>
  <r>
    <s v="KB금융"/>
    <x v="23"/>
    <n v="105560"/>
    <s v="KR7105560007"/>
    <x v="9"/>
    <s v="KOSPI"/>
    <n v="167700"/>
    <n v="1000"/>
    <n v="0.6"/>
    <n v="166300"/>
    <n v="169400"/>
    <n v="165100"/>
    <n v="1144011"/>
    <n v="191529126700"/>
    <n v="372850455"/>
    <n v="62527021303500"/>
  </r>
  <r>
    <s v="KB금융"/>
    <x v="24"/>
    <n v="105560"/>
    <s v="KR7105560007"/>
    <x v="9"/>
    <s v="KOSPI"/>
    <n v="166700"/>
    <n v="-2000"/>
    <n v="-1.19"/>
    <n v="167500"/>
    <n v="169300"/>
    <n v="162000"/>
    <n v="1478679"/>
    <n v="245674133350"/>
    <n v="372850455"/>
    <n v="62154170848500"/>
  </r>
  <r>
    <s v="KB금융"/>
    <x v="25"/>
    <n v="105560"/>
    <s v="KR7105560007"/>
    <x v="9"/>
    <s v="KOSPI"/>
    <n v="168700"/>
    <n v="-100"/>
    <n v="-0.06"/>
    <n v="172500"/>
    <n v="172500"/>
    <n v="165100"/>
    <n v="1349618"/>
    <n v="226482073250"/>
    <n v="372850455"/>
    <n v="62899871758500"/>
  </r>
  <r>
    <s v="KB금융"/>
    <x v="26"/>
    <n v="105560"/>
    <s v="KR7105560007"/>
    <x v="9"/>
    <s v="KOSPI"/>
    <n v="168800"/>
    <n v="2300"/>
    <n v="1.38"/>
    <n v="167400"/>
    <n v="169700"/>
    <n v="167100"/>
    <n v="1321785"/>
    <n v="222953662300"/>
    <n v="372850455"/>
    <n v="62937156804000"/>
  </r>
  <r>
    <s v="KB금융"/>
    <x v="27"/>
    <n v="105560"/>
    <s v="KR7105560007"/>
    <x v="9"/>
    <s v="KOSPI"/>
    <n v="166500"/>
    <n v="-1400"/>
    <n v="-0.83"/>
    <n v="168800"/>
    <n v="169800"/>
    <n v="163700"/>
    <n v="2035445"/>
    <n v="339671002200"/>
    <n v="372850455"/>
    <n v="62079600757500"/>
  </r>
  <r>
    <s v="KB금융"/>
    <x v="28"/>
    <n v="105560"/>
    <s v="KR7105560007"/>
    <x v="9"/>
    <s v="KOSPI"/>
    <n v="167900"/>
    <n v="-600"/>
    <n v="-0.36"/>
    <n v="166800"/>
    <n v="170500"/>
    <n v="164000"/>
    <n v="1772951"/>
    <n v="297495498115"/>
    <n v="372850455"/>
    <n v="62601591394500"/>
  </r>
  <r>
    <s v="KB금융"/>
    <x v="29"/>
    <n v="105560"/>
    <s v="KR7105560007"/>
    <x v="9"/>
    <s v="KOSPI"/>
    <n v="168500"/>
    <n v="4000"/>
    <n v="2.4300000000000002"/>
    <n v="163800"/>
    <n v="168500"/>
    <n v="162400"/>
    <n v="1821129"/>
    <n v="302952634950"/>
    <n v="372850455"/>
    <n v="62825301667500"/>
  </r>
  <r>
    <s v="KB금융"/>
    <x v="30"/>
    <n v="105560"/>
    <s v="KR7105560007"/>
    <x v="9"/>
    <s v="KOSPI"/>
    <n v="164500"/>
    <n v="9000"/>
    <n v="5.79"/>
    <n v="155500"/>
    <n v="165000"/>
    <n v="155400"/>
    <n v="2186027"/>
    <n v="354177985599"/>
    <n v="372850455"/>
    <n v="61333899847500"/>
  </r>
  <r>
    <s v="KB금융"/>
    <x v="31"/>
    <n v="105560"/>
    <s v="KR7105560007"/>
    <x v="9"/>
    <s v="KOSPI"/>
    <n v="155500"/>
    <n v="4100"/>
    <n v="2.71"/>
    <n v="157300"/>
    <n v="160300"/>
    <n v="153300"/>
    <n v="1876441"/>
    <n v="293859664750"/>
    <n v="372850455"/>
    <n v="57978245752500"/>
  </r>
  <r>
    <s v="KB금융"/>
    <x v="32"/>
    <n v="105560"/>
    <s v="KR7105560007"/>
    <x v="9"/>
    <s v="KOSPI"/>
    <n v="151400"/>
    <n v="2100"/>
    <n v="1.41"/>
    <n v="150500"/>
    <n v="152700"/>
    <n v="148800"/>
    <n v="1668370"/>
    <n v="252249690520"/>
    <n v="372850455"/>
    <n v="56449558887000"/>
  </r>
  <r>
    <s v="KB금융"/>
    <x v="33"/>
    <n v="105560"/>
    <s v="KR7105560007"/>
    <x v="9"/>
    <s v="KOSPI"/>
    <n v="149300"/>
    <n v="9800"/>
    <n v="7.03"/>
    <n v="143900"/>
    <n v="154200"/>
    <n v="140000"/>
    <n v="3931844"/>
    <n v="581930906600"/>
    <n v="372850455"/>
    <n v="55666572931500"/>
  </r>
  <r>
    <s v="KB금융"/>
    <x v="34"/>
    <n v="105560"/>
    <s v="KR7105560007"/>
    <x v="9"/>
    <s v="KOSPI"/>
    <n v="139500"/>
    <n v="-2600"/>
    <n v="-1.83"/>
    <n v="141900"/>
    <n v="144200"/>
    <n v="138200"/>
    <n v="1036611"/>
    <n v="145526451900"/>
    <n v="372850455"/>
    <n v="52012638472500"/>
  </r>
  <r>
    <s v="KB금융"/>
    <x v="35"/>
    <n v="105560"/>
    <s v="KR7105560007"/>
    <x v="9"/>
    <s v="KOSPI"/>
    <n v="142100"/>
    <n v="3300"/>
    <n v="2.38"/>
    <n v="145000"/>
    <n v="145000"/>
    <n v="139300"/>
    <n v="1429897"/>
    <n v="203422429400"/>
    <n v="381462103"/>
    <n v="54205764836300"/>
  </r>
  <r>
    <s v="KB금융"/>
    <x v="36"/>
    <n v="105560"/>
    <s v="KR7105560007"/>
    <x v="9"/>
    <s v="KOSPI"/>
    <n v="138800"/>
    <n v="5100"/>
    <n v="3.81"/>
    <n v="138000"/>
    <n v="139300"/>
    <n v="136500"/>
    <n v="922361"/>
    <n v="127240145050"/>
    <n v="381462103"/>
    <n v="52946939896400"/>
  </r>
  <r>
    <s v="KB금융"/>
    <x v="37"/>
    <n v="105560"/>
    <s v="KR7105560007"/>
    <x v="9"/>
    <s v="KOSPI"/>
    <n v="133700"/>
    <n v="-1500"/>
    <n v="-1.1100000000000001"/>
    <n v="137900"/>
    <n v="140500"/>
    <n v="132200"/>
    <n v="1409820"/>
    <n v="191309377050"/>
    <n v="381462103"/>
    <n v="51001483171100"/>
  </r>
  <r>
    <s v="KB금융"/>
    <x v="38"/>
    <n v="105560"/>
    <s v="KR7105560007"/>
    <x v="9"/>
    <s v="KOSPI"/>
    <n v="135200"/>
    <n v="-2600"/>
    <n v="-1.89"/>
    <n v="137700"/>
    <n v="138800"/>
    <n v="135200"/>
    <n v="1436454"/>
    <n v="196362509000"/>
    <n v="381462103"/>
    <n v="51573676325600"/>
  </r>
  <r>
    <s v="KB금융"/>
    <x v="39"/>
    <n v="105560"/>
    <s v="KR7105560007"/>
    <x v="9"/>
    <s v="KOSPI"/>
    <n v="137800"/>
    <n v="-100"/>
    <n v="-7.0000000000000007E-2"/>
    <n v="139100"/>
    <n v="139100"/>
    <n v="134600"/>
    <n v="1152291"/>
    <n v="158388126350"/>
    <n v="381462103"/>
    <n v="52565477793400"/>
  </r>
  <r>
    <s v="KB금융"/>
    <x v="40"/>
    <n v="105560"/>
    <s v="KR7105560007"/>
    <x v="9"/>
    <s v="KOSPI"/>
    <n v="137900"/>
    <n v="-5100"/>
    <n v="-3.57"/>
    <n v="141700"/>
    <n v="143000"/>
    <n v="136900"/>
    <n v="1591428"/>
    <n v="221381870685"/>
    <n v="381462103"/>
    <n v="52603624003700"/>
  </r>
  <r>
    <s v="KB금융"/>
    <x v="41"/>
    <n v="105560"/>
    <s v="KR7105560007"/>
    <x v="9"/>
    <s v="KOSPI"/>
    <n v="143000"/>
    <n v="7500"/>
    <n v="5.54"/>
    <n v="137500"/>
    <n v="143600"/>
    <n v="136800"/>
    <n v="1179043"/>
    <n v="166986515608"/>
    <n v="381462103"/>
    <n v="54549080729000"/>
  </r>
  <r>
    <s v="KB금융"/>
    <x v="42"/>
    <n v="105560"/>
    <s v="KR7105560007"/>
    <x v="9"/>
    <s v="KOSPI"/>
    <n v="135500"/>
    <n v="-100"/>
    <n v="-7.0000000000000007E-2"/>
    <n v="134800"/>
    <n v="138900"/>
    <n v="134700"/>
    <n v="724794"/>
    <n v="99246199050"/>
    <n v="381462103"/>
    <n v="51688114956500"/>
  </r>
  <r>
    <s v="KB금융"/>
    <x v="43"/>
    <n v="105560"/>
    <s v="KR7105560007"/>
    <x v="9"/>
    <s v="KOSPI"/>
    <n v="135600"/>
    <n v="900"/>
    <n v="0.67"/>
    <n v="133700"/>
    <n v="136000"/>
    <n v="133100"/>
    <n v="857227"/>
    <n v="115800677550"/>
    <n v="381462103"/>
    <n v="51726261166800"/>
  </r>
  <r>
    <s v="KB금융"/>
    <x v="44"/>
    <n v="105560"/>
    <s v="KR7105560007"/>
    <x v="9"/>
    <s v="KOSPI"/>
    <n v="134700"/>
    <n v="-2100"/>
    <n v="-1.54"/>
    <n v="136800"/>
    <n v="138900"/>
    <n v="134000"/>
    <n v="1115532"/>
    <n v="151011520600"/>
    <n v="381462103"/>
    <n v="51382945274100"/>
  </r>
  <r>
    <s v="KB금융"/>
    <x v="45"/>
    <n v="105560"/>
    <s v="KR7105560007"/>
    <x v="9"/>
    <s v="KOSPI"/>
    <n v="136800"/>
    <n v="3700"/>
    <n v="2.78"/>
    <n v="131900"/>
    <n v="136800"/>
    <n v="130800"/>
    <n v="1023965"/>
    <n v="137490566900"/>
    <n v="381462103"/>
    <n v="52184015690400"/>
  </r>
  <r>
    <s v="KB금융"/>
    <x v="46"/>
    <n v="105560"/>
    <s v="KR7105560007"/>
    <x v="9"/>
    <s v="KOSPI"/>
    <n v="133100"/>
    <n v="3600"/>
    <n v="2.78"/>
    <n v="128300"/>
    <n v="135000"/>
    <n v="127200"/>
    <n v="1088716"/>
    <n v="145001254800"/>
    <n v="381462103"/>
    <n v="50772605909300"/>
  </r>
  <r>
    <s v="KB금융"/>
    <x v="47"/>
    <n v="105560"/>
    <s v="KR7105560007"/>
    <x v="9"/>
    <s v="KOSPI"/>
    <n v="129500"/>
    <n v="-1400"/>
    <n v="-1.07"/>
    <n v="128800"/>
    <n v="130400"/>
    <n v="128000"/>
    <n v="619937"/>
    <n v="80238053700"/>
    <n v="381462103"/>
    <n v="49399342338500"/>
  </r>
  <r>
    <s v="KB금융"/>
    <x v="48"/>
    <n v="105560"/>
    <s v="KR7105560007"/>
    <x v="9"/>
    <s v="KOSPI"/>
    <n v="130900"/>
    <n v="800"/>
    <n v="0.61"/>
    <n v="131500"/>
    <n v="131900"/>
    <n v="128800"/>
    <n v="743043"/>
    <n v="96975308350"/>
    <n v="381462103"/>
    <n v="49933389282700"/>
  </r>
  <r>
    <s v="KB금융"/>
    <x v="49"/>
    <n v="105560"/>
    <s v="KR7105560007"/>
    <x v="9"/>
    <s v="KOSPI"/>
    <n v="130100"/>
    <n v="1200"/>
    <n v="0.93"/>
    <n v="130100"/>
    <n v="133200"/>
    <n v="129300"/>
    <n v="997830"/>
    <n v="130066427800"/>
    <n v="381462103"/>
    <n v="49628219600300"/>
  </r>
  <r>
    <s v="KB금융"/>
    <x v="50"/>
    <n v="105560"/>
    <s v="KR7105560007"/>
    <x v="9"/>
    <s v="KOSPI"/>
    <n v="128900"/>
    <n v="400"/>
    <n v="0.31"/>
    <n v="128700"/>
    <n v="129200"/>
    <n v="126400"/>
    <n v="671803"/>
    <n v="86377190450"/>
    <n v="381462103"/>
    <n v="49170465076700"/>
  </r>
  <r>
    <s v="KB금융"/>
    <x v="51"/>
    <n v="105560"/>
    <s v="KR7105560007"/>
    <x v="9"/>
    <s v="KOSPI"/>
    <n v="128500"/>
    <n v="3000"/>
    <n v="2.39"/>
    <n v="126900"/>
    <n v="128500"/>
    <n v="125300"/>
    <n v="759486"/>
    <n v="96429903800"/>
    <n v="381462103"/>
    <n v="49017880235500"/>
  </r>
  <r>
    <s v="KB금융"/>
    <x v="52"/>
    <n v="105560"/>
    <s v="KR7105560007"/>
    <x v="9"/>
    <s v="KOSPI"/>
    <n v="125500"/>
    <n v="-1100"/>
    <n v="-0.87"/>
    <n v="127000"/>
    <n v="127000"/>
    <n v="124600"/>
    <n v="668915"/>
    <n v="83933256600"/>
    <n v="381462103"/>
    <n v="47873493926500"/>
  </r>
  <r>
    <s v="KB금융"/>
    <x v="53"/>
    <n v="105560"/>
    <s v="KR7105560007"/>
    <x v="9"/>
    <s v="KOSPI"/>
    <n v="126600"/>
    <n v="3100"/>
    <n v="2.5099999999999998"/>
    <n v="124600"/>
    <n v="127800"/>
    <n v="123500"/>
    <n v="1006164"/>
    <n v="127341015900"/>
    <n v="381462103"/>
    <n v="48293102239800"/>
  </r>
  <r>
    <s v="KB금융"/>
    <x v="54"/>
    <n v="105560"/>
    <s v="KR7105560007"/>
    <x v="9"/>
    <s v="KOSPI"/>
    <n v="123500"/>
    <n v="-1200"/>
    <n v="-0.96"/>
    <n v="125200"/>
    <n v="125200"/>
    <n v="122300"/>
    <n v="904618"/>
    <n v="111555820200"/>
    <n v="381462103"/>
    <n v="47110569720500"/>
  </r>
  <r>
    <s v="KB금융"/>
    <x v="55"/>
    <n v="105560"/>
    <s v="KR7105560007"/>
    <x v="9"/>
    <s v="KOSPI"/>
    <n v="124700"/>
    <n v="-1700"/>
    <n v="-1.34"/>
    <n v="125000"/>
    <n v="126300"/>
    <n v="123700"/>
    <n v="879963"/>
    <n v="109720363426"/>
    <n v="381462103"/>
    <n v="47568324244100"/>
  </r>
  <r>
    <s v="KB금융"/>
    <x v="56"/>
    <n v="105560"/>
    <s v="KR7105560007"/>
    <x v="9"/>
    <s v="KOSPI"/>
    <n v="126400"/>
    <n v="-400"/>
    <n v="-0.32"/>
    <n v="127700"/>
    <n v="127800"/>
    <n v="125700"/>
    <n v="928918"/>
    <n v="117809529755"/>
    <n v="381462103"/>
    <n v="48216809819200"/>
  </r>
  <r>
    <s v="KB금융"/>
    <x v="57"/>
    <n v="105560"/>
    <s v="KR7105560007"/>
    <x v="9"/>
    <s v="KOSPI"/>
    <n v="126800"/>
    <n v="3500"/>
    <n v="2.84"/>
    <n v="124200"/>
    <n v="127500"/>
    <n v="123500"/>
    <n v="795417"/>
    <n v="100150777950"/>
    <n v="381462103"/>
    <n v="48369394660400"/>
  </r>
  <r>
    <s v="KB금융"/>
    <x v="58"/>
    <n v="105560"/>
    <s v="KR7105560007"/>
    <x v="9"/>
    <s v="KOSPI"/>
    <n v="123300"/>
    <n v="-1400"/>
    <n v="-1.1200000000000001"/>
    <n v="123600"/>
    <n v="124700"/>
    <n v="122800"/>
    <n v="648227"/>
    <n v="80002359550"/>
    <n v="381462103"/>
    <n v="47034277299900"/>
  </r>
  <r>
    <s v="HD현대중공업"/>
    <x v="0"/>
    <n v="329180"/>
    <s v="KR7329180004"/>
    <x v="10"/>
    <s v="KOSPI"/>
    <n v="465000"/>
    <n v="-15000"/>
    <n v="-3.13"/>
    <n v="480000"/>
    <n v="488000"/>
    <n v="463500"/>
    <n v="285931"/>
    <n v="135076832750"/>
    <n v="104961225"/>
    <n v="48806969625000"/>
  </r>
  <r>
    <s v="HD현대중공업"/>
    <x v="1"/>
    <n v="329180"/>
    <s v="KR7329180004"/>
    <x v="10"/>
    <s v="KOSPI"/>
    <n v="480000"/>
    <n v="-18500"/>
    <n v="-3.71"/>
    <n v="466000"/>
    <n v="485000"/>
    <n v="460500"/>
    <n v="226431"/>
    <n v="107568608750"/>
    <n v="104961225"/>
    <n v="50381388000000"/>
  </r>
  <r>
    <s v="HD현대중공업"/>
    <x v="2"/>
    <n v="329180"/>
    <s v="KR7329180004"/>
    <x v="10"/>
    <s v="KOSPI"/>
    <n v="498500"/>
    <n v="-12500"/>
    <n v="-2.4500000000000002"/>
    <n v="494000"/>
    <n v="500000"/>
    <n v="480000"/>
    <n v="227698"/>
    <n v="111688932500"/>
    <n v="104961225"/>
    <n v="52323170662500"/>
  </r>
  <r>
    <s v="HD현대중공업"/>
    <x v="3"/>
    <n v="329180"/>
    <s v="KR7329180004"/>
    <x v="10"/>
    <s v="KOSPI"/>
    <n v="511000"/>
    <n v="-12000"/>
    <n v="-2.29"/>
    <n v="529000"/>
    <n v="529000"/>
    <n v="509000"/>
    <n v="179100"/>
    <n v="92595314000"/>
    <n v="104961225"/>
    <n v="53635185975000"/>
  </r>
  <r>
    <s v="HD현대중공업"/>
    <x v="4"/>
    <n v="329180"/>
    <s v="KR7329180004"/>
    <x v="10"/>
    <s v="KOSPI"/>
    <n v="523000"/>
    <n v="7000"/>
    <n v="1.36"/>
    <n v="524000"/>
    <n v="526000"/>
    <n v="505000"/>
    <n v="262835"/>
    <n v="135455351500"/>
    <n v="104961225"/>
    <n v="54894720675000"/>
  </r>
  <r>
    <s v="HD현대중공업"/>
    <x v="5"/>
    <n v="329180"/>
    <s v="KR7329180004"/>
    <x v="10"/>
    <s v="KOSPI"/>
    <n v="516000"/>
    <n v="14000"/>
    <n v="2.79"/>
    <n v="527000"/>
    <n v="528000"/>
    <n v="497000"/>
    <n v="194214"/>
    <n v="99523118750"/>
    <n v="104961225"/>
    <n v="54159992100000"/>
  </r>
  <r>
    <s v="HD현대중공업"/>
    <x v="6"/>
    <n v="329180"/>
    <s v="KR7329180004"/>
    <x v="10"/>
    <s v="KOSPI"/>
    <n v="502000"/>
    <n v="-57000"/>
    <n v="-10.199999999999999"/>
    <n v="535000"/>
    <n v="539000"/>
    <n v="502000"/>
    <n v="282229"/>
    <n v="144998277000"/>
    <n v="104961225"/>
    <n v="52690534950000"/>
  </r>
  <r>
    <s v="HD현대중공업"/>
    <x v="7"/>
    <n v="329180"/>
    <s v="KR7329180004"/>
    <x v="10"/>
    <s v="KOSPI"/>
    <n v="559000"/>
    <n v="-8000"/>
    <n v="-1.41"/>
    <n v="569000"/>
    <n v="572000"/>
    <n v="555000"/>
    <n v="269023"/>
    <n v="151200602000"/>
    <n v="104961225"/>
    <n v="58673324775000"/>
  </r>
  <r>
    <s v="HD현대중공업"/>
    <x v="8"/>
    <n v="329180"/>
    <s v="KR7329180004"/>
    <x v="10"/>
    <s v="KOSPI"/>
    <n v="567000"/>
    <n v="-23000"/>
    <n v="-3.9"/>
    <n v="580000"/>
    <n v="584000"/>
    <n v="566000"/>
    <n v="173145"/>
    <n v="98725509500"/>
    <n v="104961225"/>
    <n v="59513014575000"/>
  </r>
  <r>
    <s v="HD현대중공업"/>
    <x v="9"/>
    <n v="329180"/>
    <s v="KR7329180004"/>
    <x v="10"/>
    <s v="KOSPI"/>
    <n v="590000"/>
    <n v="3000"/>
    <n v="0.51"/>
    <n v="596000"/>
    <n v="598000"/>
    <n v="578000"/>
    <n v="231091"/>
    <n v="136359712500"/>
    <n v="104961225"/>
    <n v="61927122750000"/>
  </r>
  <r>
    <s v="HD현대중공업"/>
    <x v="10"/>
    <n v="329180"/>
    <s v="KR7329180004"/>
    <x v="10"/>
    <s v="KOSPI"/>
    <n v="587000"/>
    <n v="4000"/>
    <n v="0.69"/>
    <n v="587000"/>
    <n v="596000"/>
    <n v="583000"/>
    <n v="164715"/>
    <n v="97132610000"/>
    <n v="104961225"/>
    <n v="61612239075000"/>
  </r>
  <r>
    <s v="HD현대중공업"/>
    <x v="11"/>
    <n v="329180"/>
    <s v="KR7329180004"/>
    <x v="10"/>
    <s v="KOSPI"/>
    <n v="583000"/>
    <n v="-13000"/>
    <n v="-2.1800000000000002"/>
    <n v="592000"/>
    <n v="594000"/>
    <n v="576000"/>
    <n v="153623"/>
    <n v="89726159500"/>
    <n v="104961225"/>
    <n v="61192394175000"/>
  </r>
  <r>
    <s v="HD현대중공업"/>
    <x v="12"/>
    <n v="329180"/>
    <s v="KR7329180004"/>
    <x v="10"/>
    <s v="KOSPI"/>
    <n v="596000"/>
    <n v="-8000"/>
    <n v="-1.32"/>
    <n v="600000"/>
    <n v="604000"/>
    <n v="588000"/>
    <n v="187775"/>
    <n v="111556699500"/>
    <n v="104961225"/>
    <n v="62556890100000"/>
  </r>
  <r>
    <s v="HD현대중공업"/>
    <x v="13"/>
    <n v="329180"/>
    <s v="KR7329180004"/>
    <x v="10"/>
    <s v="KOSPI"/>
    <n v="604000"/>
    <n v="14000"/>
    <n v="2.37"/>
    <n v="588000"/>
    <n v="608000"/>
    <n v="582000"/>
    <n v="270605"/>
    <n v="162750008500"/>
    <n v="104961225"/>
    <n v="63396579900000"/>
  </r>
  <r>
    <s v="HD현대중공업"/>
    <x v="14"/>
    <n v="329180"/>
    <s v="KR7329180004"/>
    <x v="10"/>
    <s v="KOSPI"/>
    <n v="590000"/>
    <n v="7000"/>
    <n v="1.2"/>
    <n v="595000"/>
    <n v="611000"/>
    <n v="585000"/>
    <n v="256643"/>
    <n v="153995391000"/>
    <n v="104961225"/>
    <n v="61927122750000"/>
  </r>
  <r>
    <s v="HD현대중공업"/>
    <x v="15"/>
    <n v="329180"/>
    <s v="KR7329180004"/>
    <x v="10"/>
    <s v="KOSPI"/>
    <n v="583000"/>
    <n v="7000"/>
    <n v="1.22"/>
    <n v="586000"/>
    <n v="589000"/>
    <n v="564000"/>
    <n v="265047"/>
    <n v="153102886500"/>
    <n v="104961225"/>
    <n v="61192394175000"/>
  </r>
  <r>
    <s v="HD현대중공업"/>
    <x v="16"/>
    <n v="329180"/>
    <s v="KR7329180004"/>
    <x v="10"/>
    <s v="KOSPI"/>
    <n v="576000"/>
    <n v="22000"/>
    <n v="3.97"/>
    <n v="524000"/>
    <n v="580000"/>
    <n v="521000"/>
    <n v="362474"/>
    <n v="204006546000"/>
    <n v="104961225"/>
    <n v="60457665600000"/>
  </r>
  <r>
    <s v="HD현대중공업"/>
    <x v="17"/>
    <n v="329180"/>
    <s v="KR7329180004"/>
    <x v="10"/>
    <s v="KOSPI"/>
    <n v="554000"/>
    <n v="-5000"/>
    <n v="-0.89"/>
    <n v="538000"/>
    <n v="564000"/>
    <n v="536000"/>
    <n v="202506"/>
    <n v="111542718000"/>
    <n v="104961225"/>
    <n v="58148518650000"/>
  </r>
  <r>
    <s v="HD현대중공업"/>
    <x v="18"/>
    <n v="329180"/>
    <s v="KR7329180004"/>
    <x v="10"/>
    <s v="KOSPI"/>
    <n v="559000"/>
    <n v="48000"/>
    <n v="9.39"/>
    <n v="560000"/>
    <n v="565000"/>
    <n v="545000"/>
    <n v="251920"/>
    <n v="139996537500"/>
    <n v="104961225"/>
    <n v="58673324775000"/>
  </r>
  <r>
    <s v="HD현대중공업"/>
    <x v="19"/>
    <n v="329180"/>
    <s v="KR7329180004"/>
    <x v="10"/>
    <s v="KOSPI"/>
    <n v="511000"/>
    <n v="-79000"/>
    <n v="-13.39"/>
    <n v="568000"/>
    <n v="574000"/>
    <n v="503000"/>
    <n v="481480"/>
    <n v="256818802500"/>
    <n v="104961225"/>
    <n v="53635185975000"/>
  </r>
  <r>
    <s v="HD현대중공업"/>
    <x v="20"/>
    <n v="329180"/>
    <s v="KR7329180004"/>
    <x v="10"/>
    <s v="KOSPI"/>
    <n v="590000"/>
    <n v="-13000"/>
    <n v="-2.16"/>
    <n v="609000"/>
    <n v="630000"/>
    <n v="589000"/>
    <n v="416330"/>
    <n v="252662597500"/>
    <n v="104961225"/>
    <n v="61927122750000"/>
  </r>
  <r>
    <s v="HD현대중공업"/>
    <x v="21"/>
    <n v="329180"/>
    <s v="KR7329180004"/>
    <x v="10"/>
    <s v="KOSPI"/>
    <n v="603000"/>
    <n v="11000"/>
    <n v="1.86"/>
    <n v="599000"/>
    <n v="620000"/>
    <n v="595000"/>
    <n v="424522"/>
    <n v="256614843500"/>
    <n v="104961225"/>
    <n v="63291618675000"/>
  </r>
  <r>
    <s v="HD현대중공업"/>
    <x v="22"/>
    <n v="329180"/>
    <s v="KR7329180004"/>
    <x v="10"/>
    <s v="KOSPI"/>
    <n v="592000"/>
    <n v="-2000"/>
    <n v="-0.34"/>
    <n v="590000"/>
    <n v="592000"/>
    <n v="578000"/>
    <n v="231458"/>
    <n v="135441628000"/>
    <n v="104961225"/>
    <n v="62137045200000"/>
  </r>
  <r>
    <s v="HD현대중공업"/>
    <x v="23"/>
    <n v="329180"/>
    <s v="KR7329180004"/>
    <x v="10"/>
    <s v="KOSPI"/>
    <n v="594000"/>
    <n v="-2000"/>
    <n v="-0.34"/>
    <n v="598000"/>
    <n v="600000"/>
    <n v="588000"/>
    <n v="184053"/>
    <n v="109396744500"/>
    <n v="104961225"/>
    <n v="62346967650000"/>
  </r>
  <r>
    <s v="HD현대중공업"/>
    <x v="24"/>
    <n v="329180"/>
    <s v="KR7329180004"/>
    <x v="10"/>
    <s v="KOSPI"/>
    <n v="596000"/>
    <n v="-11000"/>
    <n v="-1.81"/>
    <n v="599000"/>
    <n v="600000"/>
    <n v="583000"/>
    <n v="281793"/>
    <n v="167026425000"/>
    <n v="104961225"/>
    <n v="62556890100000"/>
  </r>
  <r>
    <s v="HD현대중공업"/>
    <x v="25"/>
    <n v="329180"/>
    <s v="KR7329180004"/>
    <x v="10"/>
    <s v="KOSPI"/>
    <n v="607000"/>
    <n v="5000"/>
    <n v="0.83"/>
    <n v="605000"/>
    <n v="611000"/>
    <n v="588000"/>
    <n v="227875"/>
    <n v="137495402000"/>
    <n v="104961225"/>
    <n v="63711463575000"/>
  </r>
  <r>
    <s v="HD현대중공업"/>
    <x v="26"/>
    <n v="329180"/>
    <s v="KR7329180004"/>
    <x v="10"/>
    <s v="KOSPI"/>
    <n v="602000"/>
    <n v="28000"/>
    <n v="4.88"/>
    <n v="584000"/>
    <n v="605000"/>
    <n v="570000"/>
    <n v="333710"/>
    <n v="198348613000"/>
    <n v="104961225"/>
    <n v="63186657450000"/>
  </r>
  <r>
    <s v="HD현대중공업"/>
    <x v="27"/>
    <n v="329180"/>
    <s v="KR7329180004"/>
    <x v="10"/>
    <s v="KOSPI"/>
    <n v="574000"/>
    <n v="31000"/>
    <n v="5.71"/>
    <n v="570000"/>
    <n v="594000"/>
    <n v="564000"/>
    <n v="278184"/>
    <n v="161136050000"/>
    <n v="104961225"/>
    <n v="60247743150000"/>
  </r>
  <r>
    <s v="HD현대중공업"/>
    <x v="28"/>
    <n v="329180"/>
    <s v="KR7329180004"/>
    <x v="10"/>
    <s v="KOSPI"/>
    <n v="543000"/>
    <n v="4000"/>
    <n v="0.74"/>
    <n v="537000"/>
    <n v="555000"/>
    <n v="532000"/>
    <n v="280535"/>
    <n v="153068595500"/>
    <n v="104961225"/>
    <n v="56993945175000"/>
  </r>
  <r>
    <s v="HD현대중공업"/>
    <x v="29"/>
    <n v="329180"/>
    <s v="KR7329180004"/>
    <x v="10"/>
    <s v="KOSPI"/>
    <n v="539000"/>
    <n v="2000"/>
    <n v="0.37"/>
    <n v="543000"/>
    <n v="552000"/>
    <n v="537000"/>
    <n v="246531"/>
    <n v="133407260500"/>
    <n v="104961225"/>
    <n v="56574100275000"/>
  </r>
  <r>
    <s v="HD현대중공업"/>
    <x v="30"/>
    <n v="329180"/>
    <s v="KR7329180004"/>
    <x v="10"/>
    <s v="KOSPI"/>
    <n v="537000"/>
    <n v="3000"/>
    <n v="0.56000000000000005"/>
    <n v="538000"/>
    <n v="543000"/>
    <n v="529000"/>
    <n v="184457"/>
    <n v="98890214500"/>
    <n v="104961225"/>
    <n v="56364177825000"/>
  </r>
  <r>
    <s v="HD현대중공업"/>
    <x v="31"/>
    <n v="329180"/>
    <s v="KR7329180004"/>
    <x v="10"/>
    <s v="KOSPI"/>
    <n v="534000"/>
    <n v="-6000"/>
    <n v="-1.1100000000000001"/>
    <n v="547000"/>
    <n v="551000"/>
    <n v="525000"/>
    <n v="379930"/>
    <n v="202162193500"/>
    <n v="104961225"/>
    <n v="56049294150000"/>
  </r>
  <r>
    <s v="HD현대중공업"/>
    <x v="32"/>
    <n v="329180"/>
    <s v="KR7329180004"/>
    <x v="10"/>
    <s v="KOSPI"/>
    <n v="540000"/>
    <n v="1000"/>
    <n v="0.19"/>
    <n v="560000"/>
    <n v="561000"/>
    <n v="532000"/>
    <n v="207410"/>
    <n v="113050635500"/>
    <n v="104961225"/>
    <n v="56679061500000"/>
  </r>
  <r>
    <s v="HD현대중공업"/>
    <x v="33"/>
    <n v="329180"/>
    <s v="KR7329180004"/>
    <x v="10"/>
    <s v="KOSPI"/>
    <n v="539000"/>
    <n v="-11000"/>
    <n v="-2"/>
    <n v="531000"/>
    <n v="540000"/>
    <n v="513000"/>
    <n v="194693"/>
    <n v="103345543500"/>
    <n v="104961225"/>
    <n v="56574100275000"/>
  </r>
  <r>
    <s v="HD현대중공업"/>
    <x v="34"/>
    <n v="329180"/>
    <s v="KR7329180004"/>
    <x v="10"/>
    <s v="KOSPI"/>
    <n v="550000"/>
    <n v="-33000"/>
    <n v="-5.66"/>
    <n v="578000"/>
    <n v="585000"/>
    <n v="546000"/>
    <n v="263577"/>
    <n v="147212072500"/>
    <n v="104961225"/>
    <n v="57728673750000"/>
  </r>
  <r>
    <s v="HD현대중공업"/>
    <x v="35"/>
    <n v="329180"/>
    <s v="KR7329180004"/>
    <x v="10"/>
    <s v="KOSPI"/>
    <n v="583000"/>
    <n v="1000"/>
    <n v="0.17"/>
    <n v="592000"/>
    <n v="593000"/>
    <n v="579000"/>
    <n v="148346"/>
    <n v="86610395500"/>
    <n v="104961225"/>
    <n v="61192394175000"/>
  </r>
  <r>
    <s v="HD현대중공업"/>
    <x v="36"/>
    <n v="329180"/>
    <s v="KR7329180004"/>
    <x v="10"/>
    <s v="KOSPI"/>
    <n v="582000"/>
    <n v="33000"/>
    <n v="6.01"/>
    <n v="569000"/>
    <n v="582000"/>
    <n v="556000"/>
    <n v="204407"/>
    <n v="117493869000"/>
    <n v="104961225"/>
    <n v="61087432950000"/>
  </r>
  <r>
    <s v="HD현대중공업"/>
    <x v="37"/>
    <n v="329180"/>
    <s v="KR7329180004"/>
    <x v="10"/>
    <s v="KOSPI"/>
    <n v="549000"/>
    <n v="-26000"/>
    <n v="-4.5199999999999996"/>
    <n v="574000"/>
    <n v="579000"/>
    <n v="543000"/>
    <n v="231997"/>
    <n v="129807762500"/>
    <n v="104961225"/>
    <n v="57623712525000"/>
  </r>
  <r>
    <s v="HD현대중공업"/>
    <x v="38"/>
    <n v="329180"/>
    <s v="KR7329180004"/>
    <x v="10"/>
    <s v="KOSPI"/>
    <n v="575000"/>
    <n v="-13000"/>
    <n v="-2.21"/>
    <n v="587000"/>
    <n v="594000"/>
    <n v="575000"/>
    <n v="203434"/>
    <n v="117982747500"/>
    <n v="104961225"/>
    <n v="60352704375000"/>
  </r>
  <r>
    <s v="HD현대중공업"/>
    <x v="39"/>
    <n v="329180"/>
    <s v="KR7329180004"/>
    <x v="10"/>
    <s v="KOSPI"/>
    <n v="588000"/>
    <n v="2000"/>
    <n v="0.34"/>
    <n v="584000"/>
    <n v="595000"/>
    <n v="572000"/>
    <n v="313979"/>
    <n v="182840516000"/>
    <n v="104961225"/>
    <n v="61717200300000"/>
  </r>
  <r>
    <s v="HD현대중공업"/>
    <x v="40"/>
    <n v="329180"/>
    <s v="KR7329180004"/>
    <x v="10"/>
    <s v="KOSPI"/>
    <n v="586000"/>
    <n v="-2000"/>
    <n v="-0.34"/>
    <n v="594000"/>
    <n v="596000"/>
    <n v="581000"/>
    <n v="266379"/>
    <n v="155905848500"/>
    <n v="104961225"/>
    <n v="61507277850000"/>
  </r>
  <r>
    <s v="HD현대중공업"/>
    <x v="41"/>
    <n v="329180"/>
    <s v="KR7329180004"/>
    <x v="10"/>
    <s v="KOSPI"/>
    <n v="588000"/>
    <n v="-17000"/>
    <n v="-2.81"/>
    <n v="612000"/>
    <n v="613000"/>
    <n v="571000"/>
    <n v="449651"/>
    <n v="262489722500"/>
    <n v="104961225"/>
    <n v="61717200300000"/>
  </r>
  <r>
    <s v="HD현대중공업"/>
    <x v="42"/>
    <n v="329180"/>
    <s v="KR7329180004"/>
    <x v="10"/>
    <s v="KOSPI"/>
    <n v="605000"/>
    <n v="-22000"/>
    <n v="-3.51"/>
    <n v="620000"/>
    <n v="626000"/>
    <n v="599000"/>
    <n v="212615"/>
    <n v="129310684500"/>
    <n v="104961225"/>
    <n v="63501541125000"/>
  </r>
  <r>
    <s v="HD현대중공업"/>
    <x v="43"/>
    <n v="329180"/>
    <s v="KR7329180004"/>
    <x v="10"/>
    <s v="KOSPI"/>
    <n v="627000"/>
    <n v="14000"/>
    <n v="2.2799999999999998"/>
    <n v="620000"/>
    <n v="639000"/>
    <n v="617000"/>
    <n v="199771"/>
    <n v="125345572000"/>
    <n v="104961225"/>
    <n v="65810688075000"/>
  </r>
  <r>
    <s v="HD현대중공업"/>
    <x v="44"/>
    <n v="329180"/>
    <s v="KR7329180004"/>
    <x v="10"/>
    <s v="KOSPI"/>
    <n v="613000"/>
    <n v="-18000"/>
    <n v="-2.85"/>
    <n v="628000"/>
    <n v="631000"/>
    <n v="606000"/>
    <n v="233220"/>
    <n v="143338337000"/>
    <n v="104961225"/>
    <n v="64341230925000"/>
  </r>
  <r>
    <s v="HD현대중공업"/>
    <x v="45"/>
    <n v="329180"/>
    <s v="KR7329180004"/>
    <x v="10"/>
    <s v="KOSPI"/>
    <n v="631000"/>
    <n v="-10000"/>
    <n v="-1.56"/>
    <n v="621000"/>
    <n v="632000"/>
    <n v="615000"/>
    <n v="196439"/>
    <n v="122828526000"/>
    <n v="104961225"/>
    <n v="66230532975000"/>
  </r>
  <r>
    <s v="HD현대중공업"/>
    <x v="46"/>
    <n v="329180"/>
    <s v="KR7329180004"/>
    <x v="10"/>
    <s v="KOSPI"/>
    <n v="641000"/>
    <n v="-7000"/>
    <n v="-1.08"/>
    <n v="642000"/>
    <n v="652000"/>
    <n v="628000"/>
    <n v="187350"/>
    <n v="119509058500"/>
    <n v="104961225"/>
    <n v="67280145225000"/>
  </r>
  <r>
    <s v="HD현대중공업"/>
    <x v="47"/>
    <n v="329180"/>
    <s v="KR7329180004"/>
    <x v="10"/>
    <s v="KOSPI"/>
    <n v="648000"/>
    <n v="26000"/>
    <n v="4.18"/>
    <n v="632000"/>
    <n v="650000"/>
    <n v="626000"/>
    <n v="217458"/>
    <n v="139481006500"/>
    <n v="104961225"/>
    <n v="68014873800000"/>
  </r>
  <r>
    <s v="HD현대중공업"/>
    <x v="48"/>
    <n v="329180"/>
    <s v="KR7329180004"/>
    <x v="10"/>
    <s v="KOSPI"/>
    <n v="622000"/>
    <n v="-9000"/>
    <n v="-1.43"/>
    <n v="631000"/>
    <n v="631000"/>
    <n v="613000"/>
    <n v="186432"/>
    <n v="116172127000"/>
    <n v="104961225"/>
    <n v="65285881950000"/>
  </r>
  <r>
    <s v="HD현대중공업"/>
    <x v="49"/>
    <n v="329180"/>
    <s v="KR7329180004"/>
    <x v="10"/>
    <s v="KOSPI"/>
    <n v="631000"/>
    <n v="16000"/>
    <n v="2.6"/>
    <n v="633000"/>
    <n v="642000"/>
    <n v="623000"/>
    <n v="251843"/>
    <n v="158943724500"/>
    <n v="104961225"/>
    <n v="66230532975000"/>
  </r>
  <r>
    <s v="HD현대중공업"/>
    <x v="50"/>
    <n v="329180"/>
    <s v="KR7329180004"/>
    <x v="10"/>
    <s v="KOSPI"/>
    <n v="615000"/>
    <n v="-30000"/>
    <n v="-4.6500000000000004"/>
    <n v="639000"/>
    <n v="642000"/>
    <n v="612000"/>
    <n v="249448"/>
    <n v="155341830500"/>
    <n v="104961225"/>
    <n v="64551153375000"/>
  </r>
  <r>
    <s v="HD현대중공업"/>
    <x v="51"/>
    <n v="329180"/>
    <s v="KR7329180004"/>
    <x v="10"/>
    <s v="KOSPI"/>
    <n v="645000"/>
    <n v="41000"/>
    <n v="6.79"/>
    <n v="609000"/>
    <n v="645000"/>
    <n v="606000"/>
    <n v="426070"/>
    <n v="269388234500"/>
    <n v="104961225"/>
    <n v="67699990125000"/>
  </r>
  <r>
    <s v="HD현대중공업"/>
    <x v="52"/>
    <n v="329180"/>
    <s v="KR7329180004"/>
    <x v="10"/>
    <s v="KOSPI"/>
    <n v="604000"/>
    <n v="-5000"/>
    <n v="-0.82"/>
    <n v="607000"/>
    <n v="609000"/>
    <n v="591000"/>
    <n v="436934"/>
    <n v="262584477500"/>
    <n v="104961225"/>
    <n v="63396579900000"/>
  </r>
  <r>
    <s v="HD현대중공업"/>
    <x v="53"/>
    <n v="329180"/>
    <s v="KR7329180004"/>
    <x v="10"/>
    <s v="KOSPI"/>
    <n v="609000"/>
    <n v="27000"/>
    <n v="4.6399999999999997"/>
    <n v="583000"/>
    <n v="609000"/>
    <n v="579000"/>
    <n v="309982"/>
    <n v="186258861500"/>
    <n v="104961225"/>
    <n v="63921386025000"/>
  </r>
  <r>
    <s v="HD현대중공업"/>
    <x v="54"/>
    <n v="329180"/>
    <s v="KR7329180004"/>
    <x v="10"/>
    <s v="KOSPI"/>
    <n v="582000"/>
    <n v="25000"/>
    <n v="4.49"/>
    <n v="562000"/>
    <n v="592000"/>
    <n v="559000"/>
    <n v="485746"/>
    <n v="283919119000"/>
    <n v="104961225"/>
    <n v="61087432950000"/>
  </r>
  <r>
    <s v="HD현대중공업"/>
    <x v="55"/>
    <n v="329180"/>
    <s v="KR7329180004"/>
    <x v="10"/>
    <s v="KOSPI"/>
    <n v="557000"/>
    <n v="7000"/>
    <n v="1.27"/>
    <n v="545000"/>
    <n v="572000"/>
    <n v="542000"/>
    <n v="261613"/>
    <n v="146330331000"/>
    <n v="104961225"/>
    <n v="58463402325000"/>
  </r>
  <r>
    <s v="HD현대중공업"/>
    <x v="56"/>
    <n v="329180"/>
    <s v="KR7329180004"/>
    <x v="10"/>
    <s v="KOSPI"/>
    <n v="550000"/>
    <n v="37000"/>
    <n v="7.21"/>
    <n v="521000"/>
    <n v="550000"/>
    <n v="519000"/>
    <n v="403915"/>
    <n v="218366270000"/>
    <n v="104961225"/>
    <n v="57728673750000"/>
  </r>
  <r>
    <s v="HD현대중공업"/>
    <x v="57"/>
    <n v="329180"/>
    <s v="KR7329180004"/>
    <x v="10"/>
    <s v="KOSPI"/>
    <n v="513000"/>
    <n v="9000"/>
    <n v="1.79"/>
    <n v="499500"/>
    <n v="516000"/>
    <n v="497500"/>
    <n v="274884"/>
    <n v="139893758500"/>
    <n v="104961225"/>
    <n v="53845108425000"/>
  </r>
  <r>
    <s v="HD현대중공업"/>
    <x v="58"/>
    <n v="329180"/>
    <s v="KR7329180004"/>
    <x v="10"/>
    <s v="KOSPI"/>
    <n v="504000"/>
    <n v="-5000"/>
    <n v="-0.98"/>
    <n v="514000"/>
    <n v="516000"/>
    <n v="499000"/>
    <n v="225977"/>
    <n v="113977577750"/>
    <n v="104961225"/>
    <n v="52900457400000"/>
  </r>
  <r>
    <s v="셀트리온"/>
    <x v="0"/>
    <n v="68270"/>
    <s v="KR7068270008"/>
    <x v="11"/>
    <s v="KOSPI"/>
    <n v="197200"/>
    <n v="-4300"/>
    <n v="-2.13"/>
    <n v="199500"/>
    <n v="202000"/>
    <n v="196100"/>
    <n v="569975"/>
    <n v="113239676150"/>
    <n v="231048261"/>
    <n v="45562717069200"/>
  </r>
  <r>
    <s v="셀트리온"/>
    <x v="1"/>
    <n v="68270"/>
    <s v="KR7068270008"/>
    <x v="11"/>
    <s v="KOSPI"/>
    <n v="201500"/>
    <n v="-4500"/>
    <n v="-2.1800000000000002"/>
    <n v="197700"/>
    <n v="203500"/>
    <n v="197000"/>
    <n v="426735"/>
    <n v="85548123400"/>
    <n v="231048261"/>
    <n v="46556224591500"/>
  </r>
  <r>
    <s v="셀트리온"/>
    <x v="2"/>
    <n v="68270"/>
    <s v="KR7068270008"/>
    <x v="11"/>
    <s v="KOSPI"/>
    <n v="206000"/>
    <n v="3000"/>
    <n v="1.48"/>
    <n v="200500"/>
    <n v="207000"/>
    <n v="199100"/>
    <n v="466923"/>
    <n v="95278607800"/>
    <n v="231048261"/>
    <n v="47595941766000"/>
  </r>
  <r>
    <s v="셀트리온"/>
    <x v="3"/>
    <n v="68270"/>
    <s v="KR7068270008"/>
    <x v="11"/>
    <s v="KOSPI"/>
    <n v="203000"/>
    <n v="-500"/>
    <n v="-0.25"/>
    <n v="204500"/>
    <n v="207750"/>
    <n v="201500"/>
    <n v="441297"/>
    <n v="89974643750"/>
    <n v="231048261"/>
    <n v="46902796983000"/>
  </r>
  <r>
    <s v="셀트리온"/>
    <x v="4"/>
    <n v="68270"/>
    <s v="KR7068270008"/>
    <x v="11"/>
    <s v="KOSPI"/>
    <n v="203500"/>
    <n v="3900"/>
    <n v="1.95"/>
    <n v="202000"/>
    <n v="206000"/>
    <n v="200000"/>
    <n v="472726"/>
    <n v="96236766750"/>
    <n v="231048261"/>
    <n v="47018321113500"/>
  </r>
  <r>
    <s v="셀트리온"/>
    <x v="5"/>
    <n v="68270"/>
    <s v="KR7068270008"/>
    <x v="11"/>
    <s v="KOSPI"/>
    <n v="199600"/>
    <n v="11300"/>
    <n v="6"/>
    <n v="195100"/>
    <n v="203500"/>
    <n v="189300"/>
    <n v="689973"/>
    <n v="135637492650"/>
    <n v="231048261"/>
    <n v="46117232895600"/>
  </r>
  <r>
    <s v="셀트리온"/>
    <x v="6"/>
    <n v="68270"/>
    <s v="KR7068270008"/>
    <x v="11"/>
    <s v="KOSPI"/>
    <n v="188300"/>
    <n v="-13700"/>
    <n v="-6.78"/>
    <n v="195000"/>
    <n v="195100"/>
    <n v="187700"/>
    <n v="741755"/>
    <n v="141018015200"/>
    <n v="231048261"/>
    <n v="43506387546300"/>
  </r>
  <r>
    <s v="셀트리온"/>
    <x v="7"/>
    <n v="68270"/>
    <s v="KR7068270008"/>
    <x v="11"/>
    <s v="KOSPI"/>
    <n v="202000"/>
    <n v="0"/>
    <n v="0"/>
    <n v="203000"/>
    <n v="204500"/>
    <n v="200500"/>
    <n v="452728"/>
    <n v="91568178000"/>
    <n v="231048261"/>
    <n v="46671748722000"/>
  </r>
  <r>
    <s v="셀트리온"/>
    <x v="8"/>
    <n v="68270"/>
    <s v="KR7068270008"/>
    <x v="11"/>
    <s v="KOSPI"/>
    <n v="202000"/>
    <n v="-7500"/>
    <n v="-3.58"/>
    <n v="203000"/>
    <n v="205000"/>
    <n v="201500"/>
    <n v="532994"/>
    <n v="107953872000"/>
    <n v="231048261"/>
    <n v="46671748722000"/>
  </r>
  <r>
    <s v="셀트리온"/>
    <x v="9"/>
    <n v="68270"/>
    <s v="KR7068270008"/>
    <x v="11"/>
    <s v="KOSPI"/>
    <n v="209500"/>
    <n v="3500"/>
    <n v="1.7"/>
    <n v="210500"/>
    <n v="212000"/>
    <n v="208000"/>
    <n v="413983"/>
    <n v="87088657250"/>
    <n v="231048261"/>
    <n v="48404610679500"/>
  </r>
  <r>
    <s v="셀트리온"/>
    <x v="10"/>
    <n v="68270"/>
    <s v="KR7068270008"/>
    <x v="11"/>
    <s v="KOSPI"/>
    <n v="206000"/>
    <n v="6000"/>
    <n v="3"/>
    <n v="205500"/>
    <n v="208500"/>
    <n v="204000"/>
    <n v="359729"/>
    <n v="74096075500"/>
    <n v="231048261"/>
    <n v="47595941766000"/>
  </r>
  <r>
    <s v="셀트리온"/>
    <x v="11"/>
    <n v="68270"/>
    <s v="KR7068270008"/>
    <x v="11"/>
    <s v="KOSPI"/>
    <n v="200000"/>
    <n v="-5500"/>
    <n v="-2.68"/>
    <n v="203500"/>
    <n v="204000"/>
    <n v="199500"/>
    <n v="432257"/>
    <n v="86724511650"/>
    <n v="231048261"/>
    <n v="46209652200000"/>
  </r>
  <r>
    <s v="셀트리온"/>
    <x v="12"/>
    <n v="68270"/>
    <s v="KR7068270008"/>
    <x v="11"/>
    <s v="KOSPI"/>
    <n v="205500"/>
    <n v="-500"/>
    <n v="-0.24"/>
    <n v="200500"/>
    <n v="208000"/>
    <n v="200000"/>
    <n v="516104"/>
    <n v="105727682250"/>
    <n v="231048261"/>
    <n v="47480417635500"/>
  </r>
  <r>
    <s v="셀트리온"/>
    <x v="13"/>
    <n v="68270"/>
    <s v="KR7068270008"/>
    <x v="11"/>
    <s v="KOSPI"/>
    <n v="206000"/>
    <n v="-3000"/>
    <n v="-1.44"/>
    <n v="207000"/>
    <n v="208000"/>
    <n v="203000"/>
    <n v="501196"/>
    <n v="102899742696"/>
    <n v="231048261"/>
    <n v="47595941766000"/>
  </r>
  <r>
    <s v="셀트리온"/>
    <x v="14"/>
    <n v="68270"/>
    <s v="KR7068270008"/>
    <x v="11"/>
    <s v="KOSPI"/>
    <n v="209000"/>
    <n v="3000"/>
    <n v="1.46"/>
    <n v="209500"/>
    <n v="214000"/>
    <n v="207000"/>
    <n v="430951"/>
    <n v="90944268250"/>
    <n v="231048261"/>
    <n v="48289086549000"/>
  </r>
  <r>
    <s v="셀트리온"/>
    <x v="15"/>
    <n v="68270"/>
    <s v="KR7068270008"/>
    <x v="11"/>
    <s v="KOSPI"/>
    <n v="206000"/>
    <n v="2000"/>
    <n v="0.98"/>
    <n v="212500"/>
    <n v="213500"/>
    <n v="204000"/>
    <n v="489112"/>
    <n v="101658708000"/>
    <n v="231048261"/>
    <n v="47595941766000"/>
  </r>
  <r>
    <s v="셀트리온"/>
    <x v="16"/>
    <n v="68270"/>
    <s v="KR7068270008"/>
    <x v="11"/>
    <s v="KOSPI"/>
    <n v="204000"/>
    <n v="-8500"/>
    <n v="-4"/>
    <n v="199900"/>
    <n v="204000"/>
    <n v="199100"/>
    <n v="701450"/>
    <n v="140959754050"/>
    <n v="231048261"/>
    <n v="47133845244000"/>
  </r>
  <r>
    <s v="셀트리온"/>
    <x v="17"/>
    <n v="68270"/>
    <s v="KR7068270008"/>
    <x v="11"/>
    <s v="KOSPI"/>
    <n v="212500"/>
    <n v="1000"/>
    <n v="0.47"/>
    <n v="214500"/>
    <n v="216500"/>
    <n v="206500"/>
    <n v="573057"/>
    <n v="121551033750"/>
    <n v="231048261"/>
    <n v="49097755462500"/>
  </r>
  <r>
    <s v="셀트리온"/>
    <x v="18"/>
    <n v="68270"/>
    <s v="KR7068270008"/>
    <x v="11"/>
    <s v="KOSPI"/>
    <n v="211500"/>
    <n v="14100"/>
    <n v="7.14"/>
    <n v="214000"/>
    <n v="216000"/>
    <n v="205500"/>
    <n v="917410"/>
    <n v="193482169750"/>
    <n v="231048261"/>
    <n v="48866707201500"/>
  </r>
  <r>
    <s v="셀트리온"/>
    <x v="19"/>
    <n v="68270"/>
    <s v="KR7068270008"/>
    <x v="11"/>
    <s v="KOSPI"/>
    <n v="197400"/>
    <n v="-27600"/>
    <n v="-12.27"/>
    <n v="214000"/>
    <n v="218500"/>
    <n v="195900"/>
    <n v="1535839"/>
    <n v="314990251900"/>
    <n v="231048261"/>
    <n v="45608926721400"/>
  </r>
  <r>
    <s v="셀트리온"/>
    <x v="20"/>
    <n v="68270"/>
    <s v="KR7068270008"/>
    <x v="11"/>
    <s v="KOSPI"/>
    <n v="225000"/>
    <n v="-13500"/>
    <n v="-5.66"/>
    <n v="231500"/>
    <n v="235500"/>
    <n v="223500"/>
    <n v="867580"/>
    <n v="199522198500"/>
    <n v="231048261"/>
    <n v="51985858725000"/>
  </r>
  <r>
    <s v="셀트리온"/>
    <x v="21"/>
    <n v="68270"/>
    <s v="KR7068270008"/>
    <x v="11"/>
    <s v="KOSPI"/>
    <n v="238500"/>
    <n v="-3500"/>
    <n v="-1.45"/>
    <n v="241500"/>
    <n v="244000"/>
    <n v="235000"/>
    <n v="833169"/>
    <n v="198543887000"/>
    <n v="231048261"/>
    <n v="55105010248500"/>
  </r>
  <r>
    <s v="셀트리온"/>
    <x v="22"/>
    <n v="68270"/>
    <s v="KR7068270008"/>
    <x v="11"/>
    <s v="KOSPI"/>
    <n v="242000"/>
    <n v="-2500"/>
    <n v="-1.02"/>
    <n v="242500"/>
    <n v="244000"/>
    <n v="238500"/>
    <n v="625920"/>
    <n v="151282354250"/>
    <n v="231048261"/>
    <n v="55913679162000"/>
  </r>
  <r>
    <s v="셀트리온"/>
    <x v="23"/>
    <n v="68270"/>
    <s v="KR7068270008"/>
    <x v="11"/>
    <s v="KOSPI"/>
    <n v="244500"/>
    <n v="-4000"/>
    <n v="-1.61"/>
    <n v="249500"/>
    <n v="249500"/>
    <n v="242500"/>
    <n v="543961"/>
    <n v="133146512750"/>
    <n v="231048261"/>
    <n v="56491299814500"/>
  </r>
  <r>
    <s v="셀트리온"/>
    <x v="24"/>
    <n v="68270"/>
    <s v="KR7068270008"/>
    <x v="11"/>
    <s v="KOSPI"/>
    <n v="248500"/>
    <n v="5500"/>
    <n v="2.2599999999999998"/>
    <n v="246500"/>
    <n v="251000"/>
    <n v="245500"/>
    <n v="654474"/>
    <n v="162578566250"/>
    <n v="231048261"/>
    <n v="57415492858500"/>
  </r>
  <r>
    <s v="셀트리온"/>
    <x v="25"/>
    <n v="68270"/>
    <s v="KR7068270008"/>
    <x v="11"/>
    <s v="KOSPI"/>
    <n v="243000"/>
    <n v="1000"/>
    <n v="0.41"/>
    <n v="243000"/>
    <n v="244000"/>
    <n v="240500"/>
    <n v="492926"/>
    <n v="119482300500"/>
    <n v="231048261"/>
    <n v="56144727423000"/>
  </r>
  <r>
    <s v="셀트리온"/>
    <x v="26"/>
    <n v="68270"/>
    <s v="KR7068270008"/>
    <x v="11"/>
    <s v="KOSPI"/>
    <n v="242000"/>
    <n v="-2500"/>
    <n v="-1.02"/>
    <n v="242500"/>
    <n v="245000"/>
    <n v="240500"/>
    <n v="468296"/>
    <n v="113440826750"/>
    <n v="231048261"/>
    <n v="55913679162000"/>
  </r>
  <r>
    <s v="셀트리온"/>
    <x v="27"/>
    <n v="68270"/>
    <s v="KR7068270008"/>
    <x v="11"/>
    <s v="KOSPI"/>
    <n v="244500"/>
    <n v="6500"/>
    <n v="2.73"/>
    <n v="240500"/>
    <n v="246000"/>
    <n v="239500"/>
    <n v="562258"/>
    <n v="136951341250"/>
    <n v="231048261"/>
    <n v="56491299814500"/>
  </r>
  <r>
    <s v="셀트리온"/>
    <x v="28"/>
    <n v="68270"/>
    <s v="KR7068270008"/>
    <x v="11"/>
    <s v="KOSPI"/>
    <n v="238000"/>
    <n v="-500"/>
    <n v="-0.21"/>
    <n v="242000"/>
    <n v="242500"/>
    <n v="234000"/>
    <n v="672153"/>
    <n v="160212903500"/>
    <n v="231048261"/>
    <n v="54989486118000"/>
  </r>
  <r>
    <s v="셀트리온"/>
    <x v="29"/>
    <n v="68270"/>
    <s v="KR7068270008"/>
    <x v="11"/>
    <s v="KOSPI"/>
    <n v="238500"/>
    <n v="-1000"/>
    <n v="-0.42"/>
    <n v="238500"/>
    <n v="239500"/>
    <n v="231500"/>
    <n v="952461"/>
    <n v="224547186000"/>
    <n v="230960969"/>
    <n v="55084191106500"/>
  </r>
  <r>
    <s v="셀트리온"/>
    <x v="30"/>
    <n v="68270"/>
    <s v="KR7068270008"/>
    <x v="11"/>
    <s v="KOSPI"/>
    <n v="239500"/>
    <n v="12000"/>
    <n v="5.27"/>
    <n v="232000"/>
    <n v="243500"/>
    <n v="231000"/>
    <n v="1723596"/>
    <n v="411413314000"/>
    <n v="230960969"/>
    <n v="55315152075500"/>
  </r>
  <r>
    <s v="셀트리온"/>
    <x v="31"/>
    <n v="68270"/>
    <s v="KR7068270008"/>
    <x v="11"/>
    <s v="KOSPI"/>
    <n v="227500"/>
    <n v="-2500"/>
    <n v="-1.0900000000000001"/>
    <n v="228000"/>
    <n v="231500"/>
    <n v="225000"/>
    <n v="621686"/>
    <n v="141474168750"/>
    <n v="230960969"/>
    <n v="52543620447500"/>
  </r>
  <r>
    <s v="셀트리온"/>
    <x v="32"/>
    <n v="68270"/>
    <s v="KR7068270008"/>
    <x v="11"/>
    <s v="KOSPI"/>
    <n v="230000"/>
    <n v="10000"/>
    <n v="4.55"/>
    <n v="225000"/>
    <n v="234500"/>
    <n v="224500"/>
    <n v="1603024"/>
    <n v="369105797000"/>
    <n v="230960969"/>
    <n v="53121022870000"/>
  </r>
  <r>
    <s v="셀트리온"/>
    <x v="33"/>
    <n v="68270"/>
    <s v="KR7068270008"/>
    <x v="11"/>
    <s v="KOSPI"/>
    <n v="220000"/>
    <n v="2500"/>
    <n v="1.1499999999999999"/>
    <n v="212000"/>
    <n v="220000"/>
    <n v="208000"/>
    <n v="989519"/>
    <n v="213833371500"/>
    <n v="230960969"/>
    <n v="50811413180000"/>
  </r>
  <r>
    <s v="셀트리온"/>
    <x v="34"/>
    <n v="68270"/>
    <s v="KR7068270008"/>
    <x v="11"/>
    <s v="KOSPI"/>
    <n v="217500"/>
    <n v="3000"/>
    <n v="1.4"/>
    <n v="224500"/>
    <n v="226000"/>
    <n v="215000"/>
    <n v="1376434"/>
    <n v="301022736250"/>
    <n v="230960969"/>
    <n v="50234010757500"/>
  </r>
  <r>
    <s v="셀트리온"/>
    <x v="35"/>
    <n v="68270"/>
    <s v="KR7068270008"/>
    <x v="11"/>
    <s v="KOSPI"/>
    <n v="214500"/>
    <n v="7000"/>
    <n v="3.37"/>
    <n v="206500"/>
    <n v="217500"/>
    <n v="206500"/>
    <n v="796142"/>
    <n v="170776862250"/>
    <n v="230960969"/>
    <n v="49541127850500"/>
  </r>
  <r>
    <s v="셀트리온"/>
    <x v="36"/>
    <n v="68270"/>
    <s v="KR7068270008"/>
    <x v="11"/>
    <s v="KOSPI"/>
    <n v="207500"/>
    <n v="4500"/>
    <n v="2.2200000000000002"/>
    <n v="207500"/>
    <n v="208500"/>
    <n v="204000"/>
    <n v="444478"/>
    <n v="91535784250"/>
    <n v="230960969"/>
    <n v="47924401067500"/>
  </r>
  <r>
    <s v="셀트리온"/>
    <x v="37"/>
    <n v="68270"/>
    <s v="KR7068270008"/>
    <x v="11"/>
    <s v="KOSPI"/>
    <n v="203000"/>
    <n v="-7000"/>
    <n v="-3.33"/>
    <n v="207500"/>
    <n v="210000"/>
    <n v="201500"/>
    <n v="671793"/>
    <n v="137915887000"/>
    <n v="230960969"/>
    <n v="46885076707000"/>
  </r>
  <r>
    <s v="셀트리온"/>
    <x v="38"/>
    <n v="68270"/>
    <s v="KR7068270008"/>
    <x v="11"/>
    <s v="KOSPI"/>
    <n v="210000"/>
    <n v="-4500"/>
    <n v="-2.1"/>
    <n v="213000"/>
    <n v="215000"/>
    <n v="210000"/>
    <n v="712855"/>
    <n v="150844209250"/>
    <n v="230960969"/>
    <n v="48501803490000"/>
  </r>
  <r>
    <s v="셀트리온"/>
    <x v="39"/>
    <n v="68270"/>
    <s v="KR7068270008"/>
    <x v="11"/>
    <s v="KOSPI"/>
    <n v="214500"/>
    <n v="-4000"/>
    <n v="-1.83"/>
    <n v="216500"/>
    <n v="217000"/>
    <n v="211500"/>
    <n v="801398"/>
    <n v="171487605750"/>
    <n v="230960969"/>
    <n v="49541127850500"/>
  </r>
  <r>
    <s v="셀트리온"/>
    <x v="40"/>
    <n v="68270"/>
    <s v="KR7068270008"/>
    <x v="11"/>
    <s v="KOSPI"/>
    <n v="218500"/>
    <n v="7000"/>
    <n v="3.31"/>
    <n v="212000"/>
    <n v="222500"/>
    <n v="210500"/>
    <n v="1296733"/>
    <n v="281444903250"/>
    <n v="230960969"/>
    <n v="50464971726500"/>
  </r>
  <r>
    <s v="셀트리온"/>
    <x v="41"/>
    <n v="68270"/>
    <s v="KR7068270008"/>
    <x v="11"/>
    <s v="KOSPI"/>
    <n v="211500"/>
    <n v="-3500"/>
    <n v="-1.63"/>
    <n v="210000"/>
    <n v="212500"/>
    <n v="208500"/>
    <n v="633332"/>
    <n v="133240504250"/>
    <n v="230960969"/>
    <n v="48848244943500"/>
  </r>
  <r>
    <s v="셀트리온"/>
    <x v="42"/>
    <n v="68270"/>
    <s v="KR7068270008"/>
    <x v="11"/>
    <s v="KOSPI"/>
    <n v="215000"/>
    <n v="3000"/>
    <n v="1.42"/>
    <n v="213500"/>
    <n v="217000"/>
    <n v="212000"/>
    <n v="632230"/>
    <n v="135138146000"/>
    <n v="230960969"/>
    <n v="49656608335000"/>
  </r>
  <r>
    <s v="셀트리온"/>
    <x v="43"/>
    <n v="68270"/>
    <s v="KR7068270008"/>
    <x v="11"/>
    <s v="KOSPI"/>
    <n v="212000"/>
    <n v="4000"/>
    <n v="1.92"/>
    <n v="209000"/>
    <n v="213500"/>
    <n v="206500"/>
    <n v="698933"/>
    <n v="147206092000"/>
    <n v="230960969"/>
    <n v="48963725428000"/>
  </r>
  <r>
    <s v="셀트리온"/>
    <x v="44"/>
    <n v="68270"/>
    <s v="KR7068270008"/>
    <x v="11"/>
    <s v="KOSPI"/>
    <n v="208000"/>
    <n v="4000"/>
    <n v="1.96"/>
    <n v="205500"/>
    <n v="210000"/>
    <n v="202500"/>
    <n v="836396"/>
    <n v="173358601000"/>
    <n v="230960969"/>
    <n v="48039881552000"/>
  </r>
  <r>
    <s v="셀트리온"/>
    <x v="45"/>
    <n v="68270"/>
    <s v="KR7068270008"/>
    <x v="11"/>
    <s v="KOSPI"/>
    <n v="204000"/>
    <n v="-3000"/>
    <n v="-1.45"/>
    <n v="202500"/>
    <n v="205000"/>
    <n v="200500"/>
    <n v="653811"/>
    <n v="132577726500"/>
    <n v="230960969"/>
    <n v="47116037676000"/>
  </r>
  <r>
    <s v="셀트리온"/>
    <x v="46"/>
    <n v="68270"/>
    <s v="KR7068270008"/>
    <x v="11"/>
    <s v="KOSPI"/>
    <n v="207000"/>
    <n v="500"/>
    <n v="0.24"/>
    <n v="208500"/>
    <n v="210500"/>
    <n v="207000"/>
    <n v="504308"/>
    <n v="105124246750"/>
    <n v="230960969"/>
    <n v="47808920583000"/>
  </r>
  <r>
    <s v="셀트리온"/>
    <x v="47"/>
    <n v="68270"/>
    <s v="KR7068270008"/>
    <x v="11"/>
    <s v="KOSPI"/>
    <n v="206500"/>
    <n v="-2500"/>
    <n v="-1.2"/>
    <n v="207500"/>
    <n v="209000"/>
    <n v="205500"/>
    <n v="541963"/>
    <n v="112201691250"/>
    <n v="230960969"/>
    <n v="47693440098500"/>
  </r>
  <r>
    <s v="셀트리온"/>
    <x v="48"/>
    <n v="68270"/>
    <s v="KR7068270008"/>
    <x v="11"/>
    <s v="KOSPI"/>
    <n v="209000"/>
    <n v="-1500"/>
    <n v="-0.71"/>
    <n v="210000"/>
    <n v="212750"/>
    <n v="205500"/>
    <n v="667979"/>
    <n v="139409314750"/>
    <n v="230960969"/>
    <n v="48270842521000"/>
  </r>
  <r>
    <s v="셀트리온"/>
    <x v="49"/>
    <n v="68270"/>
    <s v="KR7068270008"/>
    <x v="11"/>
    <s v="KOSPI"/>
    <n v="210500"/>
    <n v="-1000"/>
    <n v="-0.47"/>
    <n v="210500"/>
    <n v="212000"/>
    <n v="208000"/>
    <n v="608017"/>
    <n v="127502172500"/>
    <n v="230960969"/>
    <n v="48617283974500"/>
  </r>
  <r>
    <s v="셀트리온"/>
    <x v="50"/>
    <n v="68270"/>
    <s v="KR7068270008"/>
    <x v="11"/>
    <s v="KOSPI"/>
    <n v="211500"/>
    <n v="-9500"/>
    <n v="-4.3"/>
    <n v="222500"/>
    <n v="222500"/>
    <n v="209000"/>
    <n v="970514"/>
    <n v="207846770750"/>
    <n v="230960969"/>
    <n v="48848244943500"/>
  </r>
  <r>
    <s v="셀트리온"/>
    <x v="51"/>
    <n v="68270"/>
    <s v="KR7068270008"/>
    <x v="11"/>
    <s v="KOSPI"/>
    <n v="221000"/>
    <n v="7000"/>
    <n v="3.27"/>
    <n v="217000"/>
    <n v="221000"/>
    <n v="214500"/>
    <n v="959413"/>
    <n v="209934997750"/>
    <n v="230960969"/>
    <n v="51042374149000"/>
  </r>
  <r>
    <s v="셀트리온"/>
    <x v="52"/>
    <n v="68270"/>
    <s v="KR7068270008"/>
    <x v="11"/>
    <s v="KOSPI"/>
    <n v="214000"/>
    <n v="-3000"/>
    <n v="-1.38"/>
    <n v="220000"/>
    <n v="220000"/>
    <n v="212250"/>
    <n v="692701"/>
    <n v="149055968500"/>
    <n v="230960969"/>
    <n v="49425647366000"/>
  </r>
  <r>
    <s v="셀트리온"/>
    <x v="53"/>
    <n v="68270"/>
    <s v="KR7068270008"/>
    <x v="11"/>
    <s v="KOSPI"/>
    <n v="217000"/>
    <n v="4000"/>
    <n v="1.88"/>
    <n v="212000"/>
    <n v="217000"/>
    <n v="209500"/>
    <n v="775689"/>
    <n v="166034576500"/>
    <n v="230960969"/>
    <n v="50118530273000"/>
  </r>
  <r>
    <s v="셀트리온"/>
    <x v="54"/>
    <n v="68270"/>
    <s v="KR7068270008"/>
    <x v="11"/>
    <s v="KOSPI"/>
    <n v="213000"/>
    <n v="2000"/>
    <n v="0.95"/>
    <n v="215000"/>
    <n v="215500"/>
    <n v="207500"/>
    <n v="967341"/>
    <n v="204451458750"/>
    <n v="230960969"/>
    <n v="49194686397000"/>
  </r>
  <r>
    <s v="셀트리온"/>
    <x v="55"/>
    <n v="68270"/>
    <s v="KR7068270008"/>
    <x v="11"/>
    <s v="KOSPI"/>
    <n v="211000"/>
    <n v="-2000"/>
    <n v="-0.94"/>
    <n v="211000"/>
    <n v="213500"/>
    <n v="202500"/>
    <n v="1303235"/>
    <n v="271463978000"/>
    <n v="230960969"/>
    <n v="48732764459000"/>
  </r>
  <r>
    <s v="셀트리온"/>
    <x v="56"/>
    <n v="68270"/>
    <s v="KR7068270008"/>
    <x v="11"/>
    <s v="KOSPI"/>
    <n v="213000"/>
    <n v="3500"/>
    <n v="1.67"/>
    <n v="208000"/>
    <n v="215500"/>
    <n v="207000"/>
    <n v="1353746"/>
    <n v="287359064250"/>
    <n v="230960969"/>
    <n v="49194686397000"/>
  </r>
  <r>
    <s v="셀트리온"/>
    <x v="57"/>
    <n v="68270"/>
    <s v="KR7068270008"/>
    <x v="11"/>
    <s v="KOSPI"/>
    <n v="209500"/>
    <n v="7000"/>
    <n v="3.46"/>
    <n v="202500"/>
    <n v="212000"/>
    <n v="200500"/>
    <n v="1821440"/>
    <n v="377890852000"/>
    <n v="230960969"/>
    <n v="48386323005500"/>
  </r>
  <r>
    <s v="셀트리온"/>
    <x v="58"/>
    <n v="68270"/>
    <s v="KR7068270008"/>
    <x v="11"/>
    <s v="KOSPI"/>
    <n v="202500"/>
    <n v="21500"/>
    <n v="11.88"/>
    <n v="188800"/>
    <n v="204500"/>
    <n v="188600"/>
    <n v="3440514"/>
    <n v="683910250850"/>
    <n v="230960969"/>
    <n v="46769596222500"/>
  </r>
  <r>
    <s v="삼성생명"/>
    <x v="0"/>
    <n v="32830"/>
    <s v="KR7032830002"/>
    <x v="12"/>
    <s v="KOSPI"/>
    <n v="210500"/>
    <n v="-9000"/>
    <n v="-4.0999999999999996"/>
    <n v="213000"/>
    <n v="217500"/>
    <n v="208000"/>
    <n v="347780"/>
    <n v="73777905250"/>
    <n v="200000000"/>
    <n v="42100000000000"/>
  </r>
  <r>
    <s v="삼성생명"/>
    <x v="1"/>
    <n v="32830"/>
    <s v="KR7032830002"/>
    <x v="12"/>
    <s v="KOSPI"/>
    <n v="219500"/>
    <n v="-3500"/>
    <n v="-1.57"/>
    <n v="209500"/>
    <n v="221000"/>
    <n v="209000"/>
    <n v="286890"/>
    <n v="62337311000"/>
    <n v="200000000"/>
    <n v="43900000000000"/>
  </r>
  <r>
    <s v="삼성생명"/>
    <x v="2"/>
    <n v="32830"/>
    <s v="KR7032830002"/>
    <x v="12"/>
    <s v="KOSPI"/>
    <n v="223000"/>
    <n v="1000"/>
    <n v="0.45"/>
    <n v="218000"/>
    <n v="224500"/>
    <n v="215000"/>
    <n v="310598"/>
    <n v="68418985000"/>
    <n v="200000000"/>
    <n v="44600000000000"/>
  </r>
  <r>
    <s v="삼성생명"/>
    <x v="3"/>
    <n v="32830"/>
    <s v="KR7032830002"/>
    <x v="12"/>
    <s v="KOSPI"/>
    <n v="222000"/>
    <n v="-5500"/>
    <n v="-2.42"/>
    <n v="229000"/>
    <n v="229000"/>
    <n v="220500"/>
    <n v="384833"/>
    <n v="86343248750"/>
    <n v="200000000"/>
    <n v="44400000000000"/>
  </r>
  <r>
    <s v="삼성생명"/>
    <x v="4"/>
    <n v="32830"/>
    <s v="KR7032830002"/>
    <x v="12"/>
    <s v="KOSPI"/>
    <n v="227500"/>
    <n v="5500"/>
    <n v="2.48"/>
    <n v="233000"/>
    <n v="235500"/>
    <n v="226000"/>
    <n v="493421"/>
    <n v="113121622250"/>
    <n v="200000000"/>
    <n v="45500000000000"/>
  </r>
  <r>
    <s v="삼성생명"/>
    <x v="5"/>
    <n v="32830"/>
    <s v="KR7032830002"/>
    <x v="12"/>
    <s v="KOSPI"/>
    <n v="222000"/>
    <n v="4500"/>
    <n v="2.0699999999999998"/>
    <n v="228000"/>
    <n v="228000"/>
    <n v="213000"/>
    <n v="312515"/>
    <n v="69234938000"/>
    <n v="200000000"/>
    <n v="44400000000000"/>
  </r>
  <r>
    <s v="삼성생명"/>
    <x v="6"/>
    <n v="32830"/>
    <s v="KR7032830002"/>
    <x v="12"/>
    <s v="KOSPI"/>
    <n v="217500"/>
    <n v="-14000"/>
    <n v="-6.05"/>
    <n v="225500"/>
    <n v="225500"/>
    <n v="214000"/>
    <n v="481137"/>
    <n v="105334096110"/>
    <n v="200000000"/>
    <n v="43500000000000"/>
  </r>
  <r>
    <s v="삼성생명"/>
    <x v="7"/>
    <n v="32830"/>
    <s v="KR7032830002"/>
    <x v="12"/>
    <s v="KOSPI"/>
    <n v="231500"/>
    <n v="1000"/>
    <n v="0.43"/>
    <n v="232000"/>
    <n v="232000"/>
    <n v="220000"/>
    <n v="569040"/>
    <n v="129140447750"/>
    <n v="200000000"/>
    <n v="46300000000000"/>
  </r>
  <r>
    <s v="삼성생명"/>
    <x v="8"/>
    <n v="32830"/>
    <s v="KR7032830002"/>
    <x v="12"/>
    <s v="KOSPI"/>
    <n v="230500"/>
    <n v="-4500"/>
    <n v="-1.91"/>
    <n v="229500"/>
    <n v="237000"/>
    <n v="227500"/>
    <n v="234935"/>
    <n v="54622940750"/>
    <n v="200000000"/>
    <n v="46100000000000"/>
  </r>
  <r>
    <s v="삼성생명"/>
    <x v="9"/>
    <n v="32830"/>
    <s v="KR7032830002"/>
    <x v="12"/>
    <s v="KOSPI"/>
    <n v="235000"/>
    <n v="18000"/>
    <n v="8.2899999999999991"/>
    <n v="228500"/>
    <n v="245500"/>
    <n v="225000"/>
    <n v="598488"/>
    <n v="143554745500"/>
    <n v="200000000"/>
    <n v="47000000000000"/>
  </r>
  <r>
    <s v="삼성생명"/>
    <x v="10"/>
    <n v="32830"/>
    <s v="KR7032830002"/>
    <x v="12"/>
    <s v="KOSPI"/>
    <n v="217000"/>
    <n v="5000"/>
    <n v="2.36"/>
    <n v="217500"/>
    <n v="221000"/>
    <n v="214000"/>
    <n v="208804"/>
    <n v="45436913090"/>
    <n v="200000000"/>
    <n v="43400000000000"/>
  </r>
  <r>
    <s v="삼성생명"/>
    <x v="11"/>
    <n v="32830"/>
    <s v="KR7032830002"/>
    <x v="12"/>
    <s v="KOSPI"/>
    <n v="212000"/>
    <n v="-4000"/>
    <n v="-1.85"/>
    <n v="213500"/>
    <n v="217500"/>
    <n v="209500"/>
    <n v="236922"/>
    <n v="50510764486"/>
    <n v="200000000"/>
    <n v="42400000000000"/>
  </r>
  <r>
    <s v="삼성생명"/>
    <x v="12"/>
    <n v="32830"/>
    <s v="KR7032830002"/>
    <x v="12"/>
    <s v="KOSPI"/>
    <n v="216000"/>
    <n v="-2500"/>
    <n v="-1.1399999999999999"/>
    <n v="209000"/>
    <n v="219000"/>
    <n v="208500"/>
    <n v="436847"/>
    <n v="94020534650"/>
    <n v="200000000"/>
    <n v="43200000000000"/>
  </r>
  <r>
    <s v="삼성생명"/>
    <x v="13"/>
    <n v="32830"/>
    <s v="KR7032830002"/>
    <x v="12"/>
    <s v="KOSPI"/>
    <n v="218500"/>
    <n v="-8000"/>
    <n v="-3.53"/>
    <n v="226500"/>
    <n v="226500"/>
    <n v="216500"/>
    <n v="526197"/>
    <n v="115250834640"/>
    <n v="200000000"/>
    <n v="43700000000000"/>
  </r>
  <r>
    <s v="삼성생명"/>
    <x v="14"/>
    <n v="32830"/>
    <s v="KR7032830002"/>
    <x v="12"/>
    <s v="KOSPI"/>
    <n v="226500"/>
    <n v="15000"/>
    <n v="7.09"/>
    <n v="223000"/>
    <n v="232000"/>
    <n v="220500"/>
    <n v="520055"/>
    <n v="117659744000"/>
    <n v="200000000"/>
    <n v="45300000000000"/>
  </r>
  <r>
    <s v="삼성생명"/>
    <x v="15"/>
    <n v="32830"/>
    <s v="KR7032830002"/>
    <x v="12"/>
    <s v="KOSPI"/>
    <n v="211500"/>
    <n v="11000"/>
    <n v="5.49"/>
    <n v="213000"/>
    <n v="215000"/>
    <n v="206000"/>
    <n v="255956"/>
    <n v="54001245250"/>
    <n v="200000000"/>
    <n v="42300000000000"/>
  </r>
  <r>
    <s v="삼성생명"/>
    <x v="16"/>
    <n v="32830"/>
    <s v="KR7032830002"/>
    <x v="12"/>
    <s v="KOSPI"/>
    <n v="200500"/>
    <n v="-9500"/>
    <n v="-4.5199999999999996"/>
    <n v="192000"/>
    <n v="200500"/>
    <n v="190500"/>
    <n v="339266"/>
    <n v="66279510950"/>
    <n v="200000000"/>
    <n v="40100000000000"/>
  </r>
  <r>
    <s v="삼성생명"/>
    <x v="17"/>
    <n v="32830"/>
    <s v="KR7032830002"/>
    <x v="12"/>
    <s v="KOSPI"/>
    <n v="210000"/>
    <n v="-4000"/>
    <n v="-1.87"/>
    <n v="203500"/>
    <n v="211750"/>
    <n v="201000"/>
    <n v="353025"/>
    <n v="73267035730"/>
    <n v="200000000"/>
    <n v="42000000000000"/>
  </r>
  <r>
    <s v="삼성생명"/>
    <x v="18"/>
    <n v="32830"/>
    <s v="KR7032830002"/>
    <x v="12"/>
    <s v="KOSPI"/>
    <n v="214000"/>
    <n v="16500"/>
    <n v="8.35"/>
    <n v="212000"/>
    <n v="219500"/>
    <n v="205500"/>
    <n v="542592"/>
    <n v="116209853250"/>
    <n v="200000000"/>
    <n v="42800000000000"/>
  </r>
  <r>
    <s v="삼성생명"/>
    <x v="19"/>
    <n v="32830"/>
    <s v="KR7032830002"/>
    <x v="12"/>
    <s v="KOSPI"/>
    <n v="197500"/>
    <n v="-24000"/>
    <n v="-10.84"/>
    <n v="215000"/>
    <n v="215500"/>
    <n v="196100"/>
    <n v="624203"/>
    <n v="126997805800"/>
    <n v="200000000"/>
    <n v="39500000000000"/>
  </r>
  <r>
    <s v="삼성생명"/>
    <x v="20"/>
    <n v="32830"/>
    <s v="KR7032830002"/>
    <x v="12"/>
    <s v="KOSPI"/>
    <n v="221500"/>
    <n v="-8500"/>
    <n v="-3.7"/>
    <n v="221000"/>
    <n v="236250"/>
    <n v="220000"/>
    <n v="633693"/>
    <n v="143555736000"/>
    <n v="200000000"/>
    <n v="44300000000000"/>
  </r>
  <r>
    <s v="삼성생명"/>
    <x v="21"/>
    <n v="32830"/>
    <s v="KR7032830002"/>
    <x v="12"/>
    <s v="KOSPI"/>
    <n v="230000"/>
    <n v="-9000"/>
    <n v="-3.77"/>
    <n v="240000"/>
    <n v="241000"/>
    <n v="227000"/>
    <n v="672911"/>
    <n v="156015121000"/>
    <n v="200000000"/>
    <n v="46000000000000"/>
  </r>
  <r>
    <s v="삼성생명"/>
    <x v="22"/>
    <n v="32830"/>
    <s v="KR7032830002"/>
    <x v="12"/>
    <s v="KOSPI"/>
    <n v="239000"/>
    <n v="-7000"/>
    <n v="-2.85"/>
    <n v="239000"/>
    <n v="243500"/>
    <n v="232000"/>
    <n v="906126"/>
    <n v="215290259750"/>
    <n v="200000000"/>
    <n v="47800000000000"/>
  </r>
  <r>
    <s v="삼성생명"/>
    <x v="23"/>
    <n v="32830"/>
    <s v="KR7032830002"/>
    <x v="12"/>
    <s v="KOSPI"/>
    <n v="246000"/>
    <n v="22000"/>
    <n v="9.82"/>
    <n v="229500"/>
    <n v="259500"/>
    <n v="224500"/>
    <n v="838515"/>
    <n v="204458127250"/>
    <n v="200000000"/>
    <n v="49200000000000"/>
  </r>
  <r>
    <s v="삼성생명"/>
    <x v="24"/>
    <n v="32830"/>
    <s v="KR7032830002"/>
    <x v="12"/>
    <s v="KOSPI"/>
    <n v="224000"/>
    <n v="-8000"/>
    <n v="-3.45"/>
    <n v="235500"/>
    <n v="235500"/>
    <n v="220000"/>
    <n v="498247"/>
    <n v="111819482250"/>
    <n v="200000000"/>
    <n v="44800000000000"/>
  </r>
  <r>
    <s v="삼성생명"/>
    <x v="25"/>
    <n v="32830"/>
    <s v="KR7032830002"/>
    <x v="12"/>
    <s v="KOSPI"/>
    <n v="232000"/>
    <n v="13000"/>
    <n v="5.94"/>
    <n v="246000"/>
    <n v="252000"/>
    <n v="227000"/>
    <n v="1080275"/>
    <n v="252677158500"/>
    <n v="200000000"/>
    <n v="46400000000000"/>
  </r>
  <r>
    <s v="삼성생명"/>
    <x v="26"/>
    <n v="32830"/>
    <s v="KR7032830002"/>
    <x v="12"/>
    <s v="KOSPI"/>
    <n v="219000"/>
    <n v="10000"/>
    <n v="4.78"/>
    <n v="207500"/>
    <n v="226500"/>
    <n v="207500"/>
    <n v="527945"/>
    <n v="115352726500"/>
    <n v="200000000"/>
    <n v="43800000000000"/>
  </r>
  <r>
    <s v="삼성생명"/>
    <x v="27"/>
    <n v="32830"/>
    <s v="KR7032830002"/>
    <x v="12"/>
    <s v="KOSPI"/>
    <n v="209000"/>
    <n v="3500"/>
    <n v="1.7"/>
    <n v="218000"/>
    <n v="221000"/>
    <n v="206000"/>
    <n v="394865"/>
    <n v="82858470460"/>
    <n v="200000000"/>
    <n v="41800000000000"/>
  </r>
  <r>
    <s v="삼성생명"/>
    <x v="28"/>
    <n v="32830"/>
    <s v="KR7032830002"/>
    <x v="12"/>
    <s v="KOSPI"/>
    <n v="205500"/>
    <n v="500"/>
    <n v="0.24"/>
    <n v="203500"/>
    <n v="214500"/>
    <n v="203500"/>
    <n v="275781"/>
    <n v="57436107750"/>
    <n v="200000000"/>
    <n v="41100000000000"/>
  </r>
  <r>
    <s v="삼성생명"/>
    <x v="29"/>
    <n v="32830"/>
    <s v="KR7032830002"/>
    <x v="12"/>
    <s v="KOSPI"/>
    <n v="205000"/>
    <n v="5000"/>
    <n v="2.5"/>
    <n v="205500"/>
    <n v="207000"/>
    <n v="201000"/>
    <n v="319058"/>
    <n v="65256668500"/>
    <n v="200000000"/>
    <n v="41000000000000"/>
  </r>
  <r>
    <s v="삼성생명"/>
    <x v="30"/>
    <n v="32830"/>
    <s v="KR7032830002"/>
    <x v="12"/>
    <s v="KOSPI"/>
    <n v="200000"/>
    <n v="2300"/>
    <n v="1.1599999999999999"/>
    <n v="200500"/>
    <n v="201500"/>
    <n v="197600"/>
    <n v="248463"/>
    <n v="49669932904"/>
    <n v="200000000"/>
    <n v="40000000000000"/>
  </r>
  <r>
    <s v="삼성생명"/>
    <x v="31"/>
    <n v="32830"/>
    <s v="KR7032830002"/>
    <x v="12"/>
    <s v="KOSPI"/>
    <n v="197700"/>
    <n v="4700"/>
    <n v="2.44"/>
    <n v="200000"/>
    <n v="200500"/>
    <n v="194900"/>
    <n v="347107"/>
    <n v="68901933100"/>
    <n v="200000000"/>
    <n v="39540000000000"/>
  </r>
  <r>
    <s v="삼성생명"/>
    <x v="32"/>
    <n v="32830"/>
    <s v="KR7032830002"/>
    <x v="12"/>
    <s v="KOSPI"/>
    <n v="193000"/>
    <n v="8700"/>
    <n v="4.72"/>
    <n v="192000"/>
    <n v="196100"/>
    <n v="190500"/>
    <n v="324928"/>
    <n v="62753126250"/>
    <n v="200000000"/>
    <n v="38600000000000"/>
  </r>
  <r>
    <s v="삼성생명"/>
    <x v="33"/>
    <n v="32830"/>
    <s v="KR7032830002"/>
    <x v="12"/>
    <s v="KOSPI"/>
    <n v="184300"/>
    <n v="-7400"/>
    <n v="-3.86"/>
    <n v="185100"/>
    <n v="187000"/>
    <n v="180800"/>
    <n v="344188"/>
    <n v="63191639277"/>
    <n v="200000000"/>
    <n v="36860000000000"/>
  </r>
  <r>
    <s v="삼성생명"/>
    <x v="34"/>
    <n v="32830"/>
    <s v="KR7032830002"/>
    <x v="12"/>
    <s v="KOSPI"/>
    <n v="191700"/>
    <n v="-5800"/>
    <n v="-2.94"/>
    <n v="195400"/>
    <n v="203000"/>
    <n v="191000"/>
    <n v="347872"/>
    <n v="67685794012"/>
    <n v="200000000"/>
    <n v="38340000000000"/>
  </r>
  <r>
    <s v="삼성생명"/>
    <x v="35"/>
    <n v="32830"/>
    <s v="KR7032830002"/>
    <x v="12"/>
    <s v="KOSPI"/>
    <n v="197500"/>
    <n v="11200"/>
    <n v="6.01"/>
    <n v="185700"/>
    <n v="199600"/>
    <n v="185100"/>
    <n v="520691"/>
    <n v="100976123800"/>
    <n v="200000000"/>
    <n v="39500000000000"/>
  </r>
  <r>
    <s v="삼성생명"/>
    <x v="36"/>
    <n v="32830"/>
    <s v="KR7032830002"/>
    <x v="12"/>
    <s v="KOSPI"/>
    <n v="186300"/>
    <n v="7300"/>
    <n v="4.08"/>
    <n v="183100"/>
    <n v="186500"/>
    <n v="179100"/>
    <n v="273276"/>
    <n v="50305808850"/>
    <n v="200000000"/>
    <n v="37260000000000"/>
  </r>
  <r>
    <s v="삼성생명"/>
    <x v="37"/>
    <n v="32830"/>
    <s v="KR7032830002"/>
    <x v="12"/>
    <s v="KOSPI"/>
    <n v="179000"/>
    <n v="-9300"/>
    <n v="-4.9400000000000004"/>
    <n v="188000"/>
    <n v="188000"/>
    <n v="177900"/>
    <n v="267951"/>
    <n v="48688971300"/>
    <n v="200000000"/>
    <n v="35800000000000"/>
  </r>
  <r>
    <s v="삼성생명"/>
    <x v="38"/>
    <n v="32830"/>
    <s v="KR7032830002"/>
    <x v="12"/>
    <s v="KOSPI"/>
    <n v="188300"/>
    <n v="-3700"/>
    <n v="-1.93"/>
    <n v="190100"/>
    <n v="193900"/>
    <n v="187300"/>
    <n v="437998"/>
    <n v="82987325800"/>
    <n v="200000000"/>
    <n v="37660000000000"/>
  </r>
  <r>
    <s v="삼성생명"/>
    <x v="39"/>
    <n v="32830"/>
    <s v="KR7032830002"/>
    <x v="12"/>
    <s v="KOSPI"/>
    <n v="192000"/>
    <n v="-200"/>
    <n v="-0.1"/>
    <n v="200000"/>
    <n v="200000"/>
    <n v="189400"/>
    <n v="426793"/>
    <n v="82139143900"/>
    <n v="200000000"/>
    <n v="38400000000000"/>
  </r>
  <r>
    <s v="삼성생명"/>
    <x v="40"/>
    <n v="32830"/>
    <s v="KR7032830002"/>
    <x v="12"/>
    <s v="KOSPI"/>
    <n v="192200"/>
    <n v="5100"/>
    <n v="2.73"/>
    <n v="191100"/>
    <n v="197000"/>
    <n v="189000"/>
    <n v="407899"/>
    <n v="78414767700"/>
    <n v="200000000"/>
    <n v="38440000000000"/>
  </r>
  <r>
    <s v="삼성생명"/>
    <x v="41"/>
    <n v="32830"/>
    <s v="KR7032830002"/>
    <x v="12"/>
    <s v="KOSPI"/>
    <n v="187100"/>
    <n v="4900"/>
    <n v="2.69"/>
    <n v="184300"/>
    <n v="188600"/>
    <n v="182000"/>
    <n v="250715"/>
    <n v="46704319550"/>
    <n v="200000000"/>
    <n v="37420000000000"/>
  </r>
  <r>
    <s v="삼성생명"/>
    <x v="42"/>
    <n v="32830"/>
    <s v="KR7032830002"/>
    <x v="12"/>
    <s v="KOSPI"/>
    <n v="182200"/>
    <n v="-2900"/>
    <n v="-1.57"/>
    <n v="186500"/>
    <n v="189000"/>
    <n v="181700"/>
    <n v="304082"/>
    <n v="55850803640"/>
    <n v="200000000"/>
    <n v="36440000000000"/>
  </r>
  <r>
    <s v="삼성생명"/>
    <x v="43"/>
    <n v="32830"/>
    <s v="KR7032830002"/>
    <x v="12"/>
    <s v="KOSPI"/>
    <n v="185100"/>
    <n v="6300"/>
    <n v="3.52"/>
    <n v="180500"/>
    <n v="185900"/>
    <n v="177000"/>
    <n v="518798"/>
    <n v="95166405340"/>
    <n v="200000000"/>
    <n v="37020000000000"/>
  </r>
  <r>
    <s v="삼성생명"/>
    <x v="44"/>
    <n v="32830"/>
    <s v="KR7032830002"/>
    <x v="12"/>
    <s v="KOSPI"/>
    <n v="178800"/>
    <n v="4100"/>
    <n v="2.35"/>
    <n v="175300"/>
    <n v="182700"/>
    <n v="174700"/>
    <n v="465291"/>
    <n v="83442715100"/>
    <n v="200000000"/>
    <n v="35760000000000"/>
  </r>
  <r>
    <s v="삼성생명"/>
    <x v="45"/>
    <n v="32830"/>
    <s v="KR7032830002"/>
    <x v="12"/>
    <s v="KOSPI"/>
    <n v="174700"/>
    <n v="-500"/>
    <n v="-0.28999999999999998"/>
    <n v="174900"/>
    <n v="175500"/>
    <n v="170400"/>
    <n v="304851"/>
    <n v="52798469150"/>
    <n v="200000000"/>
    <n v="34940000000000"/>
  </r>
  <r>
    <s v="삼성생명"/>
    <x v="46"/>
    <n v="32830"/>
    <s v="KR7032830002"/>
    <x v="12"/>
    <s v="KOSPI"/>
    <n v="175200"/>
    <n v="8200"/>
    <n v="4.91"/>
    <n v="167100"/>
    <n v="177600"/>
    <n v="167000"/>
    <n v="432790"/>
    <n v="75634700550"/>
    <n v="200000000"/>
    <n v="35040000000000"/>
  </r>
  <r>
    <s v="삼성생명"/>
    <x v="47"/>
    <n v="32830"/>
    <s v="KR7032830002"/>
    <x v="12"/>
    <s v="KOSPI"/>
    <n v="167000"/>
    <n v="-3600"/>
    <n v="-2.11"/>
    <n v="166800"/>
    <n v="168400"/>
    <n v="159300"/>
    <n v="359620"/>
    <n v="59711063100"/>
    <n v="200000000"/>
    <n v="33400000000000"/>
  </r>
  <r>
    <s v="삼성생명"/>
    <x v="48"/>
    <n v="32830"/>
    <s v="KR7032830002"/>
    <x v="12"/>
    <s v="KOSPI"/>
    <n v="170600"/>
    <n v="9400"/>
    <n v="5.83"/>
    <n v="162800"/>
    <n v="176900"/>
    <n v="162600"/>
    <n v="625850"/>
    <n v="107167286798"/>
    <n v="200000000"/>
    <n v="34120000000000"/>
  </r>
  <r>
    <s v="삼성생명"/>
    <x v="49"/>
    <n v="32830"/>
    <s v="KR7032830002"/>
    <x v="12"/>
    <s v="KOSPI"/>
    <n v="161200"/>
    <n v="-700"/>
    <n v="-0.43"/>
    <n v="160300"/>
    <n v="162100"/>
    <n v="158600"/>
    <n v="191341"/>
    <n v="30673641150"/>
    <n v="200000000"/>
    <n v="32240000000000"/>
  </r>
  <r>
    <s v="삼성생명"/>
    <x v="50"/>
    <n v="32830"/>
    <s v="KR7032830002"/>
    <x v="12"/>
    <s v="KOSPI"/>
    <n v="161900"/>
    <n v="2800"/>
    <n v="1.76"/>
    <n v="161300"/>
    <n v="163900"/>
    <n v="157300"/>
    <n v="200776"/>
    <n v="32318391650"/>
    <n v="200000000"/>
    <n v="32380000000000"/>
  </r>
  <r>
    <s v="삼성생명"/>
    <x v="51"/>
    <n v="32830"/>
    <s v="KR7032830002"/>
    <x v="12"/>
    <s v="KOSPI"/>
    <n v="159100"/>
    <n v="1000"/>
    <n v="0.63"/>
    <n v="159000"/>
    <n v="160500"/>
    <n v="157500"/>
    <n v="196706"/>
    <n v="31210948000"/>
    <n v="200000000"/>
    <n v="31820000000000"/>
  </r>
  <r>
    <s v="삼성생명"/>
    <x v="52"/>
    <n v="32830"/>
    <s v="KR7032830002"/>
    <x v="12"/>
    <s v="KOSPI"/>
    <n v="158100"/>
    <n v="-1400"/>
    <n v="-0.88"/>
    <n v="160700"/>
    <n v="164100"/>
    <n v="156200"/>
    <n v="214913"/>
    <n v="34016813700"/>
    <n v="200000000"/>
    <n v="31620000000000"/>
  </r>
  <r>
    <s v="삼성생명"/>
    <x v="53"/>
    <n v="32830"/>
    <s v="KR7032830002"/>
    <x v="12"/>
    <s v="KOSPI"/>
    <n v="159500"/>
    <n v="300"/>
    <n v="0.19"/>
    <n v="160300"/>
    <n v="160300"/>
    <n v="157000"/>
    <n v="237528"/>
    <n v="37696332090"/>
    <n v="200000000"/>
    <n v="31900000000000"/>
  </r>
  <r>
    <s v="삼성생명"/>
    <x v="54"/>
    <n v="32830"/>
    <s v="KR7032830002"/>
    <x v="12"/>
    <s v="KOSPI"/>
    <n v="159200"/>
    <n v="-2800"/>
    <n v="-1.73"/>
    <n v="160400"/>
    <n v="161000"/>
    <n v="157300"/>
    <n v="356761"/>
    <n v="56790918850"/>
    <n v="200000000"/>
    <n v="31840000000000"/>
  </r>
  <r>
    <s v="삼성생명"/>
    <x v="55"/>
    <n v="32830"/>
    <s v="KR7032830002"/>
    <x v="12"/>
    <s v="KOSPI"/>
    <n v="162000"/>
    <n v="-3400"/>
    <n v="-2.06"/>
    <n v="166000"/>
    <n v="168400"/>
    <n v="160600"/>
    <n v="239863"/>
    <n v="39070669600"/>
    <n v="200000000"/>
    <n v="32400000000000"/>
  </r>
  <r>
    <s v="삼성생명"/>
    <x v="56"/>
    <n v="32830"/>
    <s v="KR7032830002"/>
    <x v="12"/>
    <s v="KOSPI"/>
    <n v="165400"/>
    <n v="1300"/>
    <n v="0.79"/>
    <n v="163500"/>
    <n v="165400"/>
    <n v="160500"/>
    <n v="170555"/>
    <n v="27968165800"/>
    <n v="200000000"/>
    <n v="33080000000000"/>
  </r>
  <r>
    <s v="삼성생명"/>
    <x v="57"/>
    <n v="32830"/>
    <s v="KR7032830002"/>
    <x v="12"/>
    <s v="KOSPI"/>
    <n v="164100"/>
    <n v="7800"/>
    <n v="4.99"/>
    <n v="156500"/>
    <n v="164500"/>
    <n v="155200"/>
    <n v="427934"/>
    <n v="68582558400"/>
    <n v="200000000"/>
    <n v="32820000000000"/>
  </r>
  <r>
    <s v="삼성생명"/>
    <x v="58"/>
    <n v="32830"/>
    <s v="KR7032830002"/>
    <x v="12"/>
    <s v="KOSPI"/>
    <n v="156300"/>
    <n v="-1300"/>
    <n v="-0.82"/>
    <n v="157400"/>
    <n v="157600"/>
    <n v="151300"/>
    <n v="266320"/>
    <n v="40988502950"/>
    <n v="200000000"/>
    <n v="31260000000000"/>
  </r>
  <r>
    <s v="신한지주"/>
    <x v="0"/>
    <n v="55550"/>
    <s v="KR7055550008"/>
    <x v="13"/>
    <s v="KOSPI"/>
    <n v="87700"/>
    <n v="-2800"/>
    <n v="-3.09"/>
    <n v="89000"/>
    <n v="89600"/>
    <n v="87300"/>
    <n v="1790364"/>
    <n v="157998975850"/>
    <n v="474654361"/>
    <n v="41627187459700"/>
  </r>
  <r>
    <s v="신한지주"/>
    <x v="1"/>
    <n v="55550"/>
    <s v="KR7055550008"/>
    <x v="13"/>
    <s v="KOSPI"/>
    <n v="90500"/>
    <n v="-3000"/>
    <n v="-3.21"/>
    <n v="88400"/>
    <n v="91300"/>
    <n v="87800"/>
    <n v="1084400"/>
    <n v="97768967950"/>
    <n v="474654361"/>
    <n v="42956219670500"/>
  </r>
  <r>
    <s v="신한지주"/>
    <x v="2"/>
    <n v="55550"/>
    <s v="KR7055550008"/>
    <x v="13"/>
    <s v="KOSPI"/>
    <n v="93500"/>
    <n v="100"/>
    <n v="0.11"/>
    <n v="93400"/>
    <n v="93900"/>
    <n v="90000"/>
    <n v="1363436"/>
    <n v="125814683500"/>
    <n v="474654361"/>
    <n v="44380182753500"/>
  </r>
  <r>
    <s v="신한지주"/>
    <x v="3"/>
    <n v="55550"/>
    <s v="KR7055550008"/>
    <x v="13"/>
    <s v="KOSPI"/>
    <n v="93400"/>
    <n v="1300"/>
    <n v="1.41"/>
    <n v="93100"/>
    <n v="94600"/>
    <n v="92200"/>
    <n v="1111630"/>
    <n v="103984509900"/>
    <n v="474654361"/>
    <n v="44332717317400"/>
  </r>
  <r>
    <s v="신한지주"/>
    <x v="4"/>
    <n v="55550"/>
    <s v="KR7055550008"/>
    <x v="13"/>
    <s v="KOSPI"/>
    <n v="92100"/>
    <n v="2100"/>
    <n v="2.33"/>
    <n v="92500"/>
    <n v="94000"/>
    <n v="91800"/>
    <n v="1255340"/>
    <n v="116350947000"/>
    <n v="474654361"/>
    <n v="43715666648100"/>
  </r>
  <r>
    <s v="신한지주"/>
    <x v="5"/>
    <n v="55550"/>
    <s v="KR7055550008"/>
    <x v="13"/>
    <s v="KOSPI"/>
    <n v="90000"/>
    <n v="100"/>
    <n v="0.11"/>
    <n v="91600"/>
    <n v="93600"/>
    <n v="88200"/>
    <n v="1633427"/>
    <n v="146813470050"/>
    <n v="474654361"/>
    <n v="42718892490000"/>
  </r>
  <r>
    <s v="신한지주"/>
    <x v="6"/>
    <n v="55550"/>
    <s v="KR7055550008"/>
    <x v="13"/>
    <s v="KOSPI"/>
    <n v="89900"/>
    <n v="-8000"/>
    <n v="-8.17"/>
    <n v="94000"/>
    <n v="94600"/>
    <n v="89300"/>
    <n v="2083701"/>
    <n v="190422827200"/>
    <n v="474654361"/>
    <n v="42671427053900"/>
  </r>
  <r>
    <s v="신한지주"/>
    <x v="7"/>
    <n v="55550"/>
    <s v="KR7055550008"/>
    <x v="13"/>
    <s v="KOSPI"/>
    <n v="97900"/>
    <n v="1400"/>
    <n v="1.45"/>
    <n v="95900"/>
    <n v="98800"/>
    <n v="95800"/>
    <n v="3167172"/>
    <n v="309309652500"/>
    <n v="474654361"/>
    <n v="46468661941900"/>
  </r>
  <r>
    <s v="신한지주"/>
    <x v="8"/>
    <n v="55550"/>
    <s v="KR7055550008"/>
    <x v="13"/>
    <s v="KOSPI"/>
    <n v="96500"/>
    <n v="1500"/>
    <n v="1.58"/>
    <n v="93000"/>
    <n v="96700"/>
    <n v="92200"/>
    <n v="1262052"/>
    <n v="120173140350"/>
    <n v="474654361"/>
    <n v="45804145836500"/>
  </r>
  <r>
    <s v="신한지주"/>
    <x v="9"/>
    <n v="55550"/>
    <s v="KR7055550008"/>
    <x v="13"/>
    <s v="KOSPI"/>
    <n v="95000"/>
    <n v="3800"/>
    <n v="4.17"/>
    <n v="93800"/>
    <n v="95500"/>
    <n v="92100"/>
    <n v="2543008"/>
    <n v="239347576650"/>
    <n v="474654361"/>
    <n v="45092164295000"/>
  </r>
  <r>
    <s v="신한지주"/>
    <x v="10"/>
    <n v="55550"/>
    <s v="KR7055550008"/>
    <x v="13"/>
    <s v="KOSPI"/>
    <n v="91200"/>
    <n v="1200"/>
    <n v="1.33"/>
    <n v="91200"/>
    <n v="93300"/>
    <n v="90300"/>
    <n v="1304315"/>
    <n v="119163924659"/>
    <n v="474654361"/>
    <n v="43288477723200"/>
  </r>
  <r>
    <s v="신한지주"/>
    <x v="11"/>
    <n v="55550"/>
    <s v="KR7055550008"/>
    <x v="13"/>
    <s v="KOSPI"/>
    <n v="90000"/>
    <n v="-800"/>
    <n v="-0.88"/>
    <n v="89900"/>
    <n v="91200"/>
    <n v="88900"/>
    <n v="1067616"/>
    <n v="96192159950"/>
    <n v="474654361"/>
    <n v="42718892490000"/>
  </r>
  <r>
    <s v="신한지주"/>
    <x v="12"/>
    <n v="55550"/>
    <s v="KR7055550008"/>
    <x v="13"/>
    <s v="KOSPI"/>
    <n v="90800"/>
    <n v="-1100"/>
    <n v="-1.2"/>
    <n v="87300"/>
    <n v="92700"/>
    <n v="87300"/>
    <n v="2446601"/>
    <n v="222424942055"/>
    <n v="474654361"/>
    <n v="43098615978800"/>
  </r>
  <r>
    <s v="신한지주"/>
    <x v="13"/>
    <n v="55550"/>
    <s v="KR7055550008"/>
    <x v="13"/>
    <s v="KOSPI"/>
    <n v="91900"/>
    <n v="800"/>
    <n v="0.88"/>
    <n v="91100"/>
    <n v="92500"/>
    <n v="89900"/>
    <n v="1757642"/>
    <n v="161093745800"/>
    <n v="474654361"/>
    <n v="43620735775900"/>
  </r>
  <r>
    <s v="신한지주"/>
    <x v="14"/>
    <n v="55550"/>
    <s v="KR7055550008"/>
    <x v="13"/>
    <s v="KOSPI"/>
    <n v="91100"/>
    <n v="1900"/>
    <n v="2.13"/>
    <n v="90900"/>
    <n v="94200"/>
    <n v="90300"/>
    <n v="2055895"/>
    <n v="190032181276"/>
    <n v="474654361"/>
    <n v="43241012287100"/>
  </r>
  <r>
    <s v="신한지주"/>
    <x v="15"/>
    <n v="55550"/>
    <s v="KR7055550008"/>
    <x v="13"/>
    <s v="KOSPI"/>
    <n v="89200"/>
    <n v="700"/>
    <n v="0.79"/>
    <n v="90800"/>
    <n v="92700"/>
    <n v="88000"/>
    <n v="1967408"/>
    <n v="176887268618"/>
    <n v="474654361"/>
    <n v="42339169001200"/>
  </r>
  <r>
    <s v="신한지주"/>
    <x v="16"/>
    <n v="55550"/>
    <s v="KR7055550008"/>
    <x v="13"/>
    <s v="KOSPI"/>
    <n v="88500"/>
    <n v="-3300"/>
    <n v="-3.59"/>
    <n v="85700"/>
    <n v="89700"/>
    <n v="83700"/>
    <n v="1991947"/>
    <n v="174732375795"/>
    <n v="474654361"/>
    <n v="42006910948500"/>
  </r>
  <r>
    <s v="신한지주"/>
    <x v="17"/>
    <n v="55550"/>
    <s v="KR7055550008"/>
    <x v="13"/>
    <s v="KOSPI"/>
    <n v="91800"/>
    <n v="-1100"/>
    <n v="-1.18"/>
    <n v="89000"/>
    <n v="91800"/>
    <n v="89000"/>
    <n v="2033531"/>
    <n v="184353231607"/>
    <n v="474654361"/>
    <n v="43573270339800"/>
  </r>
  <r>
    <s v="신한지주"/>
    <x v="18"/>
    <n v="55550"/>
    <s v="KR7055550008"/>
    <x v="13"/>
    <s v="KOSPI"/>
    <n v="92900"/>
    <n v="4100"/>
    <n v="4.62"/>
    <n v="95000"/>
    <n v="96200"/>
    <n v="92100"/>
    <n v="2972109"/>
    <n v="277909334540"/>
    <n v="474654361"/>
    <n v="44095390136900"/>
  </r>
  <r>
    <s v="신한지주"/>
    <x v="19"/>
    <n v="55550"/>
    <s v="KR7055550008"/>
    <x v="13"/>
    <s v="KOSPI"/>
    <n v="88800"/>
    <n v="-7900"/>
    <n v="-8.17"/>
    <n v="94500"/>
    <n v="94600"/>
    <n v="85000"/>
    <n v="3419674"/>
    <n v="307564348662"/>
    <n v="474654361"/>
    <n v="42149307256800"/>
  </r>
  <r>
    <s v="신한지주"/>
    <x v="20"/>
    <n v="55550"/>
    <s v="KR7055550008"/>
    <x v="13"/>
    <s v="KOSPI"/>
    <n v="96700"/>
    <n v="-200"/>
    <n v="-0.21"/>
    <n v="95900"/>
    <n v="98300"/>
    <n v="95200"/>
    <n v="2289926"/>
    <n v="221578237872"/>
    <n v="474654361"/>
    <n v="45899076708700"/>
  </r>
  <r>
    <s v="신한지주"/>
    <x v="21"/>
    <n v="55550"/>
    <s v="KR7055550008"/>
    <x v="13"/>
    <s v="KOSPI"/>
    <n v="96900"/>
    <n v="-3000"/>
    <n v="-3"/>
    <n v="99500"/>
    <n v="99500"/>
    <n v="96400"/>
    <n v="3007690"/>
    <n v="291833336118"/>
    <n v="474654361"/>
    <n v="45994007580900"/>
  </r>
  <r>
    <s v="신한지주"/>
    <x v="22"/>
    <n v="55550"/>
    <s v="KR7055550008"/>
    <x v="13"/>
    <s v="KOSPI"/>
    <n v="99900"/>
    <n v="400"/>
    <n v="0.4"/>
    <n v="99500"/>
    <n v="100400"/>
    <n v="98300"/>
    <n v="2054336"/>
    <n v="204732050514"/>
    <n v="474654361"/>
    <n v="47417970663900"/>
  </r>
  <r>
    <s v="신한지주"/>
    <x v="23"/>
    <n v="55550"/>
    <s v="KR7055550008"/>
    <x v="13"/>
    <s v="KOSPI"/>
    <n v="99500"/>
    <n v="-1400"/>
    <n v="-1.39"/>
    <n v="100300"/>
    <n v="100800"/>
    <n v="98500"/>
    <n v="1873831"/>
    <n v="186717001107"/>
    <n v="485494934"/>
    <n v="48306745933000"/>
  </r>
  <r>
    <s v="신한지주"/>
    <x v="24"/>
    <n v="55550"/>
    <s v="KR7055550008"/>
    <x v="13"/>
    <s v="KOSPI"/>
    <n v="100900"/>
    <n v="-900"/>
    <n v="-0.88"/>
    <n v="103800"/>
    <n v="103800"/>
    <n v="97900"/>
    <n v="1893566"/>
    <n v="189926582800"/>
    <n v="485494934"/>
    <n v="48986438840600"/>
  </r>
  <r>
    <s v="신한지주"/>
    <x v="25"/>
    <n v="55550"/>
    <s v="KR7055550008"/>
    <x v="13"/>
    <s v="KOSPI"/>
    <n v="101800"/>
    <n v="-200"/>
    <n v="-0.2"/>
    <n v="102900"/>
    <n v="102900"/>
    <n v="100900"/>
    <n v="1403896"/>
    <n v="142808589000"/>
    <n v="485494934"/>
    <n v="49423384281200"/>
  </r>
  <r>
    <s v="신한지주"/>
    <x v="26"/>
    <n v="55550"/>
    <s v="KR7055550008"/>
    <x v="13"/>
    <s v="KOSPI"/>
    <n v="102000"/>
    <n v="1700"/>
    <n v="1.69"/>
    <n v="101000"/>
    <n v="102600"/>
    <n v="100200"/>
    <n v="1540884"/>
    <n v="156503430200"/>
    <n v="485494934"/>
    <n v="49520483268000"/>
  </r>
  <r>
    <s v="신한지주"/>
    <x v="27"/>
    <n v="55550"/>
    <s v="KR7055550008"/>
    <x v="13"/>
    <s v="KOSPI"/>
    <n v="100300"/>
    <n v="-2200"/>
    <n v="-2.15"/>
    <n v="102500"/>
    <n v="103400"/>
    <n v="99500"/>
    <n v="2354745"/>
    <n v="237394960900"/>
    <n v="485494934"/>
    <n v="48695141880200"/>
  </r>
  <r>
    <s v="신한지주"/>
    <x v="28"/>
    <n v="55550"/>
    <s v="KR7055550008"/>
    <x v="13"/>
    <s v="KOSPI"/>
    <n v="102500"/>
    <n v="-3500"/>
    <n v="-3.3"/>
    <n v="105200"/>
    <n v="106200"/>
    <n v="102400"/>
    <n v="3014041"/>
    <n v="313596768900"/>
    <n v="485494934"/>
    <n v="49763230735000"/>
  </r>
  <r>
    <s v="신한지주"/>
    <x v="29"/>
    <n v="55550"/>
    <s v="KR7055550008"/>
    <x v="13"/>
    <s v="KOSPI"/>
    <n v="106000"/>
    <n v="5100"/>
    <n v="5.05"/>
    <n v="105600"/>
    <n v="107200"/>
    <n v="101100"/>
    <n v="2276252"/>
    <n v="239084403850"/>
    <n v="485494934"/>
    <n v="51462463004000"/>
  </r>
  <r>
    <s v="신한지주"/>
    <x v="30"/>
    <n v="55550"/>
    <s v="KR7055550008"/>
    <x v="13"/>
    <s v="KOSPI"/>
    <n v="100900"/>
    <n v="3000"/>
    <n v="3.06"/>
    <n v="97800"/>
    <n v="101000"/>
    <n v="97800"/>
    <n v="1648821"/>
    <n v="165130519900"/>
    <n v="485494934"/>
    <n v="48986438840600"/>
  </r>
  <r>
    <s v="신한지주"/>
    <x v="31"/>
    <n v="55550"/>
    <s v="KR7055550008"/>
    <x v="13"/>
    <s v="KOSPI"/>
    <n v="97900"/>
    <n v="4500"/>
    <n v="4.82"/>
    <n v="95700"/>
    <n v="99000"/>
    <n v="94800"/>
    <n v="1501360"/>
    <n v="146509977250"/>
    <n v="485494934"/>
    <n v="47529954038600"/>
  </r>
  <r>
    <s v="신한지주"/>
    <x v="32"/>
    <n v="55550"/>
    <s v="KR7055550008"/>
    <x v="13"/>
    <s v="KOSPI"/>
    <n v="93400"/>
    <n v="-200"/>
    <n v="-0.21"/>
    <n v="96000"/>
    <n v="97000"/>
    <n v="93000"/>
    <n v="1997017"/>
    <n v="188254786838"/>
    <n v="485494934"/>
    <n v="45345226835600"/>
  </r>
  <r>
    <s v="신한지주"/>
    <x v="33"/>
    <n v="55550"/>
    <s v="KR7055550008"/>
    <x v="13"/>
    <s v="KOSPI"/>
    <n v="93600"/>
    <n v="2700"/>
    <n v="2.97"/>
    <n v="90100"/>
    <n v="93600"/>
    <n v="87800"/>
    <n v="2556081"/>
    <n v="234418136500"/>
    <n v="485494934"/>
    <n v="45442325822400"/>
  </r>
  <r>
    <s v="신한지주"/>
    <x v="34"/>
    <n v="55550"/>
    <s v="KR7055550008"/>
    <x v="13"/>
    <s v="KOSPI"/>
    <n v="90900"/>
    <n v="600"/>
    <n v="0.66"/>
    <n v="90300"/>
    <n v="91700"/>
    <n v="88600"/>
    <n v="1254944"/>
    <n v="113094858600"/>
    <n v="485494934"/>
    <n v="44131489500600"/>
  </r>
  <r>
    <s v="신한지주"/>
    <x v="35"/>
    <n v="55550"/>
    <s v="KR7055550008"/>
    <x v="13"/>
    <s v="KOSPI"/>
    <n v="90300"/>
    <n v="2300"/>
    <n v="2.61"/>
    <n v="92000"/>
    <n v="92500"/>
    <n v="87000"/>
    <n v="1845534"/>
    <n v="167155581632"/>
    <n v="485494934"/>
    <n v="43840192540200"/>
  </r>
  <r>
    <s v="신한지주"/>
    <x v="36"/>
    <n v="55550"/>
    <s v="KR7055550008"/>
    <x v="13"/>
    <s v="KOSPI"/>
    <n v="88000"/>
    <n v="5500"/>
    <n v="6.67"/>
    <n v="85500"/>
    <n v="88000"/>
    <n v="85000"/>
    <n v="1479759"/>
    <n v="128748002350"/>
    <n v="485494934"/>
    <n v="42723554192000"/>
  </r>
  <r>
    <s v="신한지주"/>
    <x v="37"/>
    <n v="55550"/>
    <s v="KR7055550008"/>
    <x v="13"/>
    <s v="KOSPI"/>
    <n v="82500"/>
    <n v="-1800"/>
    <n v="-2.14"/>
    <n v="85000"/>
    <n v="88000"/>
    <n v="82000"/>
    <n v="1592537"/>
    <n v="133633706600"/>
    <n v="485494934"/>
    <n v="40053332055000"/>
  </r>
  <r>
    <s v="신한지주"/>
    <x v="38"/>
    <n v="55550"/>
    <s v="KR7055550008"/>
    <x v="13"/>
    <s v="KOSPI"/>
    <n v="84300"/>
    <n v="-800"/>
    <n v="-0.94"/>
    <n v="84800"/>
    <n v="86400"/>
    <n v="83800"/>
    <n v="1651120"/>
    <n v="140195998050"/>
    <n v="485494934"/>
    <n v="40927222936200"/>
  </r>
  <r>
    <s v="신한지주"/>
    <x v="39"/>
    <n v="55550"/>
    <s v="KR7055550008"/>
    <x v="13"/>
    <s v="KOSPI"/>
    <n v="85100"/>
    <n v="1300"/>
    <n v="1.55"/>
    <n v="85800"/>
    <n v="85800"/>
    <n v="83400"/>
    <n v="1386473"/>
    <n v="117629505600"/>
    <n v="485494934"/>
    <n v="41315618883400"/>
  </r>
  <r>
    <s v="신한지주"/>
    <x v="40"/>
    <n v="55550"/>
    <s v="KR7055550008"/>
    <x v="13"/>
    <s v="KOSPI"/>
    <n v="83800"/>
    <n v="-2300"/>
    <n v="-2.67"/>
    <n v="84900"/>
    <n v="87000"/>
    <n v="83600"/>
    <n v="1383211"/>
    <n v="117247106050"/>
    <n v="485494934"/>
    <n v="40684475469200"/>
  </r>
  <r>
    <s v="신한지주"/>
    <x v="41"/>
    <n v="55550"/>
    <s v="KR7055550008"/>
    <x v="13"/>
    <s v="KOSPI"/>
    <n v="86100"/>
    <n v="3700"/>
    <n v="4.49"/>
    <n v="82700"/>
    <n v="86500"/>
    <n v="82500"/>
    <n v="1650498"/>
    <n v="140805100550"/>
    <n v="485494934"/>
    <n v="41801113817400"/>
  </r>
  <r>
    <s v="신한지주"/>
    <x v="42"/>
    <n v="55550"/>
    <s v="KR7055550008"/>
    <x v="13"/>
    <s v="KOSPI"/>
    <n v="82400"/>
    <n v="-1500"/>
    <n v="-1.79"/>
    <n v="83900"/>
    <n v="84500"/>
    <n v="82400"/>
    <n v="1238425"/>
    <n v="103334003450"/>
    <n v="485494934"/>
    <n v="40004782561600"/>
  </r>
  <r>
    <s v="신한지주"/>
    <x v="43"/>
    <n v="55550"/>
    <s v="KR7055550008"/>
    <x v="13"/>
    <s v="KOSPI"/>
    <n v="83900"/>
    <n v="1000"/>
    <n v="1.21"/>
    <n v="83000"/>
    <n v="83900"/>
    <n v="81800"/>
    <n v="1652599"/>
    <n v="137406453250"/>
    <n v="485494934"/>
    <n v="40733024962600"/>
  </r>
  <r>
    <s v="신한지주"/>
    <x v="44"/>
    <n v="55550"/>
    <s v="KR7055550008"/>
    <x v="13"/>
    <s v="KOSPI"/>
    <n v="82900"/>
    <n v="1700"/>
    <n v="2.09"/>
    <n v="81700"/>
    <n v="83500"/>
    <n v="81000"/>
    <n v="1661244"/>
    <n v="136860241450"/>
    <n v="485494934"/>
    <n v="40247530028600"/>
  </r>
  <r>
    <s v="신한지주"/>
    <x v="45"/>
    <n v="55550"/>
    <s v="KR7055550008"/>
    <x v="13"/>
    <s v="KOSPI"/>
    <n v="81200"/>
    <n v="-700"/>
    <n v="-0.85"/>
    <n v="82300"/>
    <n v="82300"/>
    <n v="80000"/>
    <n v="1201441"/>
    <n v="97262762908"/>
    <n v="485494934"/>
    <n v="39422188640800"/>
  </r>
  <r>
    <s v="신한지주"/>
    <x v="46"/>
    <n v="55550"/>
    <s v="KR7055550008"/>
    <x v="13"/>
    <s v="KOSPI"/>
    <n v="81900"/>
    <n v="2200"/>
    <n v="2.76"/>
    <n v="78900"/>
    <n v="82400"/>
    <n v="78800"/>
    <n v="1709340"/>
    <n v="139108623600"/>
    <n v="485494934"/>
    <n v="39762035094600"/>
  </r>
  <r>
    <s v="신한지주"/>
    <x v="47"/>
    <n v="55550"/>
    <s v="KR7055550008"/>
    <x v="13"/>
    <s v="KOSPI"/>
    <n v="79700"/>
    <n v="500"/>
    <n v="0.63"/>
    <n v="78700"/>
    <n v="80400"/>
    <n v="78000"/>
    <n v="970849"/>
    <n v="77289404800"/>
    <n v="485494934"/>
    <n v="38693946239800"/>
  </r>
  <r>
    <s v="신한지주"/>
    <x v="48"/>
    <n v="55550"/>
    <s v="KR7055550008"/>
    <x v="13"/>
    <s v="KOSPI"/>
    <n v="79200"/>
    <n v="-200"/>
    <n v="-0.25"/>
    <n v="79600"/>
    <n v="79800"/>
    <n v="78700"/>
    <n v="1049256"/>
    <n v="83183865450"/>
    <n v="485494934"/>
    <n v="38451198772800"/>
  </r>
  <r>
    <s v="신한지주"/>
    <x v="49"/>
    <n v="55550"/>
    <s v="KR7055550008"/>
    <x v="13"/>
    <s v="KOSPI"/>
    <n v="79400"/>
    <n v="-500"/>
    <n v="-0.63"/>
    <n v="80000"/>
    <n v="80800"/>
    <n v="78600"/>
    <n v="1160986"/>
    <n v="92160670400"/>
    <n v="485494934"/>
    <n v="38548297759600"/>
  </r>
  <r>
    <s v="신한지주"/>
    <x v="50"/>
    <n v="55550"/>
    <s v="KR7055550008"/>
    <x v="13"/>
    <s v="KOSPI"/>
    <n v="79900"/>
    <n v="1500"/>
    <n v="1.91"/>
    <n v="78400"/>
    <n v="80000"/>
    <n v="78100"/>
    <n v="1006405"/>
    <n v="79826157550"/>
    <n v="485494934"/>
    <n v="38791045226600"/>
  </r>
  <r>
    <s v="신한지주"/>
    <x v="51"/>
    <n v="55550"/>
    <s v="KR7055550008"/>
    <x v="13"/>
    <s v="KOSPI"/>
    <n v="78400"/>
    <n v="200"/>
    <n v="0.26"/>
    <n v="78100"/>
    <n v="78500"/>
    <n v="76700"/>
    <n v="1153880"/>
    <n v="89762225500"/>
    <n v="485494934"/>
    <n v="38062802825600"/>
  </r>
  <r>
    <s v="신한지주"/>
    <x v="52"/>
    <n v="55550"/>
    <s v="KR7055550008"/>
    <x v="13"/>
    <s v="KOSPI"/>
    <n v="78200"/>
    <n v="400"/>
    <n v="0.51"/>
    <n v="78500"/>
    <n v="78600"/>
    <n v="77200"/>
    <n v="1099821"/>
    <n v="85634837522"/>
    <n v="485494934"/>
    <n v="37965703838800"/>
  </r>
  <r>
    <s v="신한지주"/>
    <x v="53"/>
    <n v="55550"/>
    <s v="KR7055550008"/>
    <x v="13"/>
    <s v="KOSPI"/>
    <n v="77800"/>
    <n v="300"/>
    <n v="0.39"/>
    <n v="78000"/>
    <n v="78800"/>
    <n v="77500"/>
    <n v="1054964"/>
    <n v="82527492400"/>
    <n v="485494934"/>
    <n v="37771505865200"/>
  </r>
  <r>
    <s v="신한지주"/>
    <x v="54"/>
    <n v="55550"/>
    <s v="KR7055550008"/>
    <x v="13"/>
    <s v="KOSPI"/>
    <n v="77500"/>
    <n v="-1500"/>
    <n v="-1.9"/>
    <n v="78900"/>
    <n v="78900"/>
    <n v="76900"/>
    <n v="1076940"/>
    <n v="83667413750"/>
    <n v="485494934"/>
    <n v="37625857385000"/>
  </r>
  <r>
    <s v="신한지주"/>
    <x v="55"/>
    <n v="55550"/>
    <s v="KR7055550008"/>
    <x v="13"/>
    <s v="KOSPI"/>
    <n v="79000"/>
    <n v="-1500"/>
    <n v="-1.86"/>
    <n v="79200"/>
    <n v="80200"/>
    <n v="78000"/>
    <n v="1137444"/>
    <n v="89584364343"/>
    <n v="485494934"/>
    <n v="38354099786000"/>
  </r>
  <r>
    <s v="신한지주"/>
    <x v="56"/>
    <n v="55550"/>
    <s v="KR7055550008"/>
    <x v="13"/>
    <s v="KOSPI"/>
    <n v="80500"/>
    <n v="1400"/>
    <n v="1.77"/>
    <n v="79600"/>
    <n v="80900"/>
    <n v="79200"/>
    <n v="1225397"/>
    <n v="98411049900"/>
    <n v="485494934"/>
    <n v="39082342187000"/>
  </r>
  <r>
    <s v="신한지주"/>
    <x v="57"/>
    <n v="55550"/>
    <s v="KR7055550008"/>
    <x v="13"/>
    <s v="KOSPI"/>
    <n v="79100"/>
    <n v="2500"/>
    <n v="3.26"/>
    <n v="77000"/>
    <n v="79300"/>
    <n v="76600"/>
    <n v="1031715"/>
    <n v="80910967100"/>
    <n v="485494934"/>
    <n v="38402649279400"/>
  </r>
  <r>
    <s v="신한지주"/>
    <x v="58"/>
    <n v="55550"/>
    <s v="KR7055550008"/>
    <x v="13"/>
    <s v="KOSPI"/>
    <n v="76600"/>
    <n v="-300"/>
    <n v="-0.39"/>
    <n v="76600"/>
    <n v="77100"/>
    <n v="76000"/>
    <n v="640114"/>
    <n v="49067237650"/>
    <n v="485494934"/>
    <n v="37188911944400"/>
  </r>
  <r>
    <s v="삼성물산"/>
    <x v="0"/>
    <n v="28260"/>
    <s v="KR7028260008"/>
    <x v="14"/>
    <s v="KOSPI"/>
    <n v="253500"/>
    <n v="-6000"/>
    <n v="-2.31"/>
    <n v="251000"/>
    <n v="260000"/>
    <n v="245500"/>
    <n v="616965"/>
    <n v="156611472500"/>
    <n v="162168981"/>
    <n v="41109836683500"/>
  </r>
  <r>
    <s v="삼성물산"/>
    <x v="1"/>
    <n v="28260"/>
    <s v="KR7028260008"/>
    <x v="14"/>
    <s v="KOSPI"/>
    <n v="259500"/>
    <n v="-9500"/>
    <n v="-3.53"/>
    <n v="248500"/>
    <n v="262500"/>
    <n v="247500"/>
    <n v="583936"/>
    <n v="150787644250"/>
    <n v="169976544"/>
    <n v="44108913168000"/>
  </r>
  <r>
    <s v="삼성물산"/>
    <x v="2"/>
    <n v="28260"/>
    <s v="KR7028260008"/>
    <x v="14"/>
    <s v="KOSPI"/>
    <n v="269000"/>
    <n v="-9000"/>
    <n v="-3.24"/>
    <n v="267500"/>
    <n v="270500"/>
    <n v="258000"/>
    <n v="683519"/>
    <n v="181003086500"/>
    <n v="169976544"/>
    <n v="45723690336000"/>
  </r>
  <r>
    <s v="삼성물산"/>
    <x v="3"/>
    <n v="28260"/>
    <s v="KR7028260008"/>
    <x v="14"/>
    <s v="KOSPI"/>
    <n v="278000"/>
    <n v="-11000"/>
    <n v="-3.81"/>
    <n v="289000"/>
    <n v="294000"/>
    <n v="273000"/>
    <n v="357316"/>
    <n v="100126967250"/>
    <n v="169976544"/>
    <n v="47253479232000"/>
  </r>
  <r>
    <s v="삼성물산"/>
    <x v="4"/>
    <n v="28260"/>
    <s v="KR7028260008"/>
    <x v="14"/>
    <s v="KOSPI"/>
    <n v="289000"/>
    <n v="7500"/>
    <n v="2.66"/>
    <n v="290000"/>
    <n v="291000"/>
    <n v="281500"/>
    <n v="367791"/>
    <n v="105754739000"/>
    <n v="169976544"/>
    <n v="49123221216000"/>
  </r>
  <r>
    <s v="삼성물산"/>
    <x v="5"/>
    <n v="28260"/>
    <s v="KR7028260008"/>
    <x v="14"/>
    <s v="KOSPI"/>
    <n v="281500"/>
    <n v="7000"/>
    <n v="2.5499999999999998"/>
    <n v="288000"/>
    <n v="289000"/>
    <n v="270500"/>
    <n v="340184"/>
    <n v="94902678778"/>
    <n v="169976544"/>
    <n v="47848397136000"/>
  </r>
  <r>
    <s v="삼성물산"/>
    <x v="6"/>
    <n v="28260"/>
    <s v="KR7028260008"/>
    <x v="14"/>
    <s v="KOSPI"/>
    <n v="274500"/>
    <n v="-23000"/>
    <n v="-7.73"/>
    <n v="286500"/>
    <n v="289000"/>
    <n v="271000"/>
    <n v="387487"/>
    <n v="107587282000"/>
    <n v="169976544"/>
    <n v="46658561328000"/>
  </r>
  <r>
    <s v="삼성물산"/>
    <x v="7"/>
    <n v="28260"/>
    <s v="KR7028260008"/>
    <x v="14"/>
    <s v="KOSPI"/>
    <n v="297500"/>
    <n v="6500"/>
    <n v="2.23"/>
    <n v="297000"/>
    <n v="305000"/>
    <n v="294000"/>
    <n v="626346"/>
    <n v="187265945000"/>
    <n v="169976544"/>
    <n v="50568021840000"/>
  </r>
  <r>
    <s v="삼성물산"/>
    <x v="8"/>
    <n v="28260"/>
    <s v="KR7028260008"/>
    <x v="14"/>
    <s v="KOSPI"/>
    <n v="291000"/>
    <n v="-8000"/>
    <n v="-2.68"/>
    <n v="289000"/>
    <n v="296500"/>
    <n v="288500"/>
    <n v="233252"/>
    <n v="68148976500"/>
    <n v="169976544"/>
    <n v="49463174304000"/>
  </r>
  <r>
    <s v="삼성물산"/>
    <x v="9"/>
    <n v="28260"/>
    <s v="KR7028260008"/>
    <x v="14"/>
    <s v="KOSPI"/>
    <n v="299000"/>
    <n v="19500"/>
    <n v="6.98"/>
    <n v="290500"/>
    <n v="304500"/>
    <n v="282000"/>
    <n v="524546"/>
    <n v="156920252500"/>
    <n v="169976544"/>
    <n v="50822986656000"/>
  </r>
  <r>
    <s v="삼성물산"/>
    <x v="10"/>
    <n v="28260"/>
    <s v="KR7028260008"/>
    <x v="14"/>
    <s v="KOSPI"/>
    <n v="279500"/>
    <n v="1000"/>
    <n v="0.36"/>
    <n v="283500"/>
    <n v="288500"/>
    <n v="279000"/>
    <n v="288986"/>
    <n v="81665866750"/>
    <n v="169976544"/>
    <n v="47508444048000"/>
  </r>
  <r>
    <s v="삼성물산"/>
    <x v="11"/>
    <n v="28260"/>
    <s v="KR7028260008"/>
    <x v="14"/>
    <s v="KOSPI"/>
    <n v="278500"/>
    <n v="-2000"/>
    <n v="-0.71"/>
    <n v="279000"/>
    <n v="285000"/>
    <n v="273500"/>
    <n v="315465"/>
    <n v="88042046750"/>
    <n v="169976544"/>
    <n v="47338467504000"/>
  </r>
  <r>
    <s v="삼성물산"/>
    <x v="12"/>
    <n v="28260"/>
    <s v="KR7028260008"/>
    <x v="14"/>
    <s v="KOSPI"/>
    <n v="280500"/>
    <n v="0"/>
    <n v="0"/>
    <n v="269000"/>
    <n v="284000"/>
    <n v="266500"/>
    <n v="310180"/>
    <n v="86534172500"/>
    <n v="169976544"/>
    <n v="47678420592000"/>
  </r>
  <r>
    <s v="삼성물산"/>
    <x v="13"/>
    <n v="28260"/>
    <s v="KR7028260008"/>
    <x v="14"/>
    <s v="KOSPI"/>
    <n v="280500"/>
    <n v="-3000"/>
    <n v="-1.06"/>
    <n v="283000"/>
    <n v="287500"/>
    <n v="277000"/>
    <n v="271092"/>
    <n v="76146665000"/>
    <n v="169976544"/>
    <n v="47678420592000"/>
  </r>
  <r>
    <s v="삼성물산"/>
    <x v="14"/>
    <n v="28260"/>
    <s v="KR7028260008"/>
    <x v="14"/>
    <s v="KOSPI"/>
    <n v="283500"/>
    <n v="10500"/>
    <n v="3.85"/>
    <n v="282000"/>
    <n v="295500"/>
    <n v="278000"/>
    <n v="427416"/>
    <n v="122814532250"/>
    <n v="169976544"/>
    <n v="48188350224000"/>
  </r>
  <r>
    <s v="삼성물산"/>
    <x v="15"/>
    <n v="28260"/>
    <s v="KR7028260008"/>
    <x v="14"/>
    <s v="KOSPI"/>
    <n v="273000"/>
    <n v="2500"/>
    <n v="0.92"/>
    <n v="286000"/>
    <n v="286000"/>
    <n v="267000"/>
    <n v="493211"/>
    <n v="135126132000"/>
    <n v="169976544"/>
    <n v="46403596512000"/>
  </r>
  <r>
    <s v="삼성물산"/>
    <x v="16"/>
    <n v="28260"/>
    <s v="KR7028260008"/>
    <x v="14"/>
    <s v="KOSPI"/>
    <n v="270500"/>
    <n v="-13000"/>
    <n v="-4.59"/>
    <n v="258000"/>
    <n v="271000"/>
    <n v="253500"/>
    <n v="423716"/>
    <n v="110948557250"/>
    <n v="169976544"/>
    <n v="45978655152000"/>
  </r>
  <r>
    <s v="삼성물산"/>
    <x v="17"/>
    <n v="28260"/>
    <s v="KR7028260008"/>
    <x v="14"/>
    <s v="KOSPI"/>
    <n v="283500"/>
    <n v="-9500"/>
    <n v="-3.24"/>
    <n v="281000"/>
    <n v="290500"/>
    <n v="276500"/>
    <n v="504797"/>
    <n v="141991565750"/>
    <n v="169976544"/>
    <n v="48188350224000"/>
  </r>
  <r>
    <s v="삼성물산"/>
    <x v="18"/>
    <n v="28260"/>
    <s v="KR7028260008"/>
    <x v="14"/>
    <s v="KOSPI"/>
    <n v="293000"/>
    <n v="21000"/>
    <n v="7.72"/>
    <n v="294500"/>
    <n v="299000"/>
    <n v="287000"/>
    <n v="644944"/>
    <n v="189892758301"/>
    <n v="169976544"/>
    <n v="49803127392000"/>
  </r>
  <r>
    <s v="삼성물산"/>
    <x v="19"/>
    <n v="28260"/>
    <s v="KR7028260008"/>
    <x v="14"/>
    <s v="KOSPI"/>
    <n v="272000"/>
    <n v="-45000"/>
    <n v="-14.2"/>
    <n v="300000"/>
    <n v="304000"/>
    <n v="264500"/>
    <n v="993497"/>
    <n v="278116838250"/>
    <n v="169976544"/>
    <n v="46233619968000"/>
  </r>
  <r>
    <s v="삼성물산"/>
    <x v="20"/>
    <n v="28260"/>
    <s v="KR7028260008"/>
    <x v="14"/>
    <s v="KOSPI"/>
    <n v="317000"/>
    <n v="-33500"/>
    <n v="-9.56"/>
    <n v="327500"/>
    <n v="340000"/>
    <n v="317000"/>
    <n v="720785"/>
    <n v="236407539000"/>
    <n v="169976544"/>
    <n v="53882564448000"/>
  </r>
  <r>
    <s v="삼성물산"/>
    <x v="21"/>
    <n v="28260"/>
    <s v="KR7028260008"/>
    <x v="14"/>
    <s v="KOSPI"/>
    <n v="350500"/>
    <n v="-9500"/>
    <n v="-2.64"/>
    <n v="352500"/>
    <n v="354500"/>
    <n v="345000"/>
    <n v="677648"/>
    <n v="237494418000"/>
    <n v="169976544"/>
    <n v="59576778672000"/>
  </r>
  <r>
    <s v="삼성물산"/>
    <x v="22"/>
    <n v="28260"/>
    <s v="KR7028260008"/>
    <x v="14"/>
    <s v="KOSPI"/>
    <n v="360000"/>
    <n v="13000"/>
    <n v="3.75"/>
    <n v="347500"/>
    <n v="364000"/>
    <n v="347500"/>
    <n v="626910"/>
    <n v="223991836226"/>
    <n v="169976544"/>
    <n v="61191555840000"/>
  </r>
  <r>
    <s v="삼성물산"/>
    <x v="23"/>
    <n v="28260"/>
    <s v="KR7028260008"/>
    <x v="14"/>
    <s v="KOSPI"/>
    <n v="347000"/>
    <n v="9000"/>
    <n v="2.66"/>
    <n v="342000"/>
    <n v="351000"/>
    <n v="336000"/>
    <n v="550441"/>
    <n v="189286512500"/>
    <n v="169976544"/>
    <n v="58981860768000"/>
  </r>
  <r>
    <s v="삼성물산"/>
    <x v="24"/>
    <n v="28260"/>
    <s v="KR7028260008"/>
    <x v="14"/>
    <s v="KOSPI"/>
    <n v="338000"/>
    <n v="6000"/>
    <n v="1.81"/>
    <n v="335500"/>
    <n v="340000"/>
    <n v="328000"/>
    <n v="418201"/>
    <n v="140297358750"/>
    <n v="169976544"/>
    <n v="57452071872000"/>
  </r>
  <r>
    <s v="삼성물산"/>
    <x v="25"/>
    <n v="28260"/>
    <s v="KR7028260008"/>
    <x v="14"/>
    <s v="KOSPI"/>
    <n v="332000"/>
    <n v="1000"/>
    <n v="0.3"/>
    <n v="340000"/>
    <n v="344500"/>
    <n v="327000"/>
    <n v="426850"/>
    <n v="141840960500"/>
    <n v="169976544"/>
    <n v="56432212608000"/>
  </r>
  <r>
    <s v="삼성물산"/>
    <x v="26"/>
    <n v="28260"/>
    <s v="KR7028260008"/>
    <x v="14"/>
    <s v="KOSPI"/>
    <n v="331000"/>
    <n v="11500"/>
    <n v="3.6"/>
    <n v="321500"/>
    <n v="331500"/>
    <n v="319500"/>
    <n v="512739"/>
    <n v="167971803000"/>
    <n v="169976544"/>
    <n v="56262236064000"/>
  </r>
  <r>
    <s v="삼성물산"/>
    <x v="27"/>
    <n v="28260"/>
    <s v="KR7028260008"/>
    <x v="14"/>
    <s v="KOSPI"/>
    <n v="319500"/>
    <n v="1500"/>
    <n v="0.47"/>
    <n v="330000"/>
    <n v="337500"/>
    <n v="315500"/>
    <n v="507208"/>
    <n v="163381634750"/>
    <n v="169976544"/>
    <n v="54307505808000"/>
  </r>
  <r>
    <s v="삼성물산"/>
    <x v="28"/>
    <n v="28260"/>
    <s v="KR7028260008"/>
    <x v="14"/>
    <s v="KOSPI"/>
    <n v="318000"/>
    <n v="-16000"/>
    <n v="-4.79"/>
    <n v="328500"/>
    <n v="333000"/>
    <n v="316000"/>
    <n v="564408"/>
    <n v="182236024500"/>
    <n v="169976544"/>
    <n v="54052540992000"/>
  </r>
  <r>
    <s v="삼성물산"/>
    <x v="29"/>
    <n v="28260"/>
    <s v="KR7028260008"/>
    <x v="14"/>
    <s v="KOSPI"/>
    <n v="334000"/>
    <n v="17500"/>
    <n v="5.53"/>
    <n v="317000"/>
    <n v="334000"/>
    <n v="312000"/>
    <n v="577338"/>
    <n v="187342987250"/>
    <n v="169976544"/>
    <n v="56772165696000"/>
  </r>
  <r>
    <s v="삼성물산"/>
    <x v="30"/>
    <n v="28260"/>
    <s v="KR7028260008"/>
    <x v="14"/>
    <s v="KOSPI"/>
    <n v="316500"/>
    <n v="-500"/>
    <n v="-0.16"/>
    <n v="319000"/>
    <n v="319000"/>
    <n v="312000"/>
    <n v="331350"/>
    <n v="104484575046"/>
    <n v="169976544"/>
    <n v="53797576176000"/>
  </r>
  <r>
    <s v="삼성물산"/>
    <x v="31"/>
    <n v="28260"/>
    <s v="KR7028260008"/>
    <x v="14"/>
    <s v="KOSPI"/>
    <n v="317000"/>
    <n v="4500"/>
    <n v="1.44"/>
    <n v="320000"/>
    <n v="320000"/>
    <n v="310000"/>
    <n v="336750"/>
    <n v="106053925323"/>
    <n v="169976544"/>
    <n v="53882564448000"/>
  </r>
  <r>
    <s v="삼성물산"/>
    <x v="32"/>
    <n v="28260"/>
    <s v="KR7028260008"/>
    <x v="14"/>
    <s v="KOSPI"/>
    <n v="312500"/>
    <n v="23000"/>
    <n v="7.94"/>
    <n v="310000"/>
    <n v="314500"/>
    <n v="302000"/>
    <n v="576983"/>
    <n v="177885582389"/>
    <n v="169976544"/>
    <n v="53117670000000"/>
  </r>
  <r>
    <s v="삼성물산"/>
    <x v="33"/>
    <n v="28260"/>
    <s v="KR7028260008"/>
    <x v="14"/>
    <s v="KOSPI"/>
    <n v="289500"/>
    <n v="-16500"/>
    <n v="-5.39"/>
    <n v="298500"/>
    <n v="298500"/>
    <n v="276500"/>
    <n v="779733"/>
    <n v="223213010500"/>
    <n v="169976544"/>
    <n v="49208209488000"/>
  </r>
  <r>
    <s v="삼성물산"/>
    <x v="34"/>
    <n v="28260"/>
    <s v="KR7028260008"/>
    <x v="14"/>
    <s v="KOSPI"/>
    <n v="306000"/>
    <n v="-10500"/>
    <n v="-3.32"/>
    <n v="308500"/>
    <n v="318000"/>
    <n v="301000"/>
    <n v="453918"/>
    <n v="139088134250"/>
    <n v="169976544"/>
    <n v="52012822464000"/>
  </r>
  <r>
    <s v="삼성물산"/>
    <x v="35"/>
    <n v="28260"/>
    <s v="KR7028260008"/>
    <x v="14"/>
    <s v="KOSPI"/>
    <n v="316500"/>
    <n v="1500"/>
    <n v="0.48"/>
    <n v="315000"/>
    <n v="322500"/>
    <n v="313000"/>
    <n v="329642"/>
    <n v="104440164250"/>
    <n v="169976544"/>
    <n v="53797576176000"/>
  </r>
  <r>
    <s v="삼성물산"/>
    <x v="36"/>
    <n v="28260"/>
    <s v="KR7028260008"/>
    <x v="14"/>
    <s v="KOSPI"/>
    <n v="315000"/>
    <n v="24000"/>
    <n v="8.25"/>
    <n v="300500"/>
    <n v="315000"/>
    <n v="300500"/>
    <n v="352121"/>
    <n v="108699570500"/>
    <n v="169976544"/>
    <n v="53542611360000"/>
  </r>
  <r>
    <s v="삼성물산"/>
    <x v="37"/>
    <n v="28260"/>
    <s v="KR7028260008"/>
    <x v="14"/>
    <s v="KOSPI"/>
    <n v="291000"/>
    <n v="-10500"/>
    <n v="-3.48"/>
    <n v="300500"/>
    <n v="308000"/>
    <n v="288000"/>
    <n v="397457"/>
    <n v="117045523500"/>
    <n v="169976544"/>
    <n v="49463174304000"/>
  </r>
  <r>
    <s v="삼성물산"/>
    <x v="38"/>
    <n v="28260"/>
    <s v="KR7028260008"/>
    <x v="14"/>
    <s v="KOSPI"/>
    <n v="301500"/>
    <n v="-1500"/>
    <n v="-0.5"/>
    <n v="297500"/>
    <n v="306500"/>
    <n v="292500"/>
    <n v="514418"/>
    <n v="155156514250"/>
    <n v="169976544"/>
    <n v="51247928016000"/>
  </r>
  <r>
    <s v="삼성물산"/>
    <x v="39"/>
    <n v="28260"/>
    <s v="KR7028260008"/>
    <x v="14"/>
    <s v="KOSPI"/>
    <n v="303000"/>
    <n v="1000"/>
    <n v="0.33"/>
    <n v="304500"/>
    <n v="309000"/>
    <n v="293500"/>
    <n v="435669"/>
    <n v="131071891156"/>
    <n v="169976544"/>
    <n v="51502892832000"/>
  </r>
  <r>
    <s v="삼성물산"/>
    <x v="40"/>
    <n v="28260"/>
    <s v="KR7028260008"/>
    <x v="14"/>
    <s v="KOSPI"/>
    <n v="302000"/>
    <n v="4000"/>
    <n v="1.34"/>
    <n v="298500"/>
    <n v="306500"/>
    <n v="296000"/>
    <n v="370055"/>
    <n v="111696364250"/>
    <n v="169976544"/>
    <n v="51332916288000"/>
  </r>
  <r>
    <s v="삼성물산"/>
    <x v="41"/>
    <n v="28260"/>
    <s v="KR7028260008"/>
    <x v="14"/>
    <s v="KOSPI"/>
    <n v="298000"/>
    <n v="500"/>
    <n v="0.17"/>
    <n v="299000"/>
    <n v="301000"/>
    <n v="292000"/>
    <n v="462695"/>
    <n v="136812809250"/>
    <n v="169976544"/>
    <n v="50653010112000"/>
  </r>
  <r>
    <s v="삼성물산"/>
    <x v="42"/>
    <n v="28260"/>
    <s v="KR7028260008"/>
    <x v="14"/>
    <s v="KOSPI"/>
    <n v="297500"/>
    <n v="-8000"/>
    <n v="-2.62"/>
    <n v="304500"/>
    <n v="311000"/>
    <n v="294500"/>
    <n v="389178"/>
    <n v="117265579000"/>
    <n v="169976544"/>
    <n v="50568021840000"/>
  </r>
  <r>
    <s v="삼성물산"/>
    <x v="43"/>
    <n v="28260"/>
    <s v="KR7028260008"/>
    <x v="14"/>
    <s v="KOSPI"/>
    <n v="305500"/>
    <n v="8000"/>
    <n v="2.69"/>
    <n v="300000"/>
    <n v="310000"/>
    <n v="298000"/>
    <n v="408118"/>
    <n v="124940050000"/>
    <n v="169976544"/>
    <n v="51927834192000"/>
  </r>
  <r>
    <s v="삼성물산"/>
    <x v="44"/>
    <n v="28260"/>
    <s v="KR7028260008"/>
    <x v="14"/>
    <s v="KOSPI"/>
    <n v="297500"/>
    <n v="-1500"/>
    <n v="-0.5"/>
    <n v="308000"/>
    <n v="310000"/>
    <n v="294000"/>
    <n v="503524"/>
    <n v="151828925250"/>
    <n v="169976544"/>
    <n v="50568021840000"/>
  </r>
  <r>
    <s v="삼성물산"/>
    <x v="45"/>
    <n v="28260"/>
    <s v="KR7028260008"/>
    <x v="14"/>
    <s v="KOSPI"/>
    <n v="299000"/>
    <n v="3000"/>
    <n v="1.01"/>
    <n v="292000"/>
    <n v="300000"/>
    <n v="289000"/>
    <n v="281914"/>
    <n v="83590278500"/>
    <n v="169976544"/>
    <n v="50822986656000"/>
  </r>
  <r>
    <s v="삼성물산"/>
    <x v="46"/>
    <n v="28260"/>
    <s v="KR7028260008"/>
    <x v="14"/>
    <s v="KOSPI"/>
    <n v="296000"/>
    <n v="7000"/>
    <n v="2.42"/>
    <n v="288500"/>
    <n v="307500"/>
    <n v="287000"/>
    <n v="668593"/>
    <n v="199026426068"/>
    <n v="169976544"/>
    <n v="50313057024000"/>
  </r>
  <r>
    <s v="삼성물산"/>
    <x v="47"/>
    <n v="28260"/>
    <s v="KR7028260008"/>
    <x v="14"/>
    <s v="KOSPI"/>
    <n v="289000"/>
    <n v="-1000"/>
    <n v="-0.34"/>
    <n v="287000"/>
    <n v="296500"/>
    <n v="286500"/>
    <n v="324276"/>
    <n v="94605484000"/>
    <n v="169976544"/>
    <n v="49123221216000"/>
  </r>
  <r>
    <s v="삼성물산"/>
    <x v="48"/>
    <n v="28260"/>
    <s v="KR7028260008"/>
    <x v="14"/>
    <s v="KOSPI"/>
    <n v="290000"/>
    <n v="4000"/>
    <n v="1.4"/>
    <n v="290500"/>
    <n v="290500"/>
    <n v="283000"/>
    <n v="280126"/>
    <n v="80596200106"/>
    <n v="169976544"/>
    <n v="49293197760000"/>
  </r>
  <r>
    <s v="삼성물산"/>
    <x v="49"/>
    <n v="28260"/>
    <s v="KR7028260008"/>
    <x v="14"/>
    <s v="KOSPI"/>
    <n v="286000"/>
    <n v="2500"/>
    <n v="0.88"/>
    <n v="280000"/>
    <n v="286000"/>
    <n v="278000"/>
    <n v="429794"/>
    <n v="121787695640"/>
    <n v="169976544"/>
    <n v="48613291584000"/>
  </r>
  <r>
    <s v="삼성물산"/>
    <x v="50"/>
    <n v="28260"/>
    <s v="KR7028260008"/>
    <x v="14"/>
    <s v="KOSPI"/>
    <n v="283500"/>
    <n v="10000"/>
    <n v="3.66"/>
    <n v="275500"/>
    <n v="287000"/>
    <n v="273500"/>
    <n v="452750"/>
    <n v="127832139000"/>
    <n v="169976544"/>
    <n v="48188350224000"/>
  </r>
  <r>
    <s v="삼성물산"/>
    <x v="51"/>
    <n v="28260"/>
    <s v="KR7028260008"/>
    <x v="14"/>
    <s v="KOSPI"/>
    <n v="273500"/>
    <n v="6000"/>
    <n v="2.2400000000000002"/>
    <n v="271000"/>
    <n v="274000"/>
    <n v="269000"/>
    <n v="517012"/>
    <n v="140336041750"/>
    <n v="169976544"/>
    <n v="46488584784000"/>
  </r>
  <r>
    <s v="삼성물산"/>
    <x v="52"/>
    <n v="28260"/>
    <s v="KR7028260008"/>
    <x v="14"/>
    <s v="KOSPI"/>
    <n v="267500"/>
    <n v="-1000"/>
    <n v="-0.37"/>
    <n v="270000"/>
    <n v="271500"/>
    <n v="262000"/>
    <n v="218294"/>
    <n v="58256861500"/>
    <n v="169976544"/>
    <n v="45468725520000"/>
  </r>
  <r>
    <s v="삼성물산"/>
    <x v="53"/>
    <n v="28260"/>
    <s v="KR7028260008"/>
    <x v="14"/>
    <s v="KOSPI"/>
    <n v="268500"/>
    <n v="-2000"/>
    <n v="-0.74"/>
    <n v="270500"/>
    <n v="270500"/>
    <n v="258500"/>
    <n v="375808"/>
    <n v="99281225000"/>
    <n v="169976544"/>
    <n v="45638702064000"/>
  </r>
  <r>
    <s v="삼성물산"/>
    <x v="54"/>
    <n v="28260"/>
    <s v="KR7028260008"/>
    <x v="14"/>
    <s v="KOSPI"/>
    <n v="270500"/>
    <n v="5500"/>
    <n v="2.08"/>
    <n v="262500"/>
    <n v="272500"/>
    <n v="259500"/>
    <n v="613747"/>
    <n v="165015375314"/>
    <n v="169976544"/>
    <n v="45978655152000"/>
  </r>
  <r>
    <s v="삼성물산"/>
    <x v="55"/>
    <n v="28260"/>
    <s v="KR7028260008"/>
    <x v="14"/>
    <s v="KOSPI"/>
    <n v="265000"/>
    <n v="5000"/>
    <n v="1.92"/>
    <n v="260000"/>
    <n v="274500"/>
    <n v="259000"/>
    <n v="541952"/>
    <n v="144238366500"/>
    <n v="169976544"/>
    <n v="45043784160000"/>
  </r>
  <r>
    <s v="삼성물산"/>
    <x v="56"/>
    <n v="28260"/>
    <s v="KR7028260008"/>
    <x v="14"/>
    <s v="KOSPI"/>
    <n v="260000"/>
    <n v="5500"/>
    <n v="2.16"/>
    <n v="254000"/>
    <n v="260000"/>
    <n v="247500"/>
    <n v="408885"/>
    <n v="104775988000"/>
    <n v="169976544"/>
    <n v="44193901440000"/>
  </r>
  <r>
    <s v="삼성물산"/>
    <x v="57"/>
    <n v="28260"/>
    <s v="KR7028260008"/>
    <x v="14"/>
    <s v="KOSPI"/>
    <n v="254500"/>
    <n v="9500"/>
    <n v="3.88"/>
    <n v="245500"/>
    <n v="254500"/>
    <n v="244000"/>
    <n v="435864"/>
    <n v="109461543000"/>
    <n v="169976544"/>
    <n v="43259030448000"/>
  </r>
  <r>
    <s v="삼성물산"/>
    <x v="58"/>
    <n v="28260"/>
    <s v="KR7028260008"/>
    <x v="14"/>
    <s v="KOSPI"/>
    <n v="245000"/>
    <n v="5500"/>
    <n v="2.2999999999999998"/>
    <n v="237000"/>
    <n v="246500"/>
    <n v="234000"/>
    <n v="360079"/>
    <n v="86278541750"/>
    <n v="169976544"/>
    <n v="41644253280000"/>
  </r>
  <r>
    <s v="한화오션"/>
    <x v="0"/>
    <n v="42660"/>
    <s v="KR7042660001"/>
    <x v="15"/>
    <s v="KOSPI"/>
    <n v="120200"/>
    <n v="2000"/>
    <n v="1.69"/>
    <n v="121100"/>
    <n v="127400"/>
    <n v="119100"/>
    <n v="1636326"/>
    <n v="200496823350"/>
    <n v="306413394"/>
    <n v="36830889958800"/>
  </r>
  <r>
    <s v="한화오션"/>
    <x v="1"/>
    <n v="42660"/>
    <s v="KR7042660001"/>
    <x v="15"/>
    <s v="KOSPI"/>
    <n v="118200"/>
    <n v="-5000"/>
    <n v="-4.0599999999999996"/>
    <n v="117100"/>
    <n v="120500"/>
    <n v="115100"/>
    <n v="770279"/>
    <n v="90781625150"/>
    <n v="306413394"/>
    <n v="36218063170800"/>
  </r>
  <r>
    <s v="한화오션"/>
    <x v="2"/>
    <n v="42660"/>
    <s v="KR7042660001"/>
    <x v="15"/>
    <s v="KOSPI"/>
    <n v="123200"/>
    <n v="-2500"/>
    <n v="-1.99"/>
    <n v="120500"/>
    <n v="123400"/>
    <n v="117300"/>
    <n v="833837"/>
    <n v="100361705450"/>
    <n v="306413394"/>
    <n v="37750130140800"/>
  </r>
  <r>
    <s v="한화오션"/>
    <x v="3"/>
    <n v="42660"/>
    <s v="KR7042660001"/>
    <x v="15"/>
    <s v="KOSPI"/>
    <n v="125700"/>
    <n v="1000"/>
    <n v="0.8"/>
    <n v="129300"/>
    <n v="130300"/>
    <n v="124700"/>
    <n v="932327"/>
    <n v="118602725500"/>
    <n v="306413394"/>
    <n v="38516163625800"/>
  </r>
  <r>
    <s v="한화오션"/>
    <x v="4"/>
    <n v="42660"/>
    <s v="KR7042660001"/>
    <x v="15"/>
    <s v="KOSPI"/>
    <n v="124700"/>
    <n v="2400"/>
    <n v="1.96"/>
    <n v="123700"/>
    <n v="124800"/>
    <n v="121100"/>
    <n v="753232"/>
    <n v="93052085600"/>
    <n v="306413394"/>
    <n v="38209750231800"/>
  </r>
  <r>
    <s v="한화오션"/>
    <x v="5"/>
    <n v="42660"/>
    <s v="KR7042660001"/>
    <x v="15"/>
    <s v="KOSPI"/>
    <n v="122300"/>
    <n v="3400"/>
    <n v="2.86"/>
    <n v="124500"/>
    <n v="126200"/>
    <n v="117400"/>
    <n v="798598"/>
    <n v="96988798600"/>
    <n v="306413394"/>
    <n v="37474358086200"/>
  </r>
  <r>
    <s v="한화오션"/>
    <x v="6"/>
    <n v="42660"/>
    <s v="KR7042660001"/>
    <x v="15"/>
    <s v="KOSPI"/>
    <n v="118900"/>
    <n v="-10200"/>
    <n v="-7.9"/>
    <n v="125000"/>
    <n v="125200"/>
    <n v="118900"/>
    <n v="993984"/>
    <n v="120563391750"/>
    <n v="306413394"/>
    <n v="36432552546600"/>
  </r>
  <r>
    <s v="한화오션"/>
    <x v="7"/>
    <n v="42660"/>
    <s v="KR7042660001"/>
    <x v="15"/>
    <s v="KOSPI"/>
    <n v="129100"/>
    <n v="-900"/>
    <n v="-0.69"/>
    <n v="130000"/>
    <n v="131600"/>
    <n v="127700"/>
    <n v="853925"/>
    <n v="110674378800"/>
    <n v="306413394"/>
    <n v="39557969165400"/>
  </r>
  <r>
    <s v="한화오션"/>
    <x v="8"/>
    <n v="42660"/>
    <s v="KR7042660001"/>
    <x v="15"/>
    <s v="KOSPI"/>
    <n v="130000"/>
    <n v="-2900"/>
    <n v="-2.1800000000000002"/>
    <n v="130600"/>
    <n v="132000"/>
    <n v="130000"/>
    <n v="579582"/>
    <n v="75714920900"/>
    <n v="306413394"/>
    <n v="39833741220000"/>
  </r>
  <r>
    <s v="한화오션"/>
    <x v="9"/>
    <n v="42660"/>
    <s v="KR7042660001"/>
    <x v="15"/>
    <s v="KOSPI"/>
    <n v="132900"/>
    <n v="200"/>
    <n v="0.15"/>
    <n v="133900"/>
    <n v="134500"/>
    <n v="130600"/>
    <n v="1000923"/>
    <n v="132890800300"/>
    <n v="306413394"/>
    <n v="40722340062600"/>
  </r>
  <r>
    <s v="한화오션"/>
    <x v="10"/>
    <n v="42660"/>
    <s v="KR7042660001"/>
    <x v="15"/>
    <s v="KOSPI"/>
    <n v="132700"/>
    <n v="800"/>
    <n v="0.61"/>
    <n v="133800"/>
    <n v="135600"/>
    <n v="132000"/>
    <n v="682572"/>
    <n v="91046759700"/>
    <n v="306413394"/>
    <n v="40661057383800"/>
  </r>
  <r>
    <s v="한화오션"/>
    <x v="11"/>
    <n v="42660"/>
    <s v="KR7042660001"/>
    <x v="15"/>
    <s v="KOSPI"/>
    <n v="131900"/>
    <n v="-5000"/>
    <n v="-3.65"/>
    <n v="135400"/>
    <n v="139000"/>
    <n v="131000"/>
    <n v="1222379"/>
    <n v="163021513250"/>
    <n v="306413394"/>
    <n v="40415926668600"/>
  </r>
  <r>
    <s v="한화오션"/>
    <x v="12"/>
    <n v="42660"/>
    <s v="KR7042660001"/>
    <x v="15"/>
    <s v="KOSPI"/>
    <n v="136900"/>
    <n v="200"/>
    <n v="0.15"/>
    <n v="135400"/>
    <n v="136900"/>
    <n v="133200"/>
    <n v="1188043"/>
    <n v="160043573550"/>
    <n v="306413394"/>
    <n v="41947993638600"/>
  </r>
  <r>
    <s v="한화오션"/>
    <x v="13"/>
    <n v="42660"/>
    <s v="KR7042660001"/>
    <x v="15"/>
    <s v="KOSPI"/>
    <n v="136700"/>
    <n v="3100"/>
    <n v="2.3199999999999998"/>
    <n v="132300"/>
    <n v="139800"/>
    <n v="131000"/>
    <n v="1942228"/>
    <n v="264650377500"/>
    <n v="306413394"/>
    <n v="41886710959800"/>
  </r>
  <r>
    <s v="한화오션"/>
    <x v="14"/>
    <n v="42660"/>
    <s v="KR7042660001"/>
    <x v="15"/>
    <s v="KOSPI"/>
    <n v="133600"/>
    <n v="9200"/>
    <n v="7.4"/>
    <n v="131000"/>
    <n v="141200"/>
    <n v="130700"/>
    <n v="4435288"/>
    <n v="606923337300"/>
    <n v="306413394"/>
    <n v="40936829438400"/>
  </r>
  <r>
    <s v="한화오션"/>
    <x v="15"/>
    <n v="42660"/>
    <s v="KR7042660001"/>
    <x v="15"/>
    <s v="KOSPI"/>
    <n v="124400"/>
    <n v="700"/>
    <n v="0.56999999999999995"/>
    <n v="127500"/>
    <n v="128800"/>
    <n v="122000"/>
    <n v="1275705"/>
    <n v="158557512300"/>
    <n v="306413394"/>
    <n v="38117826213600"/>
  </r>
  <r>
    <s v="한화오션"/>
    <x v="16"/>
    <n v="42660"/>
    <s v="KR7042660001"/>
    <x v="15"/>
    <s v="KOSPI"/>
    <n v="123700"/>
    <n v="-3000"/>
    <n v="-2.37"/>
    <n v="122000"/>
    <n v="131400"/>
    <n v="120100"/>
    <n v="1821801"/>
    <n v="225780271050"/>
    <n v="306413394"/>
    <n v="37903336837800"/>
  </r>
  <r>
    <s v="한화오션"/>
    <x v="17"/>
    <n v="42660"/>
    <s v="KR7042660001"/>
    <x v="15"/>
    <s v="KOSPI"/>
    <n v="126700"/>
    <n v="4600"/>
    <n v="3.77"/>
    <n v="117000"/>
    <n v="126800"/>
    <n v="117000"/>
    <n v="1797553"/>
    <n v="221656042300"/>
    <n v="306413394"/>
    <n v="38822577019800"/>
  </r>
  <r>
    <s v="한화오션"/>
    <x v="18"/>
    <n v="42660"/>
    <s v="KR7042660001"/>
    <x v="15"/>
    <s v="KOSPI"/>
    <n v="122100"/>
    <n v="13600"/>
    <n v="12.53"/>
    <n v="121200"/>
    <n v="124700"/>
    <n v="118500"/>
    <n v="2260208"/>
    <n v="276041599150"/>
    <n v="306413394"/>
    <n v="37413075407400"/>
  </r>
  <r>
    <s v="한화오션"/>
    <x v="19"/>
    <n v="42660"/>
    <s v="KR7042660001"/>
    <x v="15"/>
    <s v="KOSPI"/>
    <n v="108500"/>
    <n v="-26900"/>
    <n v="-19.87"/>
    <n v="127800"/>
    <n v="131000"/>
    <n v="108500"/>
    <n v="4515106"/>
    <n v="532478292900"/>
    <n v="306413394"/>
    <n v="33245853249000"/>
  </r>
  <r>
    <s v="한화오션"/>
    <x v="20"/>
    <n v="42660"/>
    <s v="KR7042660001"/>
    <x v="15"/>
    <s v="KOSPI"/>
    <n v="135400"/>
    <n v="-5800"/>
    <n v="-4.1100000000000003"/>
    <n v="144700"/>
    <n v="154800"/>
    <n v="135000"/>
    <n v="6443038"/>
    <n v="935541571000"/>
    <n v="306413394"/>
    <n v="41488373547600"/>
  </r>
  <r>
    <s v="한화오션"/>
    <x v="21"/>
    <n v="42660"/>
    <s v="KR7042660001"/>
    <x v="15"/>
    <s v="KOSPI"/>
    <n v="141200"/>
    <n v="1200"/>
    <n v="0.86"/>
    <n v="143300"/>
    <n v="143600"/>
    <n v="140000"/>
    <n v="1708661"/>
    <n v="241587160350"/>
    <n v="306413394"/>
    <n v="43265571232800"/>
  </r>
  <r>
    <s v="한화오션"/>
    <x v="22"/>
    <n v="42660"/>
    <s v="KR7042660001"/>
    <x v="15"/>
    <s v="KOSPI"/>
    <n v="140000"/>
    <n v="-2000"/>
    <n v="-1.41"/>
    <n v="142000"/>
    <n v="142400"/>
    <n v="139100"/>
    <n v="1393956"/>
    <n v="195169857650"/>
    <n v="306413394"/>
    <n v="42897875160000"/>
  </r>
  <r>
    <s v="한화오션"/>
    <x v="23"/>
    <n v="42660"/>
    <s v="KR7042660001"/>
    <x v="15"/>
    <s v="KOSPI"/>
    <n v="142000"/>
    <n v="-1100"/>
    <n v="-0.77"/>
    <n v="144200"/>
    <n v="144300"/>
    <n v="141000"/>
    <n v="1220639"/>
    <n v="173982614450"/>
    <n v="306413394"/>
    <n v="43510701948000"/>
  </r>
  <r>
    <s v="한화오션"/>
    <x v="24"/>
    <n v="42660"/>
    <s v="KR7042660001"/>
    <x v="15"/>
    <s v="KOSPI"/>
    <n v="143100"/>
    <n v="-4100"/>
    <n v="-2.79"/>
    <n v="144500"/>
    <n v="144600"/>
    <n v="140800"/>
    <n v="1644971"/>
    <n v="234266580350"/>
    <n v="306413394"/>
    <n v="43847756681400"/>
  </r>
  <r>
    <s v="한화오션"/>
    <x v="25"/>
    <n v="42660"/>
    <s v="KR7042660001"/>
    <x v="15"/>
    <s v="KOSPI"/>
    <n v="147200"/>
    <n v="-2700"/>
    <n v="-1.8"/>
    <n v="148900"/>
    <n v="150900"/>
    <n v="145000"/>
    <n v="2140635"/>
    <n v="315669843200"/>
    <n v="306413394"/>
    <n v="45104051596800"/>
  </r>
  <r>
    <s v="한화오션"/>
    <x v="26"/>
    <n v="42660"/>
    <s v="KR7042660001"/>
    <x v="15"/>
    <s v="KOSPI"/>
    <n v="149900"/>
    <n v="9300"/>
    <n v="6.61"/>
    <n v="143000"/>
    <n v="151400"/>
    <n v="140100"/>
    <n v="4322685"/>
    <n v="635988521300"/>
    <n v="306413394"/>
    <n v="45931367760600"/>
  </r>
  <r>
    <s v="한화오션"/>
    <x v="27"/>
    <n v="42660"/>
    <s v="KR7042660001"/>
    <x v="15"/>
    <s v="KOSPI"/>
    <n v="140600"/>
    <n v="10800"/>
    <n v="8.32"/>
    <n v="134000"/>
    <n v="142500"/>
    <n v="134000"/>
    <n v="2959645"/>
    <n v="414815965900"/>
    <n v="306413394"/>
    <n v="43081723196400"/>
  </r>
  <r>
    <s v="한화오션"/>
    <x v="28"/>
    <n v="42660"/>
    <s v="KR7042660001"/>
    <x v="15"/>
    <s v="KOSPI"/>
    <n v="129800"/>
    <n v="-2000"/>
    <n v="-1.52"/>
    <n v="129500"/>
    <n v="131000"/>
    <n v="128500"/>
    <n v="1069902"/>
    <n v="138800045600"/>
    <n v="306413394"/>
    <n v="39772458541200"/>
  </r>
  <r>
    <s v="한화오션"/>
    <x v="29"/>
    <n v="42660"/>
    <s v="KR7042660001"/>
    <x v="15"/>
    <s v="KOSPI"/>
    <n v="131800"/>
    <n v="2100"/>
    <n v="1.62"/>
    <n v="130800"/>
    <n v="132000"/>
    <n v="129100"/>
    <n v="949644"/>
    <n v="124540094150"/>
    <n v="306413394"/>
    <n v="40385285329200"/>
  </r>
  <r>
    <s v="한화오션"/>
    <x v="30"/>
    <n v="42660"/>
    <s v="KR7042660001"/>
    <x v="15"/>
    <s v="KOSPI"/>
    <n v="129700"/>
    <n v="-1200"/>
    <n v="-0.92"/>
    <n v="131100"/>
    <n v="131800"/>
    <n v="129200"/>
    <n v="999891"/>
    <n v="130183143250"/>
    <n v="306413394"/>
    <n v="39741817201800"/>
  </r>
  <r>
    <s v="한화오션"/>
    <x v="31"/>
    <n v="42660"/>
    <s v="KR7042660001"/>
    <x v="15"/>
    <s v="KOSPI"/>
    <n v="130900"/>
    <n v="-2300"/>
    <n v="-1.73"/>
    <n v="134700"/>
    <n v="136200"/>
    <n v="130100"/>
    <n v="1116966"/>
    <n v="147479026150"/>
    <n v="306413394"/>
    <n v="40109513274600"/>
  </r>
  <r>
    <s v="한화오션"/>
    <x v="32"/>
    <n v="42660"/>
    <s v="KR7042660001"/>
    <x v="15"/>
    <s v="KOSPI"/>
    <n v="133200"/>
    <n v="2600"/>
    <n v="1.99"/>
    <n v="135300"/>
    <n v="135500"/>
    <n v="132300"/>
    <n v="1038060"/>
    <n v="138968678200"/>
    <n v="306413394"/>
    <n v="40814264080800"/>
  </r>
  <r>
    <s v="한화오션"/>
    <x v="33"/>
    <n v="42660"/>
    <s v="KR7042660001"/>
    <x v="15"/>
    <s v="KOSPI"/>
    <n v="130600"/>
    <n v="-5000"/>
    <n v="-3.69"/>
    <n v="130300"/>
    <n v="132500"/>
    <n v="125900"/>
    <n v="1800746"/>
    <n v="233107456550"/>
    <n v="306413394"/>
    <n v="40017589256400"/>
  </r>
  <r>
    <s v="한화오션"/>
    <x v="34"/>
    <n v="42660"/>
    <s v="KR7042660001"/>
    <x v="15"/>
    <s v="KOSPI"/>
    <n v="135600"/>
    <n v="-8400"/>
    <n v="-5.83"/>
    <n v="142200"/>
    <n v="144900"/>
    <n v="135600"/>
    <n v="2449813"/>
    <n v="340477842700"/>
    <n v="306413394"/>
    <n v="41549656226400"/>
  </r>
  <r>
    <s v="한화오션"/>
    <x v="35"/>
    <n v="42660"/>
    <s v="KR7042660001"/>
    <x v="15"/>
    <s v="KOSPI"/>
    <n v="144000"/>
    <n v="2600"/>
    <n v="1.84"/>
    <n v="144000"/>
    <n v="144800"/>
    <n v="140700"/>
    <n v="3025185"/>
    <n v="432598102250"/>
    <n v="306413394"/>
    <n v="44123528736000"/>
  </r>
  <r>
    <s v="한화오션"/>
    <x v="36"/>
    <n v="42660"/>
    <s v="KR7042660001"/>
    <x v="15"/>
    <s v="KOSPI"/>
    <n v="141400"/>
    <n v="7800"/>
    <n v="5.84"/>
    <n v="137700"/>
    <n v="142300"/>
    <n v="135700"/>
    <n v="2058145"/>
    <n v="288329736450"/>
    <n v="306413394"/>
    <n v="43326853911600"/>
  </r>
  <r>
    <s v="한화오션"/>
    <x v="37"/>
    <n v="42660"/>
    <s v="KR7042660001"/>
    <x v="15"/>
    <s v="KOSPI"/>
    <n v="133600"/>
    <n v="-4900"/>
    <n v="-3.54"/>
    <n v="139500"/>
    <n v="142100"/>
    <n v="132100"/>
    <n v="2510290"/>
    <n v="345126048500"/>
    <n v="306413394"/>
    <n v="40936829438400"/>
  </r>
  <r>
    <s v="한화오션"/>
    <x v="38"/>
    <n v="42660"/>
    <s v="KR7042660001"/>
    <x v="15"/>
    <s v="KOSPI"/>
    <n v="138500"/>
    <n v="-3400"/>
    <n v="-2.4"/>
    <n v="142000"/>
    <n v="142600"/>
    <n v="138500"/>
    <n v="1631827"/>
    <n v="227585032250"/>
    <n v="306413394"/>
    <n v="42438255069000"/>
  </r>
  <r>
    <s v="한화오션"/>
    <x v="39"/>
    <n v="42660"/>
    <s v="KR7042660001"/>
    <x v="15"/>
    <s v="KOSPI"/>
    <n v="141900"/>
    <n v="-1500"/>
    <n v="-1.05"/>
    <n v="141800"/>
    <n v="142500"/>
    <n v="138800"/>
    <n v="2000567"/>
    <n v="280668223800"/>
    <n v="306413394"/>
    <n v="43480060608600"/>
  </r>
  <r>
    <s v="한화오션"/>
    <x v="40"/>
    <n v="42660"/>
    <s v="KR7042660001"/>
    <x v="15"/>
    <s v="KOSPI"/>
    <n v="143400"/>
    <n v="2900"/>
    <n v="2.06"/>
    <n v="141300"/>
    <n v="144900"/>
    <n v="140000"/>
    <n v="1991492"/>
    <n v="283000656350"/>
    <n v="306413394"/>
    <n v="43939680699600"/>
  </r>
  <r>
    <s v="한화오션"/>
    <x v="41"/>
    <n v="42660"/>
    <s v="KR7042660001"/>
    <x v="15"/>
    <s v="KOSPI"/>
    <n v="140500"/>
    <n v="700"/>
    <n v="0.5"/>
    <n v="144000"/>
    <n v="144100"/>
    <n v="138100"/>
    <n v="1651826"/>
    <n v="232237608350"/>
    <n v="306413394"/>
    <n v="43051081857000"/>
  </r>
  <r>
    <s v="한화오션"/>
    <x v="42"/>
    <n v="42660"/>
    <s v="KR7042660001"/>
    <x v="15"/>
    <s v="KOSPI"/>
    <n v="139800"/>
    <n v="-500"/>
    <n v="-0.36"/>
    <n v="142300"/>
    <n v="142300"/>
    <n v="138500"/>
    <n v="1635740"/>
    <n v="228584753050"/>
    <n v="306413394"/>
    <n v="42836592481200"/>
  </r>
  <r>
    <s v="한화오션"/>
    <x v="43"/>
    <n v="42660"/>
    <s v="KR7042660001"/>
    <x v="15"/>
    <s v="KOSPI"/>
    <n v="140300"/>
    <n v="2600"/>
    <n v="1.89"/>
    <n v="138200"/>
    <n v="148900"/>
    <n v="138200"/>
    <n v="3902320"/>
    <n v="560117270900"/>
    <n v="306413394"/>
    <n v="42989799178200"/>
  </r>
  <r>
    <s v="한화오션"/>
    <x v="44"/>
    <n v="42660"/>
    <s v="KR7042660001"/>
    <x v="15"/>
    <s v="KOSPI"/>
    <n v="137700"/>
    <n v="-3800"/>
    <n v="-2.69"/>
    <n v="143000"/>
    <n v="143100"/>
    <n v="137200"/>
    <n v="2255607"/>
    <n v="313686393000"/>
    <n v="306413394"/>
    <n v="42193124353800"/>
  </r>
  <r>
    <s v="한화오션"/>
    <x v="45"/>
    <n v="42660"/>
    <s v="KR7042660001"/>
    <x v="15"/>
    <s v="KOSPI"/>
    <n v="141500"/>
    <n v="-5600"/>
    <n v="-3.81"/>
    <n v="141400"/>
    <n v="143900"/>
    <n v="140100"/>
    <n v="2247852"/>
    <n v="318750795800"/>
    <n v="306413394"/>
    <n v="43357495251000"/>
  </r>
  <r>
    <s v="한화오션"/>
    <x v="46"/>
    <n v="42660"/>
    <s v="KR7042660001"/>
    <x v="15"/>
    <s v="KOSPI"/>
    <n v="147100"/>
    <n v="-1700"/>
    <n v="-1.1399999999999999"/>
    <n v="149000"/>
    <n v="149400"/>
    <n v="144000"/>
    <n v="1773393"/>
    <n v="261164445150"/>
    <n v="306413394"/>
    <n v="45073410257400"/>
  </r>
  <r>
    <s v="한화오션"/>
    <x v="47"/>
    <n v="42660"/>
    <s v="KR7042660001"/>
    <x v="15"/>
    <s v="KOSPI"/>
    <n v="148800"/>
    <n v="1800"/>
    <n v="1.22"/>
    <n v="149300"/>
    <n v="149400"/>
    <n v="146100"/>
    <n v="1856620"/>
    <n v="275325400400"/>
    <n v="306413394"/>
    <n v="45594313027200"/>
  </r>
  <r>
    <s v="한화오션"/>
    <x v="48"/>
    <n v="42660"/>
    <s v="KR7042660001"/>
    <x v="15"/>
    <s v="KOSPI"/>
    <n v="147000"/>
    <n v="-1900"/>
    <n v="-1.28"/>
    <n v="149800"/>
    <n v="151100"/>
    <n v="144600"/>
    <n v="2175830"/>
    <n v="320275147700"/>
    <n v="306413394"/>
    <n v="45042768918000"/>
  </r>
  <r>
    <s v="한화오션"/>
    <x v="49"/>
    <n v="42660"/>
    <s v="KR7042660001"/>
    <x v="15"/>
    <s v="KOSPI"/>
    <n v="148900"/>
    <n v="6900"/>
    <n v="4.8600000000000003"/>
    <n v="145100"/>
    <n v="152400"/>
    <n v="143900"/>
    <n v="4316335"/>
    <n v="641458259050"/>
    <n v="306413394"/>
    <n v="45624954366600"/>
  </r>
  <r>
    <s v="한화오션"/>
    <x v="50"/>
    <n v="42660"/>
    <s v="KR7042660001"/>
    <x v="15"/>
    <s v="KOSPI"/>
    <n v="142000"/>
    <n v="-7900"/>
    <n v="-5.27"/>
    <n v="148200"/>
    <n v="148200"/>
    <n v="140100"/>
    <n v="4302491"/>
    <n v="616331805800"/>
    <n v="306413394"/>
    <n v="43510701948000"/>
  </r>
  <r>
    <s v="한화오션"/>
    <x v="51"/>
    <n v="42660"/>
    <s v="KR7042660001"/>
    <x v="15"/>
    <s v="KOSPI"/>
    <n v="149900"/>
    <n v="4200"/>
    <n v="2.88"/>
    <n v="144500"/>
    <n v="149900"/>
    <n v="143900"/>
    <n v="5116633"/>
    <n v="756476047150"/>
    <n v="306413394"/>
    <n v="45931367760600"/>
  </r>
  <r>
    <s v="한화오션"/>
    <x v="52"/>
    <n v="42660"/>
    <s v="KR7042660001"/>
    <x v="15"/>
    <s v="KOSPI"/>
    <n v="145700"/>
    <n v="11300"/>
    <n v="8.41"/>
    <n v="135200"/>
    <n v="148500"/>
    <n v="133700"/>
    <n v="9140134"/>
    <n v="1318375975200"/>
    <n v="306413394"/>
    <n v="44644431505800"/>
  </r>
  <r>
    <s v="한화오션"/>
    <x v="53"/>
    <n v="42660"/>
    <s v="KR7042660001"/>
    <x v="15"/>
    <s v="KOSPI"/>
    <n v="134400"/>
    <n v="4700"/>
    <n v="3.62"/>
    <n v="129500"/>
    <n v="134700"/>
    <n v="127100"/>
    <n v="4732814"/>
    <n v="626008611800"/>
    <n v="306413394"/>
    <n v="41181960153600"/>
  </r>
  <r>
    <s v="한화오션"/>
    <x v="54"/>
    <n v="42660"/>
    <s v="KR7042660001"/>
    <x v="15"/>
    <s v="KOSPI"/>
    <n v="129700"/>
    <n v="8500"/>
    <n v="7.01"/>
    <n v="122700"/>
    <n v="131900"/>
    <n v="121900"/>
    <n v="6916119"/>
    <n v="890705330700"/>
    <n v="306413394"/>
    <n v="39741817201800"/>
  </r>
  <r>
    <s v="한화오션"/>
    <x v="55"/>
    <n v="42660"/>
    <s v="KR7042660001"/>
    <x v="15"/>
    <s v="KOSPI"/>
    <n v="121200"/>
    <n v="1400"/>
    <n v="1.17"/>
    <n v="119800"/>
    <n v="124200"/>
    <n v="118700"/>
    <n v="2606259"/>
    <n v="317223372700"/>
    <n v="306413394"/>
    <n v="37137303352800"/>
  </r>
  <r>
    <s v="한화오션"/>
    <x v="56"/>
    <n v="42660"/>
    <s v="KR7042660001"/>
    <x v="15"/>
    <s v="KOSPI"/>
    <n v="119800"/>
    <n v="1900"/>
    <n v="1.61"/>
    <n v="118100"/>
    <n v="120900"/>
    <n v="115800"/>
    <n v="2251742"/>
    <n v="267071729450"/>
    <n v="306413394"/>
    <n v="36708324601200"/>
  </r>
  <r>
    <s v="한화오션"/>
    <x v="57"/>
    <n v="42660"/>
    <s v="KR7042660001"/>
    <x v="15"/>
    <s v="KOSPI"/>
    <n v="117900"/>
    <n v="3200"/>
    <n v="2.79"/>
    <n v="113300"/>
    <n v="119000"/>
    <n v="113000"/>
    <n v="2268773"/>
    <n v="265252742600"/>
    <n v="306413394"/>
    <n v="36126139152600"/>
  </r>
  <r>
    <s v="한화오션"/>
    <x v="58"/>
    <n v="42660"/>
    <s v="KR7042660001"/>
    <x v="15"/>
    <s v="KOSPI"/>
    <n v="114700"/>
    <n v="1100"/>
    <n v="0.97"/>
    <n v="113700"/>
    <n v="115400"/>
    <n v="111500"/>
    <n v="1511307"/>
    <n v="171624530300"/>
    <n v="306413394"/>
    <n v="35145616291800"/>
  </r>
  <r>
    <s v="삼성SDI"/>
    <x v="0"/>
    <n v="6400"/>
    <s v="KR7006400006"/>
    <x v="16"/>
    <s v="KOSPI"/>
    <n v="408000"/>
    <n v="-4500"/>
    <n v="-1.0900000000000001"/>
    <n v="419500"/>
    <n v="429500"/>
    <n v="404000"/>
    <n v="1110671"/>
    <n v="461387646250"/>
    <n v="80585530"/>
    <n v="32878896240000"/>
  </r>
  <r>
    <s v="삼성SDI"/>
    <x v="1"/>
    <n v="6400"/>
    <s v="KR7006400006"/>
    <x v="16"/>
    <s v="KOSPI"/>
    <n v="412500"/>
    <n v="7000"/>
    <n v="1.73"/>
    <n v="389000"/>
    <n v="418000"/>
    <n v="388500"/>
    <n v="735298"/>
    <n v="300701828000"/>
    <n v="80585530"/>
    <n v="33241531125000"/>
  </r>
  <r>
    <s v="삼성SDI"/>
    <x v="2"/>
    <n v="6400"/>
    <s v="KR7006400006"/>
    <x v="16"/>
    <s v="KOSPI"/>
    <n v="405500"/>
    <n v="9000"/>
    <n v="2.27"/>
    <n v="387500"/>
    <n v="409000"/>
    <n v="375000"/>
    <n v="657568"/>
    <n v="259824926750"/>
    <n v="80585530"/>
    <n v="32677432415000"/>
  </r>
  <r>
    <s v="삼성SDI"/>
    <x v="3"/>
    <n v="6400"/>
    <s v="KR7006400006"/>
    <x v="16"/>
    <s v="KOSPI"/>
    <n v="396500"/>
    <n v="-7500"/>
    <n v="-1.86"/>
    <n v="402000"/>
    <n v="413500"/>
    <n v="391000"/>
    <n v="455967"/>
    <n v="183264902750"/>
    <n v="80585530"/>
    <n v="31952162645000"/>
  </r>
  <r>
    <s v="삼성SDI"/>
    <x v="4"/>
    <n v="6400"/>
    <s v="KR7006400006"/>
    <x v="16"/>
    <s v="KOSPI"/>
    <n v="404000"/>
    <n v="6500"/>
    <n v="1.64"/>
    <n v="401000"/>
    <n v="411500"/>
    <n v="399500"/>
    <n v="416484"/>
    <n v="168446997750"/>
    <n v="80585530"/>
    <n v="32556554120000"/>
  </r>
  <r>
    <s v="삼성SDI"/>
    <x v="5"/>
    <n v="6400"/>
    <s v="KR7006400006"/>
    <x v="16"/>
    <s v="KOSPI"/>
    <n v="397500"/>
    <n v="21000"/>
    <n v="5.58"/>
    <n v="392000"/>
    <n v="403000"/>
    <n v="383500"/>
    <n v="531265"/>
    <n v="209543650000"/>
    <n v="80585530"/>
    <n v="32032748175000"/>
  </r>
  <r>
    <s v="삼성SDI"/>
    <x v="6"/>
    <n v="6400"/>
    <s v="KR7006400006"/>
    <x v="16"/>
    <s v="KOSPI"/>
    <n v="376500"/>
    <n v="-24000"/>
    <n v="-5.99"/>
    <n v="386500"/>
    <n v="387000"/>
    <n v="375500"/>
    <n v="462325"/>
    <n v="175880932000"/>
    <n v="80585530"/>
    <n v="30340452045000"/>
  </r>
  <r>
    <s v="삼성SDI"/>
    <x v="7"/>
    <n v="6400"/>
    <s v="KR7006400006"/>
    <x v="16"/>
    <s v="KOSPI"/>
    <n v="400500"/>
    <n v="-2000"/>
    <n v="-0.5"/>
    <n v="405000"/>
    <n v="407000"/>
    <n v="398000"/>
    <n v="397940"/>
    <n v="159595877750"/>
    <n v="80585530"/>
    <n v="32274504765000"/>
  </r>
  <r>
    <s v="삼성SDI"/>
    <x v="8"/>
    <n v="6400"/>
    <s v="KR7006400006"/>
    <x v="16"/>
    <s v="KOSPI"/>
    <n v="402500"/>
    <n v="-2500"/>
    <n v="-0.62"/>
    <n v="397000"/>
    <n v="414000"/>
    <n v="396000"/>
    <n v="428488"/>
    <n v="173472568000"/>
    <n v="80585530"/>
    <n v="32435675825000"/>
  </r>
  <r>
    <s v="삼성SDI"/>
    <x v="9"/>
    <n v="6400"/>
    <s v="KR7006400006"/>
    <x v="16"/>
    <s v="KOSPI"/>
    <n v="405000"/>
    <n v="16000"/>
    <n v="4.1100000000000003"/>
    <n v="397000"/>
    <n v="405000"/>
    <n v="393500"/>
    <n v="384421"/>
    <n v="153754101000"/>
    <n v="80585530"/>
    <n v="32637139650000"/>
  </r>
  <r>
    <s v="삼성SDI"/>
    <x v="10"/>
    <n v="6400"/>
    <s v="KR7006400006"/>
    <x v="16"/>
    <s v="KOSPI"/>
    <n v="389000"/>
    <n v="6000"/>
    <n v="1.57"/>
    <n v="395000"/>
    <n v="397500"/>
    <n v="388000"/>
    <n v="359325"/>
    <n v="141399066000"/>
    <n v="80585530"/>
    <n v="31347771170000"/>
  </r>
  <r>
    <s v="삼성SDI"/>
    <x v="11"/>
    <n v="6400"/>
    <s v="KR7006400006"/>
    <x v="16"/>
    <s v="KOSPI"/>
    <n v="383000"/>
    <n v="-5000"/>
    <n v="-1.29"/>
    <n v="395000"/>
    <n v="398000"/>
    <n v="380000"/>
    <n v="483616"/>
    <n v="186657457000"/>
    <n v="80585530"/>
    <n v="30864257990000"/>
  </r>
  <r>
    <s v="삼성SDI"/>
    <x v="12"/>
    <n v="6400"/>
    <s v="KR7006400006"/>
    <x v="16"/>
    <s v="KOSPI"/>
    <n v="388000"/>
    <n v="-12000"/>
    <n v="-3"/>
    <n v="387000"/>
    <n v="397000"/>
    <n v="384500"/>
    <n v="531172"/>
    <n v="207444311000"/>
    <n v="80585530"/>
    <n v="31267185640000"/>
  </r>
  <r>
    <s v="삼성SDI"/>
    <x v="13"/>
    <n v="6400"/>
    <s v="KR7006400006"/>
    <x v="16"/>
    <s v="KOSPI"/>
    <n v="400000"/>
    <n v="0"/>
    <n v="0"/>
    <n v="396000"/>
    <n v="402000"/>
    <n v="394000"/>
    <n v="616460"/>
    <n v="245703270500"/>
    <n v="80585530"/>
    <n v="32234212000000"/>
  </r>
  <r>
    <s v="삼성SDI"/>
    <x v="14"/>
    <n v="6400"/>
    <s v="KR7006400006"/>
    <x v="16"/>
    <s v="KOSPI"/>
    <n v="400000"/>
    <n v="-3500"/>
    <n v="-0.87"/>
    <n v="413500"/>
    <n v="419000"/>
    <n v="394500"/>
    <n v="531148"/>
    <n v="217736999500"/>
    <n v="80585530"/>
    <n v="32234212000000"/>
  </r>
  <r>
    <s v="삼성SDI"/>
    <x v="15"/>
    <n v="6400"/>
    <s v="KR7006400006"/>
    <x v="16"/>
    <s v="KOSPI"/>
    <n v="403500"/>
    <n v="14500"/>
    <n v="3.73"/>
    <n v="415000"/>
    <n v="415000"/>
    <n v="394000"/>
    <n v="597355"/>
    <n v="241213362000"/>
    <n v="80585530"/>
    <n v="32516261355000"/>
  </r>
  <r>
    <s v="삼성SDI"/>
    <x v="16"/>
    <n v="6400"/>
    <s v="KR7006400006"/>
    <x v="16"/>
    <s v="KOSPI"/>
    <n v="389000"/>
    <n v="-21500"/>
    <n v="-5.24"/>
    <n v="386500"/>
    <n v="394500"/>
    <n v="375500"/>
    <n v="754807"/>
    <n v="289850267750"/>
    <n v="80585530"/>
    <n v="31347771170000"/>
  </r>
  <r>
    <s v="삼성SDI"/>
    <x v="17"/>
    <n v="6400"/>
    <s v="KR7006400006"/>
    <x v="16"/>
    <s v="KOSPI"/>
    <n v="410500"/>
    <n v="18000"/>
    <n v="4.59"/>
    <n v="388500"/>
    <n v="411500"/>
    <n v="385500"/>
    <n v="796681"/>
    <n v="319048665000"/>
    <n v="80585530"/>
    <n v="33080360065000"/>
  </r>
  <r>
    <s v="삼성SDI"/>
    <x v="18"/>
    <n v="6400"/>
    <s v="KR7006400006"/>
    <x v="16"/>
    <s v="KOSPI"/>
    <n v="392500"/>
    <n v="41500"/>
    <n v="11.82"/>
    <n v="391000"/>
    <n v="407000"/>
    <n v="385000"/>
    <n v="1008865"/>
    <n v="400380804000"/>
    <n v="80585530"/>
    <n v="31629820525000"/>
  </r>
  <r>
    <s v="삼성SDI"/>
    <x v="19"/>
    <n v="6400"/>
    <s v="KR7006400006"/>
    <x v="16"/>
    <s v="KOSPI"/>
    <n v="351000"/>
    <n v="-57000"/>
    <n v="-13.97"/>
    <n v="390000"/>
    <n v="406000"/>
    <n v="348500"/>
    <n v="1895549"/>
    <n v="709162088750"/>
    <n v="80585530"/>
    <n v="28285521030000"/>
  </r>
  <r>
    <s v="삼성SDI"/>
    <x v="20"/>
    <n v="6400"/>
    <s v="KR7006400006"/>
    <x v="16"/>
    <s v="KOSPI"/>
    <n v="408000"/>
    <n v="-58000"/>
    <n v="-12.45"/>
    <n v="453500"/>
    <n v="454500"/>
    <n v="408000"/>
    <n v="1453235"/>
    <n v="628117006500"/>
    <n v="80585530"/>
    <n v="32878896240000"/>
  </r>
  <r>
    <s v="삼성SDI"/>
    <x v="21"/>
    <n v="6400"/>
    <s v="KR7006400006"/>
    <x v="16"/>
    <s v="KOSPI"/>
    <n v="466000"/>
    <n v="17000"/>
    <n v="3.79"/>
    <n v="439500"/>
    <n v="473500"/>
    <n v="438500"/>
    <n v="1207350"/>
    <n v="556370342000"/>
    <n v="80585530"/>
    <n v="37552856980000"/>
  </r>
  <r>
    <s v="삼성SDI"/>
    <x v="22"/>
    <n v="6400"/>
    <s v="KR7006400006"/>
    <x v="16"/>
    <s v="KOSPI"/>
    <n v="449000"/>
    <n v="16000"/>
    <n v="3.7"/>
    <n v="439500"/>
    <n v="457000"/>
    <n v="436500"/>
    <n v="1109842"/>
    <n v="496655948750"/>
    <n v="80585530"/>
    <n v="36182902970000"/>
  </r>
  <r>
    <s v="삼성SDI"/>
    <x v="23"/>
    <n v="6400"/>
    <s v="KR7006400006"/>
    <x v="16"/>
    <s v="KOSPI"/>
    <n v="433000"/>
    <n v="11500"/>
    <n v="2.73"/>
    <n v="422000"/>
    <n v="443500"/>
    <n v="415000"/>
    <n v="1253279"/>
    <n v="539046448000"/>
    <n v="80585530"/>
    <n v="34893534490000"/>
  </r>
  <r>
    <s v="삼성SDI"/>
    <x v="24"/>
    <n v="6400"/>
    <s v="KR7006400006"/>
    <x v="16"/>
    <s v="KOSPI"/>
    <n v="421500"/>
    <n v="30000"/>
    <n v="7.66"/>
    <n v="400500"/>
    <n v="427000"/>
    <n v="399500"/>
    <n v="2584055"/>
    <n v="1080460352750"/>
    <n v="80585530"/>
    <n v="33966800895000"/>
  </r>
  <r>
    <s v="삼성SDI"/>
    <x v="25"/>
    <n v="6400"/>
    <s v="KR7006400006"/>
    <x v="16"/>
    <s v="KOSPI"/>
    <n v="391500"/>
    <n v="-10500"/>
    <n v="-2.61"/>
    <n v="407500"/>
    <n v="407500"/>
    <n v="387000"/>
    <n v="793713"/>
    <n v="312980396500"/>
    <n v="80585530"/>
    <n v="31549234995000"/>
  </r>
  <r>
    <s v="삼성SDI"/>
    <x v="26"/>
    <n v="6400"/>
    <s v="KR7006400006"/>
    <x v="16"/>
    <s v="KOSPI"/>
    <n v="402000"/>
    <n v="-6000"/>
    <n v="-1.47"/>
    <n v="402000"/>
    <n v="420500"/>
    <n v="399000"/>
    <n v="928083"/>
    <n v="377512370000"/>
    <n v="80585530"/>
    <n v="32395383060000"/>
  </r>
  <r>
    <s v="삼성SDI"/>
    <x v="27"/>
    <n v="6400"/>
    <s v="KR7006400006"/>
    <x v="16"/>
    <s v="KOSPI"/>
    <n v="408000"/>
    <n v="33500"/>
    <n v="8.9499999999999993"/>
    <n v="379500"/>
    <n v="409000"/>
    <n v="377000"/>
    <n v="1085467"/>
    <n v="426779975500"/>
    <n v="80585530"/>
    <n v="32878896240000"/>
  </r>
  <r>
    <s v="삼성SDI"/>
    <x v="28"/>
    <n v="6400"/>
    <s v="KR7006400006"/>
    <x v="16"/>
    <s v="KOSPI"/>
    <n v="374500"/>
    <n v="-11000"/>
    <n v="-2.85"/>
    <n v="377500"/>
    <n v="383000"/>
    <n v="372500"/>
    <n v="517002"/>
    <n v="194793382250"/>
    <n v="80585530"/>
    <n v="30179280985000"/>
  </r>
  <r>
    <s v="삼성SDI"/>
    <x v="29"/>
    <n v="6400"/>
    <s v="KR7006400006"/>
    <x v="16"/>
    <s v="KOSPI"/>
    <n v="385500"/>
    <n v="8500"/>
    <n v="2.25"/>
    <n v="381000"/>
    <n v="386000"/>
    <n v="373000"/>
    <n v="639928"/>
    <n v="244401282750"/>
    <n v="80585530"/>
    <n v="31065721815000"/>
  </r>
  <r>
    <s v="삼성SDI"/>
    <x v="30"/>
    <n v="6400"/>
    <s v="KR7006400006"/>
    <x v="16"/>
    <s v="KOSPI"/>
    <n v="377000"/>
    <n v="-4000"/>
    <n v="-1.05"/>
    <n v="381500"/>
    <n v="384500"/>
    <n v="373500"/>
    <n v="367852"/>
    <n v="139111187750"/>
    <n v="80585530"/>
    <n v="30380744810000"/>
  </r>
  <r>
    <s v="삼성SDI"/>
    <x v="31"/>
    <n v="6400"/>
    <s v="KR7006400006"/>
    <x v="16"/>
    <s v="KOSPI"/>
    <n v="381000"/>
    <n v="1000"/>
    <n v="0.26"/>
    <n v="385500"/>
    <n v="391500"/>
    <n v="377000"/>
    <n v="504263"/>
    <n v="193600258000"/>
    <n v="80585530"/>
    <n v="30703086930000"/>
  </r>
  <r>
    <s v="삼성SDI"/>
    <x v="32"/>
    <n v="6400"/>
    <s v="KR7006400006"/>
    <x v="16"/>
    <s v="KOSPI"/>
    <n v="380000"/>
    <n v="10000"/>
    <n v="2.7"/>
    <n v="381500"/>
    <n v="383000"/>
    <n v="375000"/>
    <n v="477549"/>
    <n v="181247639000"/>
    <n v="80585530"/>
    <n v="30622501400000"/>
  </r>
  <r>
    <s v="삼성SDI"/>
    <x v="33"/>
    <n v="6400"/>
    <s v="KR7006400006"/>
    <x v="16"/>
    <s v="KOSPI"/>
    <n v="370000"/>
    <n v="-15500"/>
    <n v="-4.0199999999999996"/>
    <n v="370500"/>
    <n v="373000"/>
    <n v="358500"/>
    <n v="727300"/>
    <n v="266107619000"/>
    <n v="80585530"/>
    <n v="29816646100000"/>
  </r>
  <r>
    <s v="삼성SDI"/>
    <x v="34"/>
    <n v="6400"/>
    <s v="KR7006400006"/>
    <x v="16"/>
    <s v="KOSPI"/>
    <n v="385500"/>
    <n v="-6000"/>
    <n v="-1.53"/>
    <n v="388000"/>
    <n v="399500"/>
    <n v="380000"/>
    <n v="1150046"/>
    <n v="447670336000"/>
    <n v="80585530"/>
    <n v="31065721815000"/>
  </r>
  <r>
    <s v="삼성SDI"/>
    <x v="35"/>
    <n v="6400"/>
    <s v="KR7006400006"/>
    <x v="16"/>
    <s v="KOSPI"/>
    <n v="391500"/>
    <n v="17000"/>
    <n v="4.54"/>
    <n v="374000"/>
    <n v="396000"/>
    <n v="372500"/>
    <n v="1224216"/>
    <n v="477621462750"/>
    <n v="80585530"/>
    <n v="31549234995000"/>
  </r>
  <r>
    <s v="삼성SDI"/>
    <x v="36"/>
    <n v="6400"/>
    <s v="KR7006400006"/>
    <x v="16"/>
    <s v="KOSPI"/>
    <n v="374500"/>
    <n v="18500"/>
    <n v="5.2"/>
    <n v="366500"/>
    <n v="381000"/>
    <n v="357500"/>
    <n v="930111"/>
    <n v="344944552750"/>
    <n v="80585530"/>
    <n v="30179280985000"/>
  </r>
  <r>
    <s v="삼성SDI"/>
    <x v="37"/>
    <n v="6400"/>
    <s v="KR7006400006"/>
    <x v="16"/>
    <s v="KOSPI"/>
    <n v="356000"/>
    <n v="-34000"/>
    <n v="-8.7200000000000006"/>
    <n v="380000"/>
    <n v="386500"/>
    <n v="355500"/>
    <n v="1586089"/>
    <n v="583696228250"/>
    <n v="80585530"/>
    <n v="28688448680000"/>
  </r>
  <r>
    <s v="삼성SDI"/>
    <x v="38"/>
    <n v="6400"/>
    <s v="KR7006400006"/>
    <x v="16"/>
    <s v="KOSPI"/>
    <n v="390000"/>
    <n v="2000"/>
    <n v="0.52"/>
    <n v="390500"/>
    <n v="400500"/>
    <n v="376000"/>
    <n v="1730887"/>
    <n v="670309038750"/>
    <n v="80585530"/>
    <n v="31428356700000"/>
  </r>
  <r>
    <s v="삼성SDI"/>
    <x v="39"/>
    <n v="6400"/>
    <s v="KR7006400006"/>
    <x v="16"/>
    <s v="KOSPI"/>
    <n v="388000"/>
    <n v="-8500"/>
    <n v="-2.14"/>
    <n v="397500"/>
    <n v="399500"/>
    <n v="376500"/>
    <n v="1317541"/>
    <n v="508671024500"/>
    <n v="80585530"/>
    <n v="31267185640000"/>
  </r>
  <r>
    <s v="삼성SDI"/>
    <x v="40"/>
    <n v="6400"/>
    <s v="KR7006400006"/>
    <x v="16"/>
    <s v="KOSPI"/>
    <n v="396500"/>
    <n v="9000"/>
    <n v="2.3199999999999998"/>
    <n v="394000"/>
    <n v="411500"/>
    <n v="390000"/>
    <n v="2071072"/>
    <n v="825603168000"/>
    <n v="80585530"/>
    <n v="31952162645000"/>
  </r>
  <r>
    <s v="삼성SDI"/>
    <x v="41"/>
    <n v="6400"/>
    <s v="KR7006400006"/>
    <x v="16"/>
    <s v="KOSPI"/>
    <n v="387500"/>
    <n v="500"/>
    <n v="0.13"/>
    <n v="373500"/>
    <n v="398000"/>
    <n v="367500"/>
    <n v="1845095"/>
    <n v="703000146250"/>
    <n v="80585530"/>
    <n v="31226892875000"/>
  </r>
  <r>
    <s v="삼성SDI"/>
    <x v="42"/>
    <n v="6400"/>
    <s v="KR7006400006"/>
    <x v="16"/>
    <s v="KOSPI"/>
    <n v="387000"/>
    <n v="14000"/>
    <n v="3.75"/>
    <n v="385500"/>
    <n v="389500"/>
    <n v="375500"/>
    <n v="1609025"/>
    <n v="615447528500"/>
    <n v="80585530"/>
    <n v="31186600110000"/>
  </r>
  <r>
    <s v="삼성SDI"/>
    <x v="43"/>
    <n v="6400"/>
    <s v="KR7006400006"/>
    <x v="16"/>
    <s v="KOSPI"/>
    <n v="373000"/>
    <n v="-11500"/>
    <n v="-2.99"/>
    <n v="402000"/>
    <n v="402000"/>
    <n v="362500"/>
    <n v="3366383"/>
    <n v="1284253309500"/>
    <n v="80585530"/>
    <n v="30058402690000"/>
  </r>
  <r>
    <s v="삼성SDI"/>
    <x v="44"/>
    <n v="6400"/>
    <s v="KR7006400006"/>
    <x v="16"/>
    <s v="KOSPI"/>
    <n v="384500"/>
    <n v="60500"/>
    <n v="18.670000000000002"/>
    <n v="333000"/>
    <n v="385500"/>
    <n v="325500"/>
    <n v="5826300"/>
    <n v="2141968180250"/>
    <n v="80585530"/>
    <n v="30985136285000"/>
  </r>
  <r>
    <s v="삼성SDI"/>
    <x v="45"/>
    <n v="6400"/>
    <s v="KR7006400006"/>
    <x v="16"/>
    <s v="KOSPI"/>
    <n v="324000"/>
    <n v="-2000"/>
    <n v="-0.61"/>
    <n v="316000"/>
    <n v="326500"/>
    <n v="310000"/>
    <n v="1109366"/>
    <n v="352883643750"/>
    <n v="80585530"/>
    <n v="26109711720000"/>
  </r>
  <r>
    <s v="삼성SDI"/>
    <x v="46"/>
    <n v="6400"/>
    <s v="KR7006400006"/>
    <x v="16"/>
    <s v="KOSPI"/>
    <n v="326000"/>
    <n v="12000"/>
    <n v="3.82"/>
    <n v="319000"/>
    <n v="339500"/>
    <n v="315500"/>
    <n v="2148250"/>
    <n v="705015791750"/>
    <n v="80585530"/>
    <n v="26270882780000"/>
  </r>
  <r>
    <s v="삼성SDI"/>
    <x v="47"/>
    <n v="6400"/>
    <s v="KR7006400006"/>
    <x v="16"/>
    <s v="KOSPI"/>
    <n v="314000"/>
    <n v="25000"/>
    <n v="8.65"/>
    <n v="289000"/>
    <n v="320000"/>
    <n v="286000"/>
    <n v="1430872"/>
    <n v="437444040750"/>
    <n v="80585530"/>
    <n v="25303856420000"/>
  </r>
  <r>
    <s v="삼성SDI"/>
    <x v="48"/>
    <n v="6400"/>
    <s v="KR7006400006"/>
    <x v="16"/>
    <s v="KOSPI"/>
    <n v="289000"/>
    <n v="-2500"/>
    <n v="-0.86"/>
    <n v="291500"/>
    <n v="292000"/>
    <n v="286000"/>
    <n v="447796"/>
    <n v="129170193750"/>
    <n v="80585530"/>
    <n v="23289218170000"/>
  </r>
  <r>
    <s v="삼성SDI"/>
    <x v="49"/>
    <n v="6400"/>
    <s v="KR7006400006"/>
    <x v="16"/>
    <s v="KOSPI"/>
    <n v="291500"/>
    <n v="6000"/>
    <n v="2.1"/>
    <n v="287000"/>
    <n v="292000"/>
    <n v="284250"/>
    <n v="487778"/>
    <n v="140793330750"/>
    <n v="80585530"/>
    <n v="23490681995000"/>
  </r>
  <r>
    <s v="삼성SDI"/>
    <x v="50"/>
    <n v="6400"/>
    <s v="KR7006400006"/>
    <x v="16"/>
    <s v="KOSPI"/>
    <n v="285500"/>
    <n v="-14500"/>
    <n v="-4.83"/>
    <n v="298500"/>
    <n v="298500"/>
    <n v="284500"/>
    <n v="663816"/>
    <n v="191295630500"/>
    <n v="80585530"/>
    <n v="23007168815000"/>
  </r>
  <r>
    <s v="삼성SDI"/>
    <x v="51"/>
    <n v="6400"/>
    <s v="KR7006400006"/>
    <x v="16"/>
    <s v="KOSPI"/>
    <n v="300000"/>
    <n v="22000"/>
    <n v="7.91"/>
    <n v="281500"/>
    <n v="302500"/>
    <n v="276000"/>
    <n v="1248744"/>
    <n v="364614536000"/>
    <n v="80585530"/>
    <n v="24175659000000"/>
  </r>
  <r>
    <s v="삼성SDI"/>
    <x v="52"/>
    <n v="6400"/>
    <s v="KR7006400006"/>
    <x v="16"/>
    <s v="KOSPI"/>
    <n v="278000"/>
    <n v="10500"/>
    <n v="3.93"/>
    <n v="265500"/>
    <n v="280500"/>
    <n v="264000"/>
    <n v="704473"/>
    <n v="193674098000"/>
    <n v="80585530"/>
    <n v="22402777340000"/>
  </r>
  <r>
    <s v="삼성SDI"/>
    <x v="53"/>
    <n v="6400"/>
    <s v="KR7006400006"/>
    <x v="16"/>
    <s v="KOSPI"/>
    <n v="267500"/>
    <n v="-3500"/>
    <n v="-1.29"/>
    <n v="272000"/>
    <n v="272000"/>
    <n v="265250"/>
    <n v="433710"/>
    <n v="115869719000"/>
    <n v="80585530"/>
    <n v="21556629275000"/>
  </r>
  <r>
    <s v="삼성SDI"/>
    <x v="54"/>
    <n v="6400"/>
    <s v="KR7006400006"/>
    <x v="16"/>
    <s v="KOSPI"/>
    <n v="271000"/>
    <n v="500"/>
    <n v="0.18"/>
    <n v="271500"/>
    <n v="274000"/>
    <n v="269000"/>
    <n v="556265"/>
    <n v="150733593250"/>
    <n v="80585530"/>
    <n v="21838678630000"/>
  </r>
  <r>
    <s v="삼성SDI"/>
    <x v="55"/>
    <n v="6400"/>
    <s v="KR7006400006"/>
    <x v="16"/>
    <s v="KOSPI"/>
    <n v="270500"/>
    <n v="-6500"/>
    <n v="-2.35"/>
    <n v="279000"/>
    <n v="280000"/>
    <n v="268500"/>
    <n v="603479"/>
    <n v="164656866500"/>
    <n v="80585530"/>
    <n v="21798385865000"/>
  </r>
  <r>
    <s v="삼성SDI"/>
    <x v="56"/>
    <n v="6400"/>
    <s v="KR7006400006"/>
    <x v="16"/>
    <s v="KOSPI"/>
    <n v="277000"/>
    <n v="2000"/>
    <n v="0.73"/>
    <n v="282000"/>
    <n v="282000"/>
    <n v="274000"/>
    <n v="448991"/>
    <n v="124417303250"/>
    <n v="80585530"/>
    <n v="22322191810000"/>
  </r>
  <r>
    <s v="삼성SDI"/>
    <x v="57"/>
    <n v="6400"/>
    <s v="KR7006400006"/>
    <x v="16"/>
    <s v="KOSPI"/>
    <n v="275000"/>
    <n v="12500"/>
    <n v="4.76"/>
    <n v="260000"/>
    <n v="280000"/>
    <n v="259500"/>
    <n v="805956"/>
    <n v="220120177500"/>
    <n v="80585530"/>
    <n v="22161020750000"/>
  </r>
  <r>
    <s v="삼성SDI"/>
    <x v="58"/>
    <n v="6400"/>
    <s v="KR7006400006"/>
    <x v="16"/>
    <s v="KOSPI"/>
    <n v="262500"/>
    <n v="-7000"/>
    <n v="-2.6"/>
    <n v="268000"/>
    <n v="268000"/>
    <n v="259000"/>
    <n v="616243"/>
    <n v="161895753000"/>
    <n v="80585530"/>
    <n v="21153701625000"/>
  </r>
  <r>
    <s v="현대모비스"/>
    <x v="0"/>
    <n v="12330"/>
    <s v="KR7012330007"/>
    <x v="17"/>
    <s v="KOSPI"/>
    <n v="378000"/>
    <n v="-20000"/>
    <n v="-5.03"/>
    <n v="387500"/>
    <n v="391500"/>
    <n v="376500"/>
    <n v="334294"/>
    <n v="127837618000"/>
    <n v="90732583"/>
    <n v="34296916374000"/>
  </r>
  <r>
    <s v="현대모비스"/>
    <x v="1"/>
    <n v="12330"/>
    <s v="KR7012330007"/>
    <x v="17"/>
    <s v="KOSPI"/>
    <n v="398000"/>
    <n v="-10500"/>
    <n v="-2.57"/>
    <n v="383500"/>
    <n v="400000"/>
    <n v="380000"/>
    <n v="198668"/>
    <n v="78289974250"/>
    <n v="90732583"/>
    <n v="36111568034000"/>
  </r>
  <r>
    <s v="현대모비스"/>
    <x v="2"/>
    <n v="12330"/>
    <s v="KR7012330007"/>
    <x v="17"/>
    <s v="KOSPI"/>
    <n v="408500"/>
    <n v="10000"/>
    <n v="2.5099999999999998"/>
    <n v="388000"/>
    <n v="411000"/>
    <n v="385500"/>
    <n v="298310"/>
    <n v="120180428750"/>
    <n v="90732583"/>
    <n v="37064260155500"/>
  </r>
  <r>
    <s v="현대모비스"/>
    <x v="3"/>
    <n v="12330"/>
    <s v="KR7012330007"/>
    <x v="17"/>
    <s v="KOSPI"/>
    <n v="398500"/>
    <n v="-3500"/>
    <n v="-0.87"/>
    <n v="402000"/>
    <n v="402000"/>
    <n v="393500"/>
    <n v="198857"/>
    <n v="79174846250"/>
    <n v="90732583"/>
    <n v="36156934325500"/>
  </r>
  <r>
    <s v="현대모비스"/>
    <x v="4"/>
    <n v="12330"/>
    <s v="KR7012330007"/>
    <x v="17"/>
    <s v="KOSPI"/>
    <n v="402000"/>
    <n v="9500"/>
    <n v="2.42"/>
    <n v="400000"/>
    <n v="403000"/>
    <n v="395500"/>
    <n v="226151"/>
    <n v="90508540750"/>
    <n v="90732583"/>
    <n v="36474498366000"/>
  </r>
  <r>
    <s v="현대모비스"/>
    <x v="5"/>
    <n v="12330"/>
    <s v="KR7012330007"/>
    <x v="17"/>
    <s v="KOSPI"/>
    <n v="392500"/>
    <n v="11500"/>
    <n v="3.02"/>
    <n v="397500"/>
    <n v="397500"/>
    <n v="382500"/>
    <n v="236563"/>
    <n v="92050699750"/>
    <n v="90732583"/>
    <n v="35612538827500"/>
  </r>
  <r>
    <s v="현대모비스"/>
    <x v="6"/>
    <n v="12330"/>
    <s v="KR7012330007"/>
    <x v="17"/>
    <s v="KOSPI"/>
    <n v="381000"/>
    <n v="-19500"/>
    <n v="-4.87"/>
    <n v="379500"/>
    <n v="387000"/>
    <n v="372000"/>
    <n v="295324"/>
    <n v="111935832000"/>
    <n v="90732583"/>
    <n v="34569114123000"/>
  </r>
  <r>
    <s v="현대모비스"/>
    <x v="7"/>
    <n v="12330"/>
    <s v="KR7012330007"/>
    <x v="17"/>
    <s v="KOSPI"/>
    <n v="400500"/>
    <n v="-12500"/>
    <n v="-3.03"/>
    <n v="414500"/>
    <n v="415000"/>
    <n v="400500"/>
    <n v="357334"/>
    <n v="144368667500"/>
    <n v="90732583"/>
    <n v="36338399491500"/>
  </r>
  <r>
    <s v="현대모비스"/>
    <x v="8"/>
    <n v="12330"/>
    <s v="KR7012330007"/>
    <x v="17"/>
    <s v="KOSPI"/>
    <n v="413000"/>
    <n v="-17000"/>
    <n v="-3.95"/>
    <n v="414000"/>
    <n v="419500"/>
    <n v="411000"/>
    <n v="177528"/>
    <n v="73423261750"/>
    <n v="90732583"/>
    <n v="37472556779000"/>
  </r>
  <r>
    <s v="현대모비스"/>
    <x v="9"/>
    <n v="12330"/>
    <s v="KR7012330007"/>
    <x v="17"/>
    <s v="KOSPI"/>
    <n v="430000"/>
    <n v="17500"/>
    <n v="4.24"/>
    <n v="420500"/>
    <n v="431000"/>
    <n v="419000"/>
    <n v="210557"/>
    <n v="90058971500"/>
    <n v="90732583"/>
    <n v="39015010690000"/>
  </r>
  <r>
    <s v="현대모비스"/>
    <x v="10"/>
    <n v="12330"/>
    <s v="KR7012330007"/>
    <x v="17"/>
    <s v="KOSPI"/>
    <n v="412500"/>
    <n v="11500"/>
    <n v="2.87"/>
    <n v="413500"/>
    <n v="420000"/>
    <n v="410500"/>
    <n v="166536"/>
    <n v="68891905750"/>
    <n v="90732583"/>
    <n v="37427190487500"/>
  </r>
  <r>
    <s v="현대모비스"/>
    <x v="11"/>
    <n v="12330"/>
    <s v="KR7012330007"/>
    <x v="17"/>
    <s v="KOSPI"/>
    <n v="401000"/>
    <n v="-3000"/>
    <n v="-0.74"/>
    <n v="400500"/>
    <n v="405000"/>
    <n v="392000"/>
    <n v="177548"/>
    <n v="70853879000"/>
    <n v="90732583"/>
    <n v="36383765783000"/>
  </r>
  <r>
    <s v="현대모비스"/>
    <x v="12"/>
    <n v="12330"/>
    <s v="KR7012330007"/>
    <x v="17"/>
    <s v="KOSPI"/>
    <n v="404000"/>
    <n v="-10500"/>
    <n v="-2.5299999999999998"/>
    <n v="399000"/>
    <n v="412500"/>
    <n v="398500"/>
    <n v="267460"/>
    <n v="108049319500"/>
    <n v="90732583"/>
    <n v="36655963532000"/>
  </r>
  <r>
    <s v="현대모비스"/>
    <x v="13"/>
    <n v="12330"/>
    <s v="KR7012330007"/>
    <x v="17"/>
    <s v="KOSPI"/>
    <n v="414500"/>
    <n v="-8500"/>
    <n v="-2.0099999999999998"/>
    <n v="415000"/>
    <n v="419500"/>
    <n v="403500"/>
    <n v="389077"/>
    <n v="159934114000"/>
    <n v="90732583"/>
    <n v="37608655653500"/>
  </r>
  <r>
    <s v="현대모비스"/>
    <x v="14"/>
    <n v="12330"/>
    <s v="KR7012330007"/>
    <x v="17"/>
    <s v="KOSPI"/>
    <n v="423000"/>
    <n v="0"/>
    <n v="0"/>
    <n v="443000"/>
    <n v="447000"/>
    <n v="419500"/>
    <n v="326398"/>
    <n v="141234638250"/>
    <n v="90732583"/>
    <n v="38379882609000"/>
  </r>
  <r>
    <s v="현대모비스"/>
    <x v="15"/>
    <n v="12330"/>
    <s v="KR7012330007"/>
    <x v="17"/>
    <s v="KOSPI"/>
    <n v="423000"/>
    <n v="14000"/>
    <n v="3.42"/>
    <n v="431000"/>
    <n v="435000"/>
    <n v="414000"/>
    <n v="277816"/>
    <n v="117417574500"/>
    <n v="90732583"/>
    <n v="38379882609000"/>
  </r>
  <r>
    <s v="현대모비스"/>
    <x v="16"/>
    <n v="12330"/>
    <s v="KR7012330007"/>
    <x v="17"/>
    <s v="KOSPI"/>
    <n v="409000"/>
    <n v="-35000"/>
    <n v="-7.88"/>
    <n v="402500"/>
    <n v="412000"/>
    <n v="393500"/>
    <n v="421928"/>
    <n v="169677873500"/>
    <n v="90732583"/>
    <n v="37109626447000"/>
  </r>
  <r>
    <s v="현대모비스"/>
    <x v="17"/>
    <n v="12330"/>
    <s v="KR7012330007"/>
    <x v="17"/>
    <s v="KOSPI"/>
    <n v="444000"/>
    <n v="12000"/>
    <n v="2.78"/>
    <n v="423500"/>
    <n v="451000"/>
    <n v="422500"/>
    <n v="449828"/>
    <n v="198065433000"/>
    <n v="90732583"/>
    <n v="40285266852000"/>
  </r>
  <r>
    <s v="현대모비스"/>
    <x v="18"/>
    <n v="12330"/>
    <s v="KR7012330007"/>
    <x v="17"/>
    <s v="KOSPI"/>
    <n v="432000"/>
    <n v="33000"/>
    <n v="8.27"/>
    <n v="439500"/>
    <n v="441500"/>
    <n v="422500"/>
    <n v="474443"/>
    <n v="205131915000"/>
    <n v="90732583"/>
    <n v="39196475856000"/>
  </r>
  <r>
    <s v="현대모비스"/>
    <x v="19"/>
    <n v="12330"/>
    <s v="KR7012330007"/>
    <x v="17"/>
    <s v="KOSPI"/>
    <n v="399000"/>
    <n v="-69500"/>
    <n v="-14.83"/>
    <n v="437500"/>
    <n v="450500"/>
    <n v="387500"/>
    <n v="595147"/>
    <n v="249232072000"/>
    <n v="90732583"/>
    <n v="36202300617000"/>
  </r>
  <r>
    <s v="현대모비스"/>
    <x v="20"/>
    <n v="12330"/>
    <s v="KR7012330007"/>
    <x v="17"/>
    <s v="KOSPI"/>
    <n v="468500"/>
    <n v="-48500"/>
    <n v="-9.3800000000000008"/>
    <n v="512000"/>
    <n v="520000"/>
    <n v="467000"/>
    <n v="568767"/>
    <n v="278422211000"/>
    <n v="90732583"/>
    <n v="42508215135500"/>
  </r>
  <r>
    <s v="현대모비스"/>
    <x v="21"/>
    <n v="12330"/>
    <s v="KR7012330007"/>
    <x v="17"/>
    <s v="KOSPI"/>
    <n v="517000"/>
    <n v="-12000"/>
    <n v="-2.27"/>
    <n v="507000"/>
    <n v="531000"/>
    <n v="492500"/>
    <n v="1070764"/>
    <n v="549593710750"/>
    <n v="90732583"/>
    <n v="46908745411000"/>
  </r>
  <r>
    <s v="현대모비스"/>
    <x v="22"/>
    <n v="12330"/>
    <s v="KR7012330007"/>
    <x v="17"/>
    <s v="KOSPI"/>
    <n v="529000"/>
    <n v="59500"/>
    <n v="12.67"/>
    <n v="488000"/>
    <n v="531000"/>
    <n v="481500"/>
    <n v="908063"/>
    <n v="459639571000"/>
    <n v="90732583"/>
    <n v="47997536407000"/>
  </r>
  <r>
    <s v="현대모비스"/>
    <x v="23"/>
    <n v="12330"/>
    <s v="KR7012330007"/>
    <x v="17"/>
    <s v="KOSPI"/>
    <n v="469500"/>
    <n v="16500"/>
    <n v="3.64"/>
    <n v="457000"/>
    <n v="475000"/>
    <n v="452500"/>
    <n v="712489"/>
    <n v="332510257500"/>
    <n v="90732583"/>
    <n v="42598947718500"/>
  </r>
  <r>
    <s v="현대모비스"/>
    <x v="24"/>
    <n v="12330"/>
    <s v="KR7012330007"/>
    <x v="17"/>
    <s v="KOSPI"/>
    <n v="453000"/>
    <n v="7500"/>
    <n v="1.68"/>
    <n v="446000"/>
    <n v="453000"/>
    <n v="441500"/>
    <n v="297925"/>
    <n v="134072005250"/>
    <n v="90732583"/>
    <n v="41101860099000"/>
  </r>
  <r>
    <s v="현대모비스"/>
    <x v="25"/>
    <n v="12330"/>
    <s v="KR7012330007"/>
    <x v="17"/>
    <s v="KOSPI"/>
    <n v="445500"/>
    <n v="2500"/>
    <n v="0.56000000000000005"/>
    <n v="447000"/>
    <n v="455500"/>
    <n v="441500"/>
    <n v="277449"/>
    <n v="124060098000"/>
    <n v="90732583"/>
    <n v="40421365726500"/>
  </r>
  <r>
    <s v="현대모비스"/>
    <x v="26"/>
    <n v="12330"/>
    <s v="KR7012330007"/>
    <x v="17"/>
    <s v="KOSPI"/>
    <n v="443000"/>
    <n v="2500"/>
    <n v="0.56999999999999995"/>
    <n v="441000"/>
    <n v="446500"/>
    <n v="439500"/>
    <n v="223694"/>
    <n v="98875577750"/>
    <n v="90732583"/>
    <n v="40194534269000"/>
  </r>
  <r>
    <s v="현대모비스"/>
    <x v="27"/>
    <n v="12330"/>
    <s v="KR7012330007"/>
    <x v="17"/>
    <s v="KOSPI"/>
    <n v="440500"/>
    <n v="5500"/>
    <n v="1.26"/>
    <n v="437000"/>
    <n v="445500"/>
    <n v="433000"/>
    <n v="297467"/>
    <n v="130548343750"/>
    <n v="90732583"/>
    <n v="39967702811500"/>
  </r>
  <r>
    <s v="현대모비스"/>
    <x v="28"/>
    <n v="12330"/>
    <s v="KR7012330007"/>
    <x v="17"/>
    <s v="KOSPI"/>
    <n v="435000"/>
    <n v="-11000"/>
    <n v="-2.4700000000000002"/>
    <n v="440000"/>
    <n v="445500"/>
    <n v="434000"/>
    <n v="274054"/>
    <n v="120003864584"/>
    <n v="90732583"/>
    <n v="39468673605000"/>
  </r>
  <r>
    <s v="현대모비스"/>
    <x v="29"/>
    <n v="12330"/>
    <s v="KR7012330007"/>
    <x v="17"/>
    <s v="KOSPI"/>
    <n v="446000"/>
    <n v="0"/>
    <n v="0"/>
    <n v="443000"/>
    <n v="446000"/>
    <n v="436000"/>
    <n v="314889"/>
    <n v="139534614224"/>
    <n v="90732583"/>
    <n v="40466732018000"/>
  </r>
  <r>
    <s v="현대모비스"/>
    <x v="30"/>
    <n v="12330"/>
    <s v="KR7012330007"/>
    <x v="17"/>
    <s v="KOSPI"/>
    <n v="446000"/>
    <n v="9000"/>
    <n v="2.06"/>
    <n v="438500"/>
    <n v="447500"/>
    <n v="434500"/>
    <n v="312230"/>
    <n v="137992650250"/>
    <n v="90732583"/>
    <n v="40466732018000"/>
  </r>
  <r>
    <s v="현대모비스"/>
    <x v="31"/>
    <n v="12330"/>
    <s v="KR7012330007"/>
    <x v="17"/>
    <s v="KOSPI"/>
    <n v="437000"/>
    <n v="2000"/>
    <n v="0.46"/>
    <n v="446000"/>
    <n v="448000"/>
    <n v="434000"/>
    <n v="219665"/>
    <n v="96297856572"/>
    <n v="90732583"/>
    <n v="39650138771000"/>
  </r>
  <r>
    <s v="현대모비스"/>
    <x v="32"/>
    <n v="12330"/>
    <s v="KR7012330007"/>
    <x v="17"/>
    <s v="KOSPI"/>
    <n v="435000"/>
    <n v="9000"/>
    <n v="2.11"/>
    <n v="437000"/>
    <n v="438000"/>
    <n v="428000"/>
    <n v="244335"/>
    <n v="105930301250"/>
    <n v="90732583"/>
    <n v="39468673605000"/>
  </r>
  <r>
    <s v="현대모비스"/>
    <x v="33"/>
    <n v="12330"/>
    <s v="KR7012330007"/>
    <x v="17"/>
    <s v="KOSPI"/>
    <n v="426000"/>
    <n v="-7500"/>
    <n v="-1.73"/>
    <n v="417500"/>
    <n v="426000"/>
    <n v="406000"/>
    <n v="365979"/>
    <n v="152889305250"/>
    <n v="90732583"/>
    <n v="38652080358000"/>
  </r>
  <r>
    <s v="현대모비스"/>
    <x v="34"/>
    <n v="12330"/>
    <s v="KR7012330007"/>
    <x v="17"/>
    <s v="KOSPI"/>
    <n v="433500"/>
    <n v="-15000"/>
    <n v="-3.34"/>
    <n v="436500"/>
    <n v="447000"/>
    <n v="426000"/>
    <n v="326087"/>
    <n v="141896087000"/>
    <n v="90732583"/>
    <n v="39332574730500"/>
  </r>
  <r>
    <s v="현대모비스"/>
    <x v="35"/>
    <n v="12330"/>
    <s v="KR7012330007"/>
    <x v="17"/>
    <s v="KOSPI"/>
    <n v="448500"/>
    <n v="4000"/>
    <n v="0.9"/>
    <n v="447000"/>
    <n v="455000"/>
    <n v="442000"/>
    <n v="287368"/>
    <n v="128231619500"/>
    <n v="90732583"/>
    <n v="40693563475500"/>
  </r>
  <r>
    <s v="현대모비스"/>
    <x v="36"/>
    <n v="12330"/>
    <s v="KR7012330007"/>
    <x v="17"/>
    <s v="KOSPI"/>
    <n v="444500"/>
    <n v="8500"/>
    <n v="1.95"/>
    <n v="435000"/>
    <n v="447000"/>
    <n v="429500"/>
    <n v="361268"/>
    <n v="158586185500"/>
    <n v="90732583"/>
    <n v="40330633143500"/>
  </r>
  <r>
    <s v="현대모비스"/>
    <x v="37"/>
    <n v="12330"/>
    <s v="KR7012330007"/>
    <x v="17"/>
    <s v="KOSPI"/>
    <n v="436000"/>
    <n v="-13000"/>
    <n v="-2.9"/>
    <n v="440000"/>
    <n v="455500"/>
    <n v="432000"/>
    <n v="404323"/>
    <n v="178682350500"/>
    <n v="90732583"/>
    <n v="39559406188000"/>
  </r>
  <r>
    <s v="현대모비스"/>
    <x v="38"/>
    <n v="12330"/>
    <s v="KR7012330007"/>
    <x v="17"/>
    <s v="KOSPI"/>
    <n v="449000"/>
    <n v="-8000"/>
    <n v="-1.75"/>
    <n v="450500"/>
    <n v="456000"/>
    <n v="443500"/>
    <n v="389855"/>
    <n v="175397017500"/>
    <n v="90732583"/>
    <n v="40738929767000"/>
  </r>
  <r>
    <s v="현대모비스"/>
    <x v="39"/>
    <n v="12330"/>
    <s v="KR7012330007"/>
    <x v="17"/>
    <s v="KOSPI"/>
    <n v="457000"/>
    <n v="10000"/>
    <n v="2.2400000000000002"/>
    <n v="450500"/>
    <n v="460500"/>
    <n v="446500"/>
    <n v="677223"/>
    <n v="307678170250"/>
    <n v="90732583"/>
    <n v="41464790431000"/>
  </r>
  <r>
    <s v="현대모비스"/>
    <x v="40"/>
    <n v="12330"/>
    <s v="KR7012330007"/>
    <x v="17"/>
    <s v="KOSPI"/>
    <n v="447000"/>
    <n v="-13000"/>
    <n v="-2.83"/>
    <n v="466000"/>
    <n v="468250"/>
    <n v="446000"/>
    <n v="586775"/>
    <n v="266017104000"/>
    <n v="90732583"/>
    <n v="40557464601000"/>
  </r>
  <r>
    <s v="현대모비스"/>
    <x v="41"/>
    <n v="12330"/>
    <s v="KR7012330007"/>
    <x v="17"/>
    <s v="KOSPI"/>
    <n v="460000"/>
    <n v="-5500"/>
    <n v="-1.18"/>
    <n v="441500"/>
    <n v="467000"/>
    <n v="439000"/>
    <n v="529631"/>
    <n v="241658589250"/>
    <n v="90732583"/>
    <n v="41736988180000"/>
  </r>
  <r>
    <s v="현대모비스"/>
    <x v="42"/>
    <n v="12330"/>
    <s v="KR7012330007"/>
    <x v="17"/>
    <s v="KOSPI"/>
    <n v="465500"/>
    <n v="8000"/>
    <n v="1.75"/>
    <n v="460500"/>
    <n v="476000"/>
    <n v="456000"/>
    <n v="523224"/>
    <n v="243577659000"/>
    <n v="90732583"/>
    <n v="42236017386500"/>
  </r>
  <r>
    <s v="현대모비스"/>
    <x v="43"/>
    <n v="12330"/>
    <s v="KR7012330007"/>
    <x v="17"/>
    <s v="KOSPI"/>
    <n v="457500"/>
    <n v="4000"/>
    <n v="0.88"/>
    <n v="447000"/>
    <n v="466500"/>
    <n v="444000"/>
    <n v="637298"/>
    <n v="290593228750"/>
    <n v="90732583"/>
    <n v="41510156722500"/>
  </r>
  <r>
    <s v="현대모비스"/>
    <x v="44"/>
    <n v="12330"/>
    <s v="KR7012330007"/>
    <x v="17"/>
    <s v="KOSPI"/>
    <n v="453500"/>
    <n v="-34000"/>
    <n v="-6.97"/>
    <n v="497000"/>
    <n v="499500"/>
    <n v="451500"/>
    <n v="1272206"/>
    <n v="595746361250"/>
    <n v="90732583"/>
    <n v="41147226390500"/>
  </r>
  <r>
    <s v="현대모비스"/>
    <x v="45"/>
    <n v="12330"/>
    <s v="KR7012330007"/>
    <x v="17"/>
    <s v="KOSPI"/>
    <n v="487500"/>
    <n v="36500"/>
    <n v="8.09"/>
    <n v="435500"/>
    <n v="491000"/>
    <n v="434500"/>
    <n v="1202269"/>
    <n v="570109803750"/>
    <n v="90732583"/>
    <n v="44232134212500"/>
  </r>
  <r>
    <s v="현대모비스"/>
    <x v="46"/>
    <n v="12330"/>
    <s v="KR7012330007"/>
    <x v="17"/>
    <s v="KOSPI"/>
    <n v="451000"/>
    <n v="-6500"/>
    <n v="-1.42"/>
    <n v="461000"/>
    <n v="474000"/>
    <n v="439000"/>
    <n v="531236"/>
    <n v="238563896500"/>
    <n v="90732583"/>
    <n v="40920394933000"/>
  </r>
  <r>
    <s v="현대모비스"/>
    <x v="47"/>
    <n v="12330"/>
    <s v="KR7012330007"/>
    <x v="17"/>
    <s v="KOSPI"/>
    <n v="457500"/>
    <n v="26500"/>
    <n v="6.15"/>
    <n v="431500"/>
    <n v="462500"/>
    <n v="430000"/>
    <n v="761480"/>
    <n v="343186315000"/>
    <n v="90732583"/>
    <n v="41510156722500"/>
  </r>
  <r>
    <s v="현대모비스"/>
    <x v="48"/>
    <n v="12330"/>
    <s v="KR7012330007"/>
    <x v="17"/>
    <s v="KOSPI"/>
    <n v="431000"/>
    <n v="-19500"/>
    <n v="-4.33"/>
    <n v="449000"/>
    <n v="449500"/>
    <n v="428500"/>
    <n v="648235"/>
    <n v="283804821750"/>
    <n v="90732583"/>
    <n v="39105743273000"/>
  </r>
  <r>
    <s v="현대모비스"/>
    <x v="49"/>
    <n v="12330"/>
    <s v="KR7012330007"/>
    <x v="17"/>
    <s v="KOSPI"/>
    <n v="450500"/>
    <n v="500"/>
    <n v="0.11"/>
    <n v="444000"/>
    <n v="459000"/>
    <n v="440500"/>
    <n v="606056"/>
    <n v="272740685000"/>
    <n v="90732583"/>
    <n v="40875028641500"/>
  </r>
  <r>
    <s v="현대모비스"/>
    <x v="50"/>
    <n v="12330"/>
    <s v="KR7012330007"/>
    <x v="17"/>
    <s v="KOSPI"/>
    <n v="450000"/>
    <n v="-1000"/>
    <n v="-0.22"/>
    <n v="448000"/>
    <n v="453000"/>
    <n v="433000"/>
    <n v="672126"/>
    <n v="298772895000"/>
    <n v="90732583"/>
    <n v="40829662350000"/>
  </r>
  <r>
    <s v="현대모비스"/>
    <x v="51"/>
    <n v="12330"/>
    <s v="KR7012330007"/>
    <x v="17"/>
    <s v="KOSPI"/>
    <n v="451000"/>
    <n v="57000"/>
    <n v="14.47"/>
    <n v="402500"/>
    <n v="468500"/>
    <n v="402000"/>
    <n v="1659185"/>
    <n v="738790448500"/>
    <n v="90732583"/>
    <n v="40920394933000"/>
  </r>
  <r>
    <s v="현대모비스"/>
    <x v="52"/>
    <n v="12330"/>
    <s v="KR7012330007"/>
    <x v="17"/>
    <s v="KOSPI"/>
    <n v="394000"/>
    <n v="-5500"/>
    <n v="-1.38"/>
    <n v="418000"/>
    <n v="418000"/>
    <n v="389500"/>
    <n v="585772"/>
    <n v="233669989000"/>
    <n v="90732583"/>
    <n v="35748637702000"/>
  </r>
  <r>
    <s v="현대모비스"/>
    <x v="53"/>
    <n v="12330"/>
    <s v="KR7012330007"/>
    <x v="17"/>
    <s v="KOSPI"/>
    <n v="399500"/>
    <n v="8500"/>
    <n v="2.17"/>
    <n v="399500"/>
    <n v="402500"/>
    <n v="382500"/>
    <n v="517573"/>
    <n v="204078696017"/>
    <n v="90732583"/>
    <n v="36247666908500"/>
  </r>
  <r>
    <s v="현대모비스"/>
    <x v="54"/>
    <n v="12330"/>
    <s v="KR7012330007"/>
    <x v="17"/>
    <s v="KOSPI"/>
    <n v="391000"/>
    <n v="-1500"/>
    <n v="-0.38"/>
    <n v="404500"/>
    <n v="404500"/>
    <n v="390000"/>
    <n v="470773"/>
    <n v="185750899750"/>
    <n v="90732583"/>
    <n v="35476439953000"/>
  </r>
  <r>
    <s v="현대모비스"/>
    <x v="55"/>
    <n v="12330"/>
    <s v="KR7012330007"/>
    <x v="17"/>
    <s v="KOSPI"/>
    <n v="392500"/>
    <n v="26500"/>
    <n v="7.24"/>
    <n v="368000"/>
    <n v="403500"/>
    <n v="367000"/>
    <n v="983557"/>
    <n v="384448818750"/>
    <n v="90732583"/>
    <n v="35612538827500"/>
  </r>
  <r>
    <s v="현대모비스"/>
    <x v="56"/>
    <n v="12330"/>
    <s v="KR7012330007"/>
    <x v="17"/>
    <s v="KOSPI"/>
    <n v="366000"/>
    <n v="-6000"/>
    <n v="-1.61"/>
    <n v="380500"/>
    <n v="390000"/>
    <n v="363000"/>
    <n v="614394"/>
    <n v="228852219250"/>
    <n v="90732583"/>
    <n v="33208125378000"/>
  </r>
  <r>
    <s v="현대모비스"/>
    <x v="57"/>
    <n v="12330"/>
    <s v="KR7012330007"/>
    <x v="17"/>
    <s v="KOSPI"/>
    <n v="372000"/>
    <n v="3000"/>
    <n v="0.81"/>
    <n v="371000"/>
    <n v="382500"/>
    <n v="367000"/>
    <n v="239154"/>
    <n v="89261356500"/>
    <n v="90732583"/>
    <n v="33752520876000"/>
  </r>
  <r>
    <s v="현대모비스"/>
    <x v="58"/>
    <n v="12330"/>
    <s v="KR7012330007"/>
    <x v="17"/>
    <s v="KOSPI"/>
    <n v="369000"/>
    <n v="-4000"/>
    <n v="-1.07"/>
    <n v="374000"/>
    <n v="385000"/>
    <n v="365000"/>
    <n v="230839"/>
    <n v="85769522500"/>
    <n v="90732583"/>
    <n v="33480323127000"/>
  </r>
  <r>
    <s v="미래에셋증권"/>
    <x v="0"/>
    <n v="6800"/>
    <s v="KR7006800007"/>
    <x v="18"/>
    <s v="KOSPI"/>
    <n v="61600"/>
    <n v="-1100"/>
    <n v="-1.75"/>
    <n v="60900"/>
    <n v="63500"/>
    <n v="60700"/>
    <n v="2624633"/>
    <n v="162369061650"/>
    <n v="555316408"/>
    <n v="34207490732800"/>
  </r>
  <r>
    <s v="미래에셋증권"/>
    <x v="1"/>
    <n v="6800"/>
    <s v="KR7006800007"/>
    <x v="18"/>
    <s v="KOSPI"/>
    <n v="62700"/>
    <n v="-4400"/>
    <n v="-6.56"/>
    <n v="63100"/>
    <n v="63800"/>
    <n v="62100"/>
    <n v="1861721"/>
    <n v="117079469250"/>
    <n v="555316408"/>
    <n v="34818338781600"/>
  </r>
  <r>
    <s v="미래에셋증권"/>
    <x v="2"/>
    <n v="6800"/>
    <s v="KR7006800007"/>
    <x v="18"/>
    <s v="KOSPI"/>
    <n v="67100"/>
    <n v="1800"/>
    <n v="2.76"/>
    <n v="63200"/>
    <n v="67200"/>
    <n v="62400"/>
    <n v="2969987"/>
    <n v="193952002900"/>
    <n v="555316408"/>
    <n v="37261730976800"/>
  </r>
  <r>
    <s v="미래에셋증권"/>
    <x v="3"/>
    <n v="6800"/>
    <s v="KR7006800007"/>
    <x v="18"/>
    <s v="KOSPI"/>
    <n v="65300"/>
    <n v="-2000"/>
    <n v="-2.97"/>
    <n v="69700"/>
    <n v="69800"/>
    <n v="65100"/>
    <n v="3636452"/>
    <n v="243876143950"/>
    <n v="555316408"/>
    <n v="36262161442400"/>
  </r>
  <r>
    <s v="미래에셋증권"/>
    <x v="4"/>
    <n v="6800"/>
    <s v="KR7006800007"/>
    <x v="18"/>
    <s v="KOSPI"/>
    <n v="67300"/>
    <n v="6200"/>
    <n v="10.15"/>
    <n v="63700"/>
    <n v="68800"/>
    <n v="62900"/>
    <n v="5318315"/>
    <n v="351894124350"/>
    <n v="555316408"/>
    <n v="37372794258400"/>
  </r>
  <r>
    <s v="미래에셋증권"/>
    <x v="5"/>
    <n v="6800"/>
    <s v="KR7006800007"/>
    <x v="18"/>
    <s v="KOSPI"/>
    <n v="61100"/>
    <n v="-800"/>
    <n v="-1.29"/>
    <n v="65200"/>
    <n v="65200"/>
    <n v="59600"/>
    <n v="3162432"/>
    <n v="194257104900"/>
    <n v="555316408"/>
    <n v="33929832528800"/>
  </r>
  <r>
    <s v="미래에셋증권"/>
    <x v="6"/>
    <n v="6800"/>
    <s v="KR7006800007"/>
    <x v="18"/>
    <s v="KOSPI"/>
    <n v="61900"/>
    <n v="-5800"/>
    <n v="-8.57"/>
    <n v="65000"/>
    <n v="65000"/>
    <n v="61600"/>
    <n v="2920975"/>
    <n v="183203310100"/>
    <n v="555316408"/>
    <n v="34374085655200"/>
  </r>
  <r>
    <s v="미래에셋증권"/>
    <x v="7"/>
    <n v="6800"/>
    <s v="KR7006800007"/>
    <x v="18"/>
    <s v="KOSPI"/>
    <n v="67700"/>
    <n v="1000"/>
    <n v="1.5"/>
    <n v="67700"/>
    <n v="69400"/>
    <n v="67500"/>
    <n v="3126897"/>
    <n v="213502430800"/>
    <n v="555316408"/>
    <n v="37594920821600"/>
  </r>
  <r>
    <s v="미래에셋증권"/>
    <x v="8"/>
    <n v="6800"/>
    <s v="KR7006800007"/>
    <x v="18"/>
    <s v="KOSPI"/>
    <n v="66700"/>
    <n v="-3200"/>
    <n v="-4.58"/>
    <n v="67600"/>
    <n v="68500"/>
    <n v="66600"/>
    <n v="2521922"/>
    <n v="170268882350"/>
    <n v="555316408"/>
    <n v="37039604413600"/>
  </r>
  <r>
    <s v="미래에셋증권"/>
    <x v="9"/>
    <n v="6800"/>
    <s v="KR7006800007"/>
    <x v="18"/>
    <s v="KOSPI"/>
    <n v="69900"/>
    <n v="800"/>
    <n v="1.1599999999999999"/>
    <n v="71000"/>
    <n v="71300"/>
    <n v="69300"/>
    <n v="3198774"/>
    <n v="223654069400"/>
    <n v="567085734"/>
    <n v="39639292806600"/>
  </r>
  <r>
    <s v="미래에셋증권"/>
    <x v="10"/>
    <n v="6800"/>
    <s v="KR7006800007"/>
    <x v="18"/>
    <s v="KOSPI"/>
    <n v="69100"/>
    <n v="-1800"/>
    <n v="-2.54"/>
    <n v="72600"/>
    <n v="72700"/>
    <n v="69000"/>
    <n v="3225955"/>
    <n v="227639149500"/>
    <n v="567085734"/>
    <n v="39185624219400"/>
  </r>
  <r>
    <s v="미래에셋증권"/>
    <x v="11"/>
    <n v="6800"/>
    <s v="KR7006800007"/>
    <x v="18"/>
    <s v="KOSPI"/>
    <n v="70900"/>
    <n v="1700"/>
    <n v="2.46"/>
    <n v="70700"/>
    <n v="73000"/>
    <n v="69200"/>
    <n v="4166413"/>
    <n v="295454201100"/>
    <n v="567085734"/>
    <n v="40206378540600"/>
  </r>
  <r>
    <s v="미래에셋증권"/>
    <x v="12"/>
    <n v="6800"/>
    <s v="KR7006800007"/>
    <x v="18"/>
    <s v="KOSPI"/>
    <n v="69500"/>
    <n v="-900"/>
    <n v="-1.28"/>
    <n v="67300"/>
    <n v="71400"/>
    <n v="66500"/>
    <n v="3556373"/>
    <n v="246521669700"/>
    <n v="567085734"/>
    <n v="39412458513000"/>
  </r>
  <r>
    <s v="미래에셋증권"/>
    <x v="13"/>
    <n v="6800"/>
    <s v="KR7006800007"/>
    <x v="18"/>
    <s v="KOSPI"/>
    <n v="70400"/>
    <n v="-1000"/>
    <n v="-1.4"/>
    <n v="71500"/>
    <n v="72100"/>
    <n v="69000"/>
    <n v="4095454"/>
    <n v="287862082700"/>
    <n v="567085734"/>
    <n v="39922835673600"/>
  </r>
  <r>
    <s v="미래에셋증권"/>
    <x v="14"/>
    <n v="6800"/>
    <s v="KR7006800007"/>
    <x v="18"/>
    <s v="KOSPI"/>
    <n v="71400"/>
    <n v="6800"/>
    <n v="10.53"/>
    <n v="68100"/>
    <n v="74500"/>
    <n v="67600"/>
    <n v="12159542"/>
    <n v="875861761450"/>
    <n v="567085734"/>
    <n v="40489921407600"/>
  </r>
  <r>
    <s v="미래에셋증권"/>
    <x v="15"/>
    <n v="6800"/>
    <s v="KR7006800007"/>
    <x v="18"/>
    <s v="KOSPI"/>
    <n v="64600"/>
    <n v="400"/>
    <n v="0.62"/>
    <n v="68400"/>
    <n v="68500"/>
    <n v="63900"/>
    <n v="4517662"/>
    <n v="299275701550"/>
    <n v="567085734"/>
    <n v="36633738416400"/>
  </r>
  <r>
    <s v="미래에셋증권"/>
    <x v="16"/>
    <n v="6800"/>
    <s v="KR7006800007"/>
    <x v="18"/>
    <s v="KOSPI"/>
    <n v="64200"/>
    <n v="-2900"/>
    <n v="-4.32"/>
    <n v="61400"/>
    <n v="64200"/>
    <n v="59000"/>
    <n v="4665736"/>
    <n v="286121089150"/>
    <n v="567085734"/>
    <n v="36406904122800"/>
  </r>
  <r>
    <s v="미래에셋증권"/>
    <x v="17"/>
    <n v="6800"/>
    <s v="KR7006800007"/>
    <x v="18"/>
    <s v="KOSPI"/>
    <n v="67100"/>
    <n v="1900"/>
    <n v="2.91"/>
    <n v="65400"/>
    <n v="68200"/>
    <n v="63000"/>
    <n v="4152808"/>
    <n v="272700936400"/>
    <n v="567085734"/>
    <n v="38051452751400"/>
  </r>
  <r>
    <s v="미래에셋증권"/>
    <x v="18"/>
    <n v="6800"/>
    <s v="KR7006800007"/>
    <x v="18"/>
    <s v="KOSPI"/>
    <n v="65200"/>
    <n v="8700"/>
    <n v="15.4"/>
    <n v="65100"/>
    <n v="69000"/>
    <n v="64200"/>
    <n v="7098153"/>
    <n v="472083133700"/>
    <n v="567085734"/>
    <n v="36973989856800"/>
  </r>
  <r>
    <s v="미래에셋증권"/>
    <x v="19"/>
    <n v="6800"/>
    <s v="KR7006800007"/>
    <x v="18"/>
    <s v="KOSPI"/>
    <n v="56500"/>
    <n v="-10100"/>
    <n v="-15.17"/>
    <n v="62500"/>
    <n v="65900"/>
    <n v="56000"/>
    <n v="8870272"/>
    <n v="537306201500"/>
    <n v="567085734"/>
    <n v="32040343971000"/>
  </r>
  <r>
    <s v="미래에셋증권"/>
    <x v="20"/>
    <n v="6800"/>
    <s v="KR7006800007"/>
    <x v="18"/>
    <s v="KOSPI"/>
    <n v="66600"/>
    <n v="-5400"/>
    <n v="-7.5"/>
    <n v="69800"/>
    <n v="71100"/>
    <n v="66600"/>
    <n v="4687386"/>
    <n v="322589773350"/>
    <n v="567085734"/>
    <n v="37767909884400"/>
  </r>
  <r>
    <s v="미래에셋증권"/>
    <x v="21"/>
    <n v="6800"/>
    <s v="KR7006800007"/>
    <x v="18"/>
    <s v="KOSPI"/>
    <n v="72000"/>
    <n v="-1600"/>
    <n v="-2.17"/>
    <n v="72600"/>
    <n v="77300"/>
    <n v="71700"/>
    <n v="6845378"/>
    <n v="503201606150"/>
    <n v="567085734"/>
    <n v="40830172848000"/>
  </r>
  <r>
    <s v="미래에셋증권"/>
    <x v="22"/>
    <n v="6800"/>
    <s v="KR7006800007"/>
    <x v="18"/>
    <s v="KOSPI"/>
    <n v="73600"/>
    <n v="700"/>
    <n v="0.96"/>
    <n v="72400"/>
    <n v="73800"/>
    <n v="70500"/>
    <n v="5253935"/>
    <n v="380664104350"/>
    <n v="567085734"/>
    <n v="41737510022400"/>
  </r>
  <r>
    <s v="미래에셋증권"/>
    <x v="23"/>
    <n v="6800"/>
    <s v="KR7006800007"/>
    <x v="18"/>
    <s v="KOSPI"/>
    <n v="72900"/>
    <n v="5800"/>
    <n v="8.64"/>
    <n v="71100"/>
    <n v="75900"/>
    <n v="68400"/>
    <n v="8684646"/>
    <n v="628300953050"/>
    <n v="567085734"/>
    <n v="41340550008600"/>
  </r>
  <r>
    <s v="미래에셋증권"/>
    <x v="24"/>
    <n v="6800"/>
    <s v="KR7006800007"/>
    <x v="18"/>
    <s v="KOSPI"/>
    <n v="67100"/>
    <n v="-1200"/>
    <n v="-1.76"/>
    <n v="66600"/>
    <n v="68900"/>
    <n v="63100"/>
    <n v="7763745"/>
    <n v="513296713850"/>
    <n v="567085734"/>
    <n v="38051452751400"/>
  </r>
  <r>
    <s v="미래에셋증권"/>
    <x v="25"/>
    <n v="6800"/>
    <s v="KR7006800007"/>
    <x v="18"/>
    <s v="KOSPI"/>
    <n v="68300"/>
    <n v="-2600"/>
    <n v="-3.67"/>
    <n v="71500"/>
    <n v="71800"/>
    <n v="67000"/>
    <n v="5616425"/>
    <n v="385501129450"/>
    <n v="567085734"/>
    <n v="38731955632200"/>
  </r>
  <r>
    <s v="미래에셋증권"/>
    <x v="26"/>
    <n v="6800"/>
    <s v="KR7006800007"/>
    <x v="18"/>
    <s v="KOSPI"/>
    <n v="70900"/>
    <n v="400"/>
    <n v="0.56999999999999995"/>
    <n v="74300"/>
    <n v="74400"/>
    <n v="69300"/>
    <n v="7071621"/>
    <n v="508275372750"/>
    <n v="567085734"/>
    <n v="40206378540600"/>
  </r>
  <r>
    <s v="미래에셋증권"/>
    <x v="27"/>
    <n v="6800"/>
    <s v="KR7006800007"/>
    <x v="18"/>
    <s v="KOSPI"/>
    <n v="70500"/>
    <n v="8900"/>
    <n v="14.45"/>
    <n v="68800"/>
    <n v="72700"/>
    <n v="67500"/>
    <n v="9736415"/>
    <n v="684154067800"/>
    <n v="567085734"/>
    <n v="39979544247000"/>
  </r>
  <r>
    <s v="미래에셋증권"/>
    <x v="28"/>
    <n v="6800"/>
    <s v="KR7006800007"/>
    <x v="18"/>
    <s v="KOSPI"/>
    <n v="61600"/>
    <n v="8200"/>
    <n v="15.36"/>
    <n v="56200"/>
    <n v="64600"/>
    <n v="54700"/>
    <n v="22399829"/>
    <n v="1365693214350"/>
    <n v="567085734"/>
    <n v="34932481214400"/>
  </r>
  <r>
    <s v="미래에셋증권"/>
    <x v="29"/>
    <n v="6800"/>
    <s v="KR7006800007"/>
    <x v="18"/>
    <s v="KOSPI"/>
    <n v="53400"/>
    <n v="2100"/>
    <n v="4.09"/>
    <n v="53400"/>
    <n v="54000"/>
    <n v="51900"/>
    <n v="5434373"/>
    <n v="288339831700"/>
    <n v="567085734"/>
    <n v="30282378195600"/>
  </r>
  <r>
    <s v="미래에셋증권"/>
    <x v="30"/>
    <n v="6800"/>
    <s v="KR7006800007"/>
    <x v="18"/>
    <s v="KOSPI"/>
    <n v="51300"/>
    <n v="-600"/>
    <n v="-1.1599999999999999"/>
    <n v="51500"/>
    <n v="52200"/>
    <n v="50300"/>
    <n v="3516456"/>
    <n v="180573541000"/>
    <n v="567085734"/>
    <n v="29091498154200"/>
  </r>
  <r>
    <s v="미래에셋증권"/>
    <x v="31"/>
    <n v="6800"/>
    <s v="KR7006800007"/>
    <x v="18"/>
    <s v="KOSPI"/>
    <n v="51900"/>
    <n v="-1500"/>
    <n v="-2.81"/>
    <n v="54400"/>
    <n v="54500"/>
    <n v="51800"/>
    <n v="4886335"/>
    <n v="258406857300"/>
    <n v="567085734"/>
    <n v="29431749594600"/>
  </r>
  <r>
    <s v="미래에셋증권"/>
    <x v="32"/>
    <n v="6800"/>
    <s v="KR7006800007"/>
    <x v="18"/>
    <s v="KOSPI"/>
    <n v="53400"/>
    <n v="5400"/>
    <n v="11.25"/>
    <n v="52000"/>
    <n v="56200"/>
    <n v="49650"/>
    <n v="12815514"/>
    <n v="682339348625"/>
    <n v="567085734"/>
    <n v="30282378195600"/>
  </r>
  <r>
    <s v="미래에셋증권"/>
    <x v="33"/>
    <n v="6800"/>
    <s v="KR7006800007"/>
    <x v="18"/>
    <s v="KOSPI"/>
    <n v="48000"/>
    <n v="-1600"/>
    <n v="-3.23"/>
    <n v="47000"/>
    <n v="48850"/>
    <n v="44100"/>
    <n v="7748719"/>
    <n v="363881215475"/>
    <n v="567085734"/>
    <n v="27220115232000"/>
  </r>
  <r>
    <s v="미래에셋증권"/>
    <x v="34"/>
    <n v="6800"/>
    <s v="KR7006800007"/>
    <x v="18"/>
    <s v="KOSPI"/>
    <n v="49600"/>
    <n v="-1600"/>
    <n v="-3.13"/>
    <n v="49250"/>
    <n v="50900"/>
    <n v="49200"/>
    <n v="4736986"/>
    <n v="236532342375"/>
    <n v="567085734"/>
    <n v="28127452406400"/>
  </r>
  <r>
    <s v="미래에셋증권"/>
    <x v="35"/>
    <n v="6800"/>
    <s v="KR7006800007"/>
    <x v="18"/>
    <s v="KOSPI"/>
    <n v="51200"/>
    <n v="1250"/>
    <n v="2.5"/>
    <n v="51500"/>
    <n v="51950"/>
    <n v="49000"/>
    <n v="7581019"/>
    <n v="382870424400"/>
    <n v="567085734"/>
    <n v="29034789580800"/>
  </r>
  <r>
    <s v="미래에셋증권"/>
    <x v="36"/>
    <n v="6800"/>
    <s v="KR7006800007"/>
    <x v="18"/>
    <s v="KOSPI"/>
    <n v="49950"/>
    <n v="9900"/>
    <n v="24.72"/>
    <n v="43050"/>
    <n v="50800"/>
    <n v="42450"/>
    <n v="19048790"/>
    <n v="911638977175"/>
    <n v="567085734"/>
    <n v="28325932413300"/>
  </r>
  <r>
    <s v="미래에셋증권"/>
    <x v="37"/>
    <n v="6800"/>
    <s v="KR7006800007"/>
    <x v="18"/>
    <s v="KOSPI"/>
    <n v="40050"/>
    <n v="-2700"/>
    <n v="-6.32"/>
    <n v="43100"/>
    <n v="43300"/>
    <n v="39400"/>
    <n v="6353904"/>
    <n v="261277329675"/>
    <n v="567085734"/>
    <n v="22711783646700"/>
  </r>
  <r>
    <s v="미래에셋증권"/>
    <x v="38"/>
    <n v="6800"/>
    <s v="KR7006800007"/>
    <x v="18"/>
    <s v="KOSPI"/>
    <n v="42750"/>
    <n v="1900"/>
    <n v="4.6500000000000004"/>
    <n v="39900"/>
    <n v="44600"/>
    <n v="39600"/>
    <n v="12898430"/>
    <n v="550157806500"/>
    <n v="567085734"/>
    <n v="24242915128500"/>
  </r>
  <r>
    <s v="미래에셋증권"/>
    <x v="39"/>
    <n v="6800"/>
    <s v="KR7006800007"/>
    <x v="18"/>
    <s v="KOSPI"/>
    <n v="40850"/>
    <n v="6050"/>
    <n v="17.39"/>
    <n v="35300"/>
    <n v="41300"/>
    <n v="34700"/>
    <n v="19742598"/>
    <n v="756813186525"/>
    <n v="567085734"/>
    <n v="23165452233900"/>
  </r>
  <r>
    <s v="미래에셋증권"/>
    <x v="40"/>
    <n v="6800"/>
    <s v="KR7006800007"/>
    <x v="18"/>
    <s v="KOSPI"/>
    <n v="34800"/>
    <n v="0"/>
    <n v="0"/>
    <n v="34800"/>
    <n v="35150"/>
    <n v="34200"/>
    <n v="4579622"/>
    <n v="158626502350"/>
    <n v="567085734"/>
    <n v="19734583543200"/>
  </r>
  <r>
    <s v="미래에셋증권"/>
    <x v="41"/>
    <n v="6800"/>
    <s v="KR7006800007"/>
    <x v="18"/>
    <s v="KOSPI"/>
    <n v="34800"/>
    <n v="1500"/>
    <n v="4.5"/>
    <n v="34150"/>
    <n v="35400"/>
    <n v="32750"/>
    <n v="6073300"/>
    <n v="208594898500"/>
    <n v="567085734"/>
    <n v="19734583543200"/>
  </r>
  <r>
    <s v="미래에셋증권"/>
    <x v="42"/>
    <n v="6800"/>
    <s v="KR7006800007"/>
    <x v="18"/>
    <s v="KOSPI"/>
    <n v="33300"/>
    <n v="-1500"/>
    <n v="-4.3099999999999996"/>
    <n v="33700"/>
    <n v="33750"/>
    <n v="32200"/>
    <n v="7387891"/>
    <n v="243787991375"/>
    <n v="567085734"/>
    <n v="18883954942200"/>
  </r>
  <r>
    <s v="미래에셋증권"/>
    <x v="43"/>
    <n v="6800"/>
    <s v="KR7006800007"/>
    <x v="18"/>
    <s v="KOSPI"/>
    <n v="34800"/>
    <n v="4950"/>
    <n v="16.579999999999998"/>
    <n v="31450"/>
    <n v="35500"/>
    <n v="31050"/>
    <n v="23963619"/>
    <n v="805617629000"/>
    <n v="567085734"/>
    <n v="19734583543200"/>
  </r>
  <r>
    <s v="미래에셋증권"/>
    <x v="44"/>
    <n v="6800"/>
    <s v="KR7006800007"/>
    <x v="18"/>
    <s v="KOSPI"/>
    <n v="29850"/>
    <n v="100"/>
    <n v="0.34"/>
    <n v="30500"/>
    <n v="30850"/>
    <n v="29750"/>
    <n v="3676699"/>
    <n v="111101899850"/>
    <n v="567085734"/>
    <n v="16927509159900"/>
  </r>
  <r>
    <s v="미래에셋증권"/>
    <x v="45"/>
    <n v="6800"/>
    <s v="KR7006800007"/>
    <x v="18"/>
    <s v="KOSPI"/>
    <n v="29750"/>
    <n v="-950"/>
    <n v="-3.09"/>
    <n v="29150"/>
    <n v="30075"/>
    <n v="29050"/>
    <n v="4004345"/>
    <n v="118805352900"/>
    <n v="567085734"/>
    <n v="16870800586500"/>
  </r>
  <r>
    <s v="미래에셋증권"/>
    <x v="46"/>
    <n v="6800"/>
    <s v="KR7006800007"/>
    <x v="18"/>
    <s v="KOSPI"/>
    <n v="30700"/>
    <n v="-1250"/>
    <n v="-3.91"/>
    <n v="31450"/>
    <n v="31500"/>
    <n v="30400"/>
    <n v="4148614"/>
    <n v="127966399650"/>
    <n v="567085734"/>
    <n v="17409532033800"/>
  </r>
  <r>
    <s v="미래에셋증권"/>
    <x v="47"/>
    <n v="6800"/>
    <s v="KR7006800007"/>
    <x v="18"/>
    <s v="KOSPI"/>
    <n v="31950"/>
    <n v="750"/>
    <n v="2.4"/>
    <n v="31450"/>
    <n v="32450"/>
    <n v="31150"/>
    <n v="3925320"/>
    <n v="124932388150"/>
    <n v="567085734"/>
    <n v="18118389201300"/>
  </r>
  <r>
    <s v="미래에셋증권"/>
    <x v="48"/>
    <n v="6800"/>
    <s v="KR7006800007"/>
    <x v="18"/>
    <s v="KOSPI"/>
    <n v="31200"/>
    <n v="450"/>
    <n v="1.46"/>
    <n v="31000"/>
    <n v="32600"/>
    <n v="30400"/>
    <n v="5830979"/>
    <n v="182347131975"/>
    <n v="567085734"/>
    <n v="17693074900800"/>
  </r>
  <r>
    <s v="미래에셋증권"/>
    <x v="49"/>
    <n v="6800"/>
    <s v="KR7006800007"/>
    <x v="18"/>
    <s v="KOSPI"/>
    <n v="30750"/>
    <n v="1250"/>
    <n v="4.24"/>
    <n v="30000"/>
    <n v="31400"/>
    <n v="29800"/>
    <n v="7091463"/>
    <n v="217064307775"/>
    <n v="567085734"/>
    <n v="17437886320500"/>
  </r>
  <r>
    <s v="미래에셋증권"/>
    <x v="50"/>
    <n v="6800"/>
    <s v="KR7006800007"/>
    <x v="18"/>
    <s v="KOSPI"/>
    <n v="29500"/>
    <n v="1050"/>
    <n v="3.69"/>
    <n v="28400"/>
    <n v="29550"/>
    <n v="27900"/>
    <n v="3791123"/>
    <n v="109217971625"/>
    <n v="567085734"/>
    <n v="16729029153000"/>
  </r>
  <r>
    <s v="미래에셋증권"/>
    <x v="51"/>
    <n v="6800"/>
    <s v="KR7006800007"/>
    <x v="18"/>
    <s v="KOSPI"/>
    <n v="28450"/>
    <n v="-200"/>
    <n v="-0.7"/>
    <n v="29250"/>
    <n v="29250"/>
    <n v="28050"/>
    <n v="3128547"/>
    <n v="89135480975"/>
    <n v="567085734"/>
    <n v="16133589132300"/>
  </r>
  <r>
    <s v="미래에셋증권"/>
    <x v="52"/>
    <n v="6800"/>
    <s v="KR7006800007"/>
    <x v="18"/>
    <s v="KOSPI"/>
    <n v="28650"/>
    <n v="1550"/>
    <n v="5.72"/>
    <n v="28350"/>
    <n v="30400"/>
    <n v="27900"/>
    <n v="9814861"/>
    <n v="284899588075"/>
    <n v="567085734"/>
    <n v="16247006279100"/>
  </r>
  <r>
    <s v="미래에셋증권"/>
    <x v="53"/>
    <n v="6800"/>
    <s v="KR7006800007"/>
    <x v="18"/>
    <s v="KOSPI"/>
    <n v="27100"/>
    <n v="-550"/>
    <n v="-1.99"/>
    <n v="27950"/>
    <n v="27950"/>
    <n v="26500"/>
    <n v="3841970"/>
    <n v="103653208750"/>
    <n v="567085734"/>
    <n v="15368023391400"/>
  </r>
  <r>
    <s v="미래에셋증권"/>
    <x v="54"/>
    <n v="6800"/>
    <s v="KR7006800007"/>
    <x v="18"/>
    <s v="KOSPI"/>
    <n v="27650"/>
    <n v="-350"/>
    <n v="-1.25"/>
    <n v="28000"/>
    <n v="28150"/>
    <n v="27250"/>
    <n v="4072262"/>
    <n v="112749876800"/>
    <n v="567085734"/>
    <n v="15679920545100"/>
  </r>
  <r>
    <s v="미래에셋증권"/>
    <x v="55"/>
    <n v="6800"/>
    <s v="KR7006800007"/>
    <x v="18"/>
    <s v="KOSPI"/>
    <n v="28000"/>
    <n v="-700"/>
    <n v="-2.44"/>
    <n v="28700"/>
    <n v="28950"/>
    <n v="27200"/>
    <n v="7121672"/>
    <n v="198838253925"/>
    <n v="567085734"/>
    <n v="15878400552000"/>
  </r>
  <r>
    <s v="미래에셋증권"/>
    <x v="56"/>
    <n v="6800"/>
    <s v="KR7006800007"/>
    <x v="18"/>
    <s v="KOSPI"/>
    <n v="28700"/>
    <n v="3200"/>
    <n v="12.55"/>
    <n v="25400"/>
    <n v="28950"/>
    <n v="25300"/>
    <n v="17449051"/>
    <n v="487870683500"/>
    <n v="567085734"/>
    <n v="16275360565800"/>
  </r>
  <r>
    <s v="미래에셋증권"/>
    <x v="57"/>
    <n v="6800"/>
    <s v="KR7006800007"/>
    <x v="18"/>
    <s v="KOSPI"/>
    <n v="25500"/>
    <n v="850"/>
    <n v="3.45"/>
    <n v="25050"/>
    <n v="25900"/>
    <n v="24700"/>
    <n v="4566255"/>
    <n v="115898487350"/>
    <n v="567085734"/>
    <n v="14460686217000"/>
  </r>
  <r>
    <s v="미래에셋증권"/>
    <x v="58"/>
    <n v="6800"/>
    <s v="KR7006800007"/>
    <x v="18"/>
    <s v="KOSPI"/>
    <n v="24650"/>
    <n v="1300"/>
    <n v="5.57"/>
    <n v="23300"/>
    <n v="24750"/>
    <n v="22600"/>
    <n v="5537189"/>
    <n v="132608414575"/>
    <n v="567085734"/>
    <n v="13978663343100"/>
  </r>
  <r>
    <s v="삼성전기"/>
    <x v="0"/>
    <n v="9150"/>
    <s v="KR7009150004"/>
    <x v="19"/>
    <s v="KOSPI"/>
    <n v="407500"/>
    <n v="-21500"/>
    <n v="-5.01"/>
    <n v="412500"/>
    <n v="426000"/>
    <n v="396500"/>
    <n v="774995"/>
    <n v="318368884500"/>
    <n v="74693696"/>
    <n v="30437681120000"/>
  </r>
  <r>
    <s v="삼성전기"/>
    <x v="1"/>
    <n v="9150"/>
    <s v="KR7009150004"/>
    <x v="19"/>
    <s v="KOSPI"/>
    <n v="429000"/>
    <n v="-5000"/>
    <n v="-1.1499999999999999"/>
    <n v="406000"/>
    <n v="436500"/>
    <n v="401000"/>
    <n v="541825"/>
    <n v="227692450000"/>
    <n v="74693696"/>
    <n v="32043595584000"/>
  </r>
  <r>
    <s v="삼성전기"/>
    <x v="2"/>
    <n v="9150"/>
    <s v="KR7009150004"/>
    <x v="19"/>
    <s v="KOSPI"/>
    <n v="434000"/>
    <n v="-23000"/>
    <n v="-5.03"/>
    <n v="436500"/>
    <n v="438500"/>
    <n v="418000"/>
    <n v="700060"/>
    <n v="299397337000"/>
    <n v="74693696"/>
    <n v="32417064064000"/>
  </r>
  <r>
    <s v="삼성전기"/>
    <x v="3"/>
    <n v="9150"/>
    <s v="KR7009150004"/>
    <x v="19"/>
    <s v="KOSPI"/>
    <n v="457000"/>
    <n v="2500"/>
    <n v="0.55000000000000004"/>
    <n v="450500"/>
    <n v="466000"/>
    <n v="448000"/>
    <n v="486564"/>
    <n v="222352765000"/>
    <n v="74693696"/>
    <n v="34135019072000"/>
  </r>
  <r>
    <s v="삼성전기"/>
    <x v="4"/>
    <n v="9150"/>
    <s v="KR7009150004"/>
    <x v="19"/>
    <s v="KOSPI"/>
    <n v="454500"/>
    <n v="17500"/>
    <n v="4"/>
    <n v="456000"/>
    <n v="466500"/>
    <n v="450000"/>
    <n v="465963"/>
    <n v="212651534500"/>
    <n v="74693696"/>
    <n v="33948284832000"/>
  </r>
  <r>
    <s v="삼성전기"/>
    <x v="5"/>
    <n v="9150"/>
    <s v="KR7009150004"/>
    <x v="19"/>
    <s v="KOSPI"/>
    <n v="437000"/>
    <n v="9500"/>
    <n v="2.2200000000000002"/>
    <n v="452000"/>
    <n v="457000"/>
    <n v="422000"/>
    <n v="541705"/>
    <n v="237372677000"/>
    <n v="74693696"/>
    <n v="32641145152000"/>
  </r>
  <r>
    <s v="삼성전기"/>
    <x v="6"/>
    <n v="9150"/>
    <s v="KR7009150004"/>
    <x v="19"/>
    <s v="KOSPI"/>
    <n v="427500"/>
    <n v="-37000"/>
    <n v="-7.97"/>
    <n v="440500"/>
    <n v="444500"/>
    <n v="425500"/>
    <n v="602142"/>
    <n v="260658873000"/>
    <n v="74693696"/>
    <n v="31931555040000"/>
  </r>
  <r>
    <s v="삼성전기"/>
    <x v="7"/>
    <n v="9150"/>
    <s v="KR7009150004"/>
    <x v="19"/>
    <s v="KOSPI"/>
    <n v="464500"/>
    <n v="-15000"/>
    <n v="-3.13"/>
    <n v="487500"/>
    <n v="488500"/>
    <n v="455500"/>
    <n v="659890"/>
    <n v="308537728500"/>
    <n v="74693696"/>
    <n v="34695221792000"/>
  </r>
  <r>
    <s v="삼성전기"/>
    <x v="8"/>
    <n v="9150"/>
    <s v="KR7009150004"/>
    <x v="19"/>
    <s v="KOSPI"/>
    <n v="479500"/>
    <n v="15500"/>
    <n v="3.34"/>
    <n v="448000"/>
    <n v="485500"/>
    <n v="445000"/>
    <n v="923071"/>
    <n v="435833541500"/>
    <n v="74693696"/>
    <n v="35815627232000"/>
  </r>
  <r>
    <s v="삼성전기"/>
    <x v="9"/>
    <n v="9150"/>
    <s v="KR7009150004"/>
    <x v="19"/>
    <s v="KOSPI"/>
    <n v="464000"/>
    <n v="17500"/>
    <n v="3.92"/>
    <n v="462500"/>
    <n v="465000"/>
    <n v="450000"/>
    <n v="856316"/>
    <n v="391228021500"/>
    <n v="74693696"/>
    <n v="34657874944000"/>
  </r>
  <r>
    <s v="삼성전기"/>
    <x v="10"/>
    <n v="9150"/>
    <s v="KR7009150004"/>
    <x v="19"/>
    <s v="KOSPI"/>
    <n v="446500"/>
    <n v="33500"/>
    <n v="8.11"/>
    <n v="428500"/>
    <n v="453500"/>
    <n v="422000"/>
    <n v="1036393"/>
    <n v="454602549950"/>
    <n v="74693696"/>
    <n v="33350735264000"/>
  </r>
  <r>
    <s v="삼성전기"/>
    <x v="11"/>
    <n v="9150"/>
    <s v="KR7009150004"/>
    <x v="19"/>
    <s v="KOSPI"/>
    <n v="413000"/>
    <n v="12500"/>
    <n v="3.12"/>
    <n v="402000"/>
    <n v="424000"/>
    <n v="402000"/>
    <n v="703241"/>
    <n v="290723878750"/>
    <n v="74693696"/>
    <n v="30848496448000"/>
  </r>
  <r>
    <s v="삼성전기"/>
    <x v="12"/>
    <n v="9150"/>
    <s v="KR7009150004"/>
    <x v="19"/>
    <s v="KOSPI"/>
    <n v="400500"/>
    <n v="1000"/>
    <n v="0.25"/>
    <n v="385000"/>
    <n v="405000"/>
    <n v="384000"/>
    <n v="374842"/>
    <n v="149282700750"/>
    <n v="74693696"/>
    <n v="29914825248000"/>
  </r>
  <r>
    <s v="삼성전기"/>
    <x v="13"/>
    <n v="9150"/>
    <s v="KR7009150004"/>
    <x v="19"/>
    <s v="KOSPI"/>
    <n v="399500"/>
    <n v="-6500"/>
    <n v="-1.6"/>
    <n v="403000"/>
    <n v="411000"/>
    <n v="397000"/>
    <n v="480216"/>
    <n v="193123846750"/>
    <n v="74693696"/>
    <n v="29840131552000"/>
  </r>
  <r>
    <s v="삼성전기"/>
    <x v="14"/>
    <n v="9150"/>
    <s v="KR7009150004"/>
    <x v="19"/>
    <s v="KOSPI"/>
    <n v="406000"/>
    <n v="4000"/>
    <n v="1"/>
    <n v="415000"/>
    <n v="427500"/>
    <n v="400500"/>
    <n v="603440"/>
    <n v="251503545500"/>
    <n v="74693696"/>
    <n v="30325640576000"/>
  </r>
  <r>
    <s v="삼성전기"/>
    <x v="15"/>
    <n v="9150"/>
    <s v="KR7009150004"/>
    <x v="19"/>
    <s v="KOSPI"/>
    <n v="402000"/>
    <n v="20000"/>
    <n v="5.24"/>
    <n v="403000"/>
    <n v="409000"/>
    <n v="390000"/>
    <n v="979618"/>
    <n v="392201187900"/>
    <n v="74693696"/>
    <n v="30026865792000"/>
  </r>
  <r>
    <s v="삼성전기"/>
    <x v="16"/>
    <n v="9150"/>
    <s v="KR7009150004"/>
    <x v="19"/>
    <s v="KOSPI"/>
    <n v="382000"/>
    <n v="-22500"/>
    <n v="-5.56"/>
    <n v="373500"/>
    <n v="387000"/>
    <n v="360000"/>
    <n v="689302"/>
    <n v="256383023250"/>
    <n v="74693696"/>
    <n v="28532991872000"/>
  </r>
  <r>
    <s v="삼성전기"/>
    <x v="17"/>
    <n v="9150"/>
    <s v="KR7009150004"/>
    <x v="19"/>
    <s v="KOSPI"/>
    <n v="404500"/>
    <n v="3000"/>
    <n v="0.75"/>
    <n v="405000"/>
    <n v="415000"/>
    <n v="389000"/>
    <n v="611215"/>
    <n v="245554491750"/>
    <n v="74693696"/>
    <n v="30213600032000"/>
  </r>
  <r>
    <s v="삼성전기"/>
    <x v="18"/>
    <n v="9150"/>
    <s v="KR7009150004"/>
    <x v="19"/>
    <s v="KOSPI"/>
    <n v="401500"/>
    <n v="39000"/>
    <n v="10.76"/>
    <n v="430000"/>
    <n v="436000"/>
    <n v="396500"/>
    <n v="1220260"/>
    <n v="506776622250"/>
    <n v="74693696"/>
    <n v="29989518944000"/>
  </r>
  <r>
    <s v="삼성전기"/>
    <x v="19"/>
    <n v="9150"/>
    <s v="KR7009150004"/>
    <x v="19"/>
    <s v="KOSPI"/>
    <n v="362500"/>
    <n v="-46500"/>
    <n v="-11.37"/>
    <n v="387000"/>
    <n v="404000"/>
    <n v="350500"/>
    <n v="1314788"/>
    <n v="493577182000"/>
    <n v="74693696"/>
    <n v="27076464800000"/>
  </r>
  <r>
    <s v="삼성전기"/>
    <x v="20"/>
    <n v="9150"/>
    <s v="KR7009150004"/>
    <x v="19"/>
    <s v="KOSPI"/>
    <n v="409000"/>
    <n v="-39500"/>
    <n v="-8.81"/>
    <n v="430000"/>
    <n v="443500"/>
    <n v="408000"/>
    <n v="1221152"/>
    <n v="518739905250"/>
    <n v="74693696"/>
    <n v="30549721664000"/>
  </r>
  <r>
    <s v="삼성전기"/>
    <x v="21"/>
    <n v="9150"/>
    <s v="KR7009150004"/>
    <x v="19"/>
    <s v="KOSPI"/>
    <n v="448500"/>
    <n v="-18000"/>
    <n v="-3.86"/>
    <n v="455500"/>
    <n v="466000"/>
    <n v="444000"/>
    <n v="1072933"/>
    <n v="485728611984"/>
    <n v="74693696"/>
    <n v="33500122656000"/>
  </r>
  <r>
    <s v="삼성전기"/>
    <x v="22"/>
    <n v="9150"/>
    <s v="KR7009150004"/>
    <x v="19"/>
    <s v="KOSPI"/>
    <n v="466500"/>
    <n v="1500"/>
    <n v="0.32"/>
    <n v="461000"/>
    <n v="474000"/>
    <n v="458500"/>
    <n v="836633"/>
    <n v="390343498750"/>
    <n v="74693696"/>
    <n v="34844609184000"/>
  </r>
  <r>
    <s v="삼성전기"/>
    <x v="23"/>
    <n v="9150"/>
    <s v="KR7009150004"/>
    <x v="19"/>
    <s v="KOSPI"/>
    <n v="465000"/>
    <n v="19000"/>
    <n v="4.26"/>
    <n v="469000"/>
    <n v="471500"/>
    <n v="452000"/>
    <n v="1024495"/>
    <n v="473107759350"/>
    <n v="74693696"/>
    <n v="34732568640000"/>
  </r>
  <r>
    <s v="삼성전기"/>
    <x v="24"/>
    <n v="9150"/>
    <s v="KR7009150004"/>
    <x v="19"/>
    <s v="KOSPI"/>
    <n v="446000"/>
    <n v="19500"/>
    <n v="4.57"/>
    <n v="425500"/>
    <n v="449000"/>
    <n v="410000"/>
    <n v="1410621"/>
    <n v="609951399250"/>
    <n v="74693696"/>
    <n v="33313388416000"/>
  </r>
  <r>
    <s v="삼성전기"/>
    <x v="25"/>
    <n v="9150"/>
    <s v="KR7009150004"/>
    <x v="19"/>
    <s v="KOSPI"/>
    <n v="426500"/>
    <n v="49500"/>
    <n v="13.13"/>
    <n v="396500"/>
    <n v="436500"/>
    <n v="392000"/>
    <n v="1645328"/>
    <n v="692692459750"/>
    <n v="74693696"/>
    <n v="31856861344000"/>
  </r>
  <r>
    <s v="삼성전기"/>
    <x v="26"/>
    <n v="9150"/>
    <s v="KR7009150004"/>
    <x v="19"/>
    <s v="KOSPI"/>
    <n v="377000"/>
    <n v="19000"/>
    <n v="5.31"/>
    <n v="357000"/>
    <n v="386000"/>
    <n v="354000"/>
    <n v="1178359"/>
    <n v="442427592500"/>
    <n v="74693696"/>
    <n v="28159523392000"/>
  </r>
  <r>
    <s v="삼성전기"/>
    <x v="27"/>
    <n v="9150"/>
    <s v="KR7009150004"/>
    <x v="19"/>
    <s v="KOSPI"/>
    <n v="358000"/>
    <n v="48500"/>
    <n v="15.67"/>
    <n v="328000"/>
    <n v="363000"/>
    <n v="321000"/>
    <n v="1471530"/>
    <n v="516265932500"/>
    <n v="74693696"/>
    <n v="26740343168000"/>
  </r>
  <r>
    <s v="삼성전기"/>
    <x v="28"/>
    <n v="9150"/>
    <s v="KR7009150004"/>
    <x v="19"/>
    <s v="KOSPI"/>
    <n v="309500"/>
    <n v="-10000"/>
    <n v="-3.13"/>
    <n v="314000"/>
    <n v="319500"/>
    <n v="309000"/>
    <n v="368404"/>
    <n v="115604158500"/>
    <n v="74693696"/>
    <n v="23117698912000"/>
  </r>
  <r>
    <s v="삼성전기"/>
    <x v="29"/>
    <n v="9150"/>
    <s v="KR7009150004"/>
    <x v="19"/>
    <s v="KOSPI"/>
    <n v="319500"/>
    <n v="10000"/>
    <n v="3.23"/>
    <n v="316000"/>
    <n v="322000"/>
    <n v="314000"/>
    <n v="513056"/>
    <n v="163370459750"/>
    <n v="74693696"/>
    <n v="23864635872000"/>
  </r>
  <r>
    <s v="삼성전기"/>
    <x v="30"/>
    <n v="9150"/>
    <s v="KR7009150004"/>
    <x v="19"/>
    <s v="KOSPI"/>
    <n v="309500"/>
    <n v="-4000"/>
    <n v="-1.28"/>
    <n v="311000"/>
    <n v="312500"/>
    <n v="301750"/>
    <n v="431768"/>
    <n v="132903853750"/>
    <n v="74693696"/>
    <n v="23117698912000"/>
  </r>
  <r>
    <s v="삼성전기"/>
    <x v="31"/>
    <n v="9150"/>
    <s v="KR7009150004"/>
    <x v="19"/>
    <s v="KOSPI"/>
    <n v="313500"/>
    <n v="9500"/>
    <n v="3.13"/>
    <n v="306500"/>
    <n v="323000"/>
    <n v="304500"/>
    <n v="755851"/>
    <n v="237923844500"/>
    <n v="74693696"/>
    <n v="23416473696000"/>
  </r>
  <r>
    <s v="삼성전기"/>
    <x v="32"/>
    <n v="9150"/>
    <s v="KR7009150004"/>
    <x v="19"/>
    <s v="KOSPI"/>
    <n v="304000"/>
    <n v="20000"/>
    <n v="7.04"/>
    <n v="296000"/>
    <n v="305500"/>
    <n v="291000"/>
    <n v="685190"/>
    <n v="205546766500"/>
    <n v="74693696"/>
    <n v="22706883584000"/>
  </r>
  <r>
    <s v="삼성전기"/>
    <x v="33"/>
    <n v="9150"/>
    <s v="KR7009150004"/>
    <x v="19"/>
    <s v="KOSPI"/>
    <n v="284000"/>
    <n v="-6000"/>
    <n v="-2.0699999999999998"/>
    <n v="279500"/>
    <n v="290000"/>
    <n v="274000"/>
    <n v="545238"/>
    <n v="153238686250"/>
    <n v="74693696"/>
    <n v="21213009664000"/>
  </r>
  <r>
    <s v="삼성전기"/>
    <x v="34"/>
    <n v="9150"/>
    <s v="KR7009150004"/>
    <x v="19"/>
    <s v="KOSPI"/>
    <n v="290000"/>
    <n v="-15000"/>
    <n v="-4.92"/>
    <n v="298000"/>
    <n v="300500"/>
    <n v="285500"/>
    <n v="587435"/>
    <n v="171703810500"/>
    <n v="74693696"/>
    <n v="21661171840000"/>
  </r>
  <r>
    <s v="삼성전기"/>
    <x v="35"/>
    <n v="9150"/>
    <s v="KR7009150004"/>
    <x v="19"/>
    <s v="KOSPI"/>
    <n v="305000"/>
    <n v="-2500"/>
    <n v="-0.81"/>
    <n v="303000"/>
    <n v="305500"/>
    <n v="295500"/>
    <n v="735734"/>
    <n v="220457917500"/>
    <n v="74693696"/>
    <n v="22781577280000"/>
  </r>
  <r>
    <s v="삼성전기"/>
    <x v="36"/>
    <n v="9150"/>
    <s v="KR7009150004"/>
    <x v="19"/>
    <s v="KOSPI"/>
    <n v="307500"/>
    <n v="24500"/>
    <n v="8.66"/>
    <n v="294000"/>
    <n v="309500"/>
    <n v="292000"/>
    <n v="1354513"/>
    <n v="410776672500"/>
    <n v="74693696"/>
    <n v="22968311520000"/>
  </r>
  <r>
    <s v="삼성전기"/>
    <x v="37"/>
    <n v="9150"/>
    <s v="KR7009150004"/>
    <x v="19"/>
    <s v="KOSPI"/>
    <n v="283000"/>
    <n v="4000"/>
    <n v="1.43"/>
    <n v="289000"/>
    <n v="300000"/>
    <n v="280000"/>
    <n v="1476234"/>
    <n v="427780354500"/>
    <n v="74693696"/>
    <n v="21138315968000"/>
  </r>
  <r>
    <s v="삼성전기"/>
    <x v="38"/>
    <n v="9150"/>
    <s v="KR7009150004"/>
    <x v="19"/>
    <s v="KOSPI"/>
    <n v="279000"/>
    <n v="-500"/>
    <n v="-0.18"/>
    <n v="277000"/>
    <n v="288000"/>
    <n v="272500"/>
    <n v="711202"/>
    <n v="199060997750"/>
    <n v="74693696"/>
    <n v="20839541184000"/>
  </r>
  <r>
    <s v="삼성전기"/>
    <x v="39"/>
    <n v="9150"/>
    <s v="KR7009150004"/>
    <x v="19"/>
    <s v="KOSPI"/>
    <n v="279500"/>
    <n v="-500"/>
    <n v="-0.18"/>
    <n v="280000"/>
    <n v="281000"/>
    <n v="273500"/>
    <n v="613112"/>
    <n v="170298980250"/>
    <n v="74693696"/>
    <n v="20876888032000"/>
  </r>
  <r>
    <s v="삼성전기"/>
    <x v="40"/>
    <n v="9150"/>
    <s v="KR7009150004"/>
    <x v="19"/>
    <s v="KOSPI"/>
    <n v="280000"/>
    <n v="3000"/>
    <n v="1.08"/>
    <n v="280000"/>
    <n v="284000"/>
    <n v="276000"/>
    <n v="678513"/>
    <n v="189153975750"/>
    <n v="74693696"/>
    <n v="20914234880000"/>
  </r>
  <r>
    <s v="삼성전기"/>
    <x v="41"/>
    <n v="9150"/>
    <s v="KR7009150004"/>
    <x v="19"/>
    <s v="KOSPI"/>
    <n v="277000"/>
    <n v="2000"/>
    <n v="0.73"/>
    <n v="275500"/>
    <n v="277000"/>
    <n v="266000"/>
    <n v="676611"/>
    <n v="185331787000"/>
    <n v="74693696"/>
    <n v="20690153792000"/>
  </r>
  <r>
    <s v="삼성전기"/>
    <x v="42"/>
    <n v="9150"/>
    <s v="KR7009150004"/>
    <x v="19"/>
    <s v="KOSPI"/>
    <n v="275000"/>
    <n v="3000"/>
    <n v="1.1000000000000001"/>
    <n v="274000"/>
    <n v="276000"/>
    <n v="268500"/>
    <n v="698696"/>
    <n v="190665528750"/>
    <n v="74693696"/>
    <n v="20540766400000"/>
  </r>
  <r>
    <s v="삼성전기"/>
    <x v="43"/>
    <n v="9150"/>
    <s v="KR7009150004"/>
    <x v="19"/>
    <s v="KOSPI"/>
    <n v="272000"/>
    <n v="-11000"/>
    <n v="-3.89"/>
    <n v="288500"/>
    <n v="291500"/>
    <n v="267500"/>
    <n v="1221617"/>
    <n v="339446587250"/>
    <n v="74693696"/>
    <n v="20316685312000"/>
  </r>
  <r>
    <s v="삼성전기"/>
    <x v="44"/>
    <n v="9150"/>
    <s v="KR7009150004"/>
    <x v="19"/>
    <s v="KOSPI"/>
    <n v="283000"/>
    <n v="3000"/>
    <n v="1.07"/>
    <n v="286000"/>
    <n v="286500"/>
    <n v="281000"/>
    <n v="475584"/>
    <n v="135118945750"/>
    <n v="74693696"/>
    <n v="21138315968000"/>
  </r>
  <r>
    <s v="삼성전기"/>
    <x v="45"/>
    <n v="9150"/>
    <s v="KR7009150004"/>
    <x v="19"/>
    <s v="KOSPI"/>
    <n v="280000"/>
    <n v="-2000"/>
    <n v="-0.71"/>
    <n v="272500"/>
    <n v="283500"/>
    <n v="272000"/>
    <n v="581814"/>
    <n v="161977527000"/>
    <n v="74693696"/>
    <n v="20914234880000"/>
  </r>
  <r>
    <s v="삼성전기"/>
    <x v="46"/>
    <n v="9150"/>
    <s v="KR7009150004"/>
    <x v="19"/>
    <s v="KOSPI"/>
    <n v="282000"/>
    <n v="-10000"/>
    <n v="-3.42"/>
    <n v="289000"/>
    <n v="289000"/>
    <n v="276000"/>
    <n v="565656"/>
    <n v="159429064500"/>
    <n v="74693696"/>
    <n v="21063622272000"/>
  </r>
  <r>
    <s v="삼성전기"/>
    <x v="47"/>
    <n v="9150"/>
    <s v="KR7009150004"/>
    <x v="19"/>
    <s v="KOSPI"/>
    <n v="292000"/>
    <n v="2500"/>
    <n v="0.86"/>
    <n v="288000"/>
    <n v="295500"/>
    <n v="286000"/>
    <n v="454162"/>
    <n v="131803708500"/>
    <n v="74693696"/>
    <n v="21810559232000"/>
  </r>
  <r>
    <s v="삼성전기"/>
    <x v="48"/>
    <n v="9150"/>
    <s v="KR7009150004"/>
    <x v="19"/>
    <s v="KOSPI"/>
    <n v="289500"/>
    <n v="0"/>
    <n v="0"/>
    <n v="291500"/>
    <n v="291500"/>
    <n v="279500"/>
    <n v="609718"/>
    <n v="173953519220"/>
    <n v="74693696"/>
    <n v="21623824992000"/>
  </r>
  <r>
    <s v="삼성전기"/>
    <x v="49"/>
    <n v="9150"/>
    <s v="KR7009150004"/>
    <x v="19"/>
    <s v="KOSPI"/>
    <n v="289500"/>
    <n v="5000"/>
    <n v="1.76"/>
    <n v="282000"/>
    <n v="290000"/>
    <n v="280000"/>
    <n v="450431"/>
    <n v="128603845250"/>
    <n v="74693696"/>
    <n v="21623824992000"/>
  </r>
  <r>
    <s v="삼성전기"/>
    <x v="50"/>
    <n v="9150"/>
    <s v="KR7009150004"/>
    <x v="19"/>
    <s v="KOSPI"/>
    <n v="284500"/>
    <n v="-4500"/>
    <n v="-1.56"/>
    <n v="289000"/>
    <n v="292000"/>
    <n v="280500"/>
    <n v="440111"/>
    <n v="125081925500"/>
    <n v="74693696"/>
    <n v="21250356512000"/>
  </r>
  <r>
    <s v="삼성전기"/>
    <x v="51"/>
    <n v="9150"/>
    <s v="KR7009150004"/>
    <x v="19"/>
    <s v="KOSPI"/>
    <n v="289000"/>
    <n v="10000"/>
    <n v="3.58"/>
    <n v="284000"/>
    <n v="290000"/>
    <n v="277500"/>
    <n v="658840"/>
    <n v="188223200500"/>
    <n v="74693696"/>
    <n v="21586478144000"/>
  </r>
  <r>
    <s v="삼성전기"/>
    <x v="52"/>
    <n v="9150"/>
    <s v="KR7009150004"/>
    <x v="19"/>
    <s v="KOSPI"/>
    <n v="279000"/>
    <n v="13000"/>
    <n v="4.8899999999999997"/>
    <n v="270500"/>
    <n v="282000"/>
    <n v="268000"/>
    <n v="768166"/>
    <n v="213116852250"/>
    <n v="74693696"/>
    <n v="20839541184000"/>
  </r>
  <r>
    <s v="삼성전기"/>
    <x v="53"/>
    <n v="9150"/>
    <s v="KR7009150004"/>
    <x v="19"/>
    <s v="KOSPI"/>
    <n v="266000"/>
    <n v="-6000"/>
    <n v="-2.21"/>
    <n v="275000"/>
    <n v="275500"/>
    <n v="264000"/>
    <n v="632342"/>
    <n v="169692479750"/>
    <n v="74693696"/>
    <n v="19868523136000"/>
  </r>
  <r>
    <s v="삼성전기"/>
    <x v="54"/>
    <n v="9150"/>
    <s v="KR7009150004"/>
    <x v="19"/>
    <s v="KOSPI"/>
    <n v="272000"/>
    <n v="4500"/>
    <n v="1.68"/>
    <n v="265500"/>
    <n v="289000"/>
    <n v="263500"/>
    <n v="1301057"/>
    <n v="363186073500"/>
    <n v="74693696"/>
    <n v="20316685312000"/>
  </r>
  <r>
    <s v="삼성전기"/>
    <x v="55"/>
    <n v="9150"/>
    <s v="KR7009150004"/>
    <x v="19"/>
    <s v="KOSPI"/>
    <n v="267500"/>
    <n v="-500"/>
    <n v="-0.19"/>
    <n v="270000"/>
    <n v="273000"/>
    <n v="261500"/>
    <n v="699885"/>
    <n v="187777892750"/>
    <n v="74693696"/>
    <n v="19980563680000"/>
  </r>
  <r>
    <s v="삼성전기"/>
    <x v="56"/>
    <n v="9150"/>
    <s v="KR7009150004"/>
    <x v="19"/>
    <s v="KOSPI"/>
    <n v="268000"/>
    <n v="-2000"/>
    <n v="-0.74"/>
    <n v="267000"/>
    <n v="268000"/>
    <n v="257500"/>
    <n v="641565"/>
    <n v="168933657008"/>
    <n v="74693696"/>
    <n v="20017910528000"/>
  </r>
  <r>
    <s v="삼성전기"/>
    <x v="57"/>
    <n v="9150"/>
    <s v="KR7009150004"/>
    <x v="19"/>
    <s v="KOSPI"/>
    <n v="270000"/>
    <n v="0"/>
    <n v="0"/>
    <n v="274000"/>
    <n v="274500"/>
    <n v="264000"/>
    <n v="650319"/>
    <n v="174419437500"/>
    <n v="74693696"/>
    <n v="20167297920000"/>
  </r>
  <r>
    <s v="삼성전기"/>
    <x v="58"/>
    <n v="9150"/>
    <s v="KR7009150004"/>
    <x v="19"/>
    <s v="KOSPI"/>
    <n v="270000"/>
    <n v="15000"/>
    <n v="5.88"/>
    <n v="256500"/>
    <n v="273000"/>
    <n v="253000"/>
    <n v="714957"/>
    <n v="188238414500"/>
    <n v="74693696"/>
    <n v="20167297920000"/>
  </r>
  <r>
    <s v="HD현대일렉트릭"/>
    <x v="0"/>
    <n v="267260"/>
    <s v="KR7267260008"/>
    <x v="20"/>
    <s v="KOSPI"/>
    <n v="832000"/>
    <n v="-40000"/>
    <n v="-4.59"/>
    <n v="853000"/>
    <n v="870000"/>
    <n v="830000"/>
    <n v="194755"/>
    <n v="163788875500"/>
    <n v="36047135"/>
    <n v="29991216320000"/>
  </r>
  <r>
    <s v="HD현대일렉트릭"/>
    <x v="1"/>
    <n v="267260"/>
    <s v="KR7267260008"/>
    <x v="20"/>
    <s v="KOSPI"/>
    <n v="872000"/>
    <n v="-43000"/>
    <n v="-4.7"/>
    <n v="871000"/>
    <n v="899000"/>
    <n v="863000"/>
    <n v="121088"/>
    <n v="106374028500"/>
    <n v="36047135"/>
    <n v="31433101720000"/>
  </r>
  <r>
    <s v="HD현대일렉트릭"/>
    <x v="2"/>
    <n v="267260"/>
    <s v="KR7267260008"/>
    <x v="20"/>
    <s v="KOSPI"/>
    <n v="915000"/>
    <n v="-50000"/>
    <n v="-5.18"/>
    <n v="933000"/>
    <n v="937000"/>
    <n v="887000"/>
    <n v="164950"/>
    <n v="149388811000"/>
    <n v="36047135"/>
    <n v="32983128525000"/>
  </r>
  <r>
    <s v="HD현대일렉트릭"/>
    <x v="3"/>
    <n v="267260"/>
    <s v="KR7267260008"/>
    <x v="20"/>
    <s v="KOSPI"/>
    <n v="965000"/>
    <n v="-27000"/>
    <n v="-2.72"/>
    <n v="991000"/>
    <n v="1006000"/>
    <n v="960000"/>
    <n v="82599"/>
    <n v="80713985500"/>
    <n v="36047135"/>
    <n v="34785485275000"/>
  </r>
  <r>
    <s v="HD현대일렉트릭"/>
    <x v="4"/>
    <n v="267260"/>
    <s v="KR7267260008"/>
    <x v="20"/>
    <s v="KOSPI"/>
    <n v="992000"/>
    <n v="67000"/>
    <n v="7.24"/>
    <n v="960000"/>
    <n v="997000"/>
    <n v="950000"/>
    <n v="145733"/>
    <n v="143133599500"/>
    <n v="36047135"/>
    <n v="35758757920000"/>
  </r>
  <r>
    <s v="HD현대일렉트릭"/>
    <x v="5"/>
    <n v="267260"/>
    <s v="KR7267260008"/>
    <x v="20"/>
    <s v="KOSPI"/>
    <n v="925000"/>
    <n v="12000"/>
    <n v="1.31"/>
    <n v="949000"/>
    <n v="954000"/>
    <n v="896000"/>
    <n v="135896"/>
    <n v="125675753048"/>
    <n v="36047135"/>
    <n v="33343599875000"/>
  </r>
  <r>
    <s v="HD현대일렉트릭"/>
    <x v="6"/>
    <n v="267260"/>
    <s v="KR7267260008"/>
    <x v="20"/>
    <s v="KOSPI"/>
    <n v="913000"/>
    <n v="-46000"/>
    <n v="-4.8"/>
    <n v="925000"/>
    <n v="935000"/>
    <n v="900000"/>
    <n v="112092"/>
    <n v="102606844500"/>
    <n v="36047135"/>
    <n v="32911034255000"/>
  </r>
  <r>
    <s v="HD현대일렉트릭"/>
    <x v="7"/>
    <n v="267260"/>
    <s v="KR7267260008"/>
    <x v="20"/>
    <s v="KOSPI"/>
    <n v="959000"/>
    <n v="1000"/>
    <n v="0.1"/>
    <n v="971000"/>
    <n v="974000"/>
    <n v="952000"/>
    <n v="107776"/>
    <n v="103421889500"/>
    <n v="36047135"/>
    <n v="34569202465000"/>
  </r>
  <r>
    <s v="HD현대일렉트릭"/>
    <x v="8"/>
    <n v="267260"/>
    <s v="KR7267260008"/>
    <x v="20"/>
    <s v="KOSPI"/>
    <n v="958000"/>
    <n v="-16000"/>
    <n v="-1.64"/>
    <n v="950000"/>
    <n v="986000"/>
    <n v="948000"/>
    <n v="112178"/>
    <n v="108385416500"/>
    <n v="36047135"/>
    <n v="34533155330000"/>
  </r>
  <r>
    <s v="HD현대일렉트릭"/>
    <x v="9"/>
    <n v="267260"/>
    <s v="KR7267260008"/>
    <x v="20"/>
    <s v="KOSPI"/>
    <n v="974000"/>
    <n v="43000"/>
    <n v="4.62"/>
    <n v="959000"/>
    <n v="976000"/>
    <n v="954000"/>
    <n v="103612"/>
    <n v="100282756000"/>
    <n v="36047135"/>
    <n v="35109909490000"/>
  </r>
  <r>
    <s v="HD현대일렉트릭"/>
    <x v="10"/>
    <n v="267260"/>
    <s v="KR7267260008"/>
    <x v="20"/>
    <s v="KOSPI"/>
    <n v="931000"/>
    <n v="26000"/>
    <n v="2.87"/>
    <n v="926000"/>
    <n v="950000"/>
    <n v="925000"/>
    <n v="86102"/>
    <n v="80894089000"/>
    <n v="36047135"/>
    <n v="33559882685000"/>
  </r>
  <r>
    <s v="HD현대일렉트릭"/>
    <x v="11"/>
    <n v="267260"/>
    <s v="KR7267260008"/>
    <x v="20"/>
    <s v="KOSPI"/>
    <n v="905000"/>
    <n v="-24000"/>
    <n v="-2.58"/>
    <n v="920000"/>
    <n v="930000"/>
    <n v="890000"/>
    <n v="108390"/>
    <n v="97969055000"/>
    <n v="36047135"/>
    <n v="32622657175000"/>
  </r>
  <r>
    <s v="HD현대일렉트릭"/>
    <x v="12"/>
    <n v="267260"/>
    <s v="KR7267260008"/>
    <x v="20"/>
    <s v="KOSPI"/>
    <n v="929000"/>
    <n v="-15000"/>
    <n v="-1.59"/>
    <n v="911000"/>
    <n v="949000"/>
    <n v="908000"/>
    <n v="147873"/>
    <n v="137228424000"/>
    <n v="36047135"/>
    <n v="33487788415000"/>
  </r>
  <r>
    <s v="HD현대일렉트릭"/>
    <x v="13"/>
    <n v="267260"/>
    <s v="KR7267260008"/>
    <x v="20"/>
    <s v="KOSPI"/>
    <n v="944000"/>
    <n v="5000"/>
    <n v="0.53"/>
    <n v="925000"/>
    <n v="962000"/>
    <n v="922000"/>
    <n v="106954"/>
    <n v="100967785500"/>
    <n v="36047135"/>
    <n v="34028495440000"/>
  </r>
  <r>
    <s v="HD현대일렉트릭"/>
    <x v="14"/>
    <n v="267260"/>
    <s v="KR7267260008"/>
    <x v="20"/>
    <s v="KOSPI"/>
    <n v="939000"/>
    <n v="-2000"/>
    <n v="-0.21"/>
    <n v="962000"/>
    <n v="975000"/>
    <n v="930000"/>
    <n v="123719"/>
    <n v="118729332000"/>
    <n v="36047135"/>
    <n v="33848259765000"/>
  </r>
  <r>
    <s v="HD현대일렉트릭"/>
    <x v="15"/>
    <n v="267260"/>
    <s v="KR7267260008"/>
    <x v="20"/>
    <s v="KOSPI"/>
    <n v="941000"/>
    <n v="34000"/>
    <n v="3.75"/>
    <n v="963000"/>
    <n v="970000"/>
    <n v="919000"/>
    <n v="141252"/>
    <n v="133659805500"/>
    <n v="36047135"/>
    <n v="33920354035000"/>
  </r>
  <r>
    <s v="HD현대일렉트릭"/>
    <x v="16"/>
    <n v="267260"/>
    <s v="KR7267260008"/>
    <x v="20"/>
    <s v="KOSPI"/>
    <n v="907000"/>
    <n v="-61000"/>
    <n v="-6.3"/>
    <n v="910000"/>
    <n v="935000"/>
    <n v="877000"/>
    <n v="199628"/>
    <n v="179007214000"/>
    <n v="36047135"/>
    <n v="32694751445000"/>
  </r>
  <r>
    <s v="HD현대일렉트릭"/>
    <x v="17"/>
    <n v="267260"/>
    <s v="KR7267260008"/>
    <x v="20"/>
    <s v="KOSPI"/>
    <n v="968000"/>
    <n v="-16000"/>
    <n v="-1.63"/>
    <n v="957000"/>
    <n v="990000"/>
    <n v="941000"/>
    <n v="208388"/>
    <n v="200515480500"/>
    <n v="36047135"/>
    <n v="34893626680000"/>
  </r>
  <r>
    <s v="HD현대일렉트릭"/>
    <x v="18"/>
    <n v="267260"/>
    <s v="KR7267260008"/>
    <x v="20"/>
    <s v="KOSPI"/>
    <n v="984000"/>
    <n v="113000"/>
    <n v="12.97"/>
    <n v="985000"/>
    <n v="1007000"/>
    <n v="962000"/>
    <n v="220416"/>
    <n v="217940188600"/>
    <n v="36047135"/>
    <n v="35470380840000"/>
  </r>
  <r>
    <s v="HD현대일렉트릭"/>
    <x v="19"/>
    <n v="267260"/>
    <s v="KR7267260008"/>
    <x v="20"/>
    <s v="KOSPI"/>
    <n v="871000"/>
    <n v="-116000"/>
    <n v="-11.75"/>
    <n v="920000"/>
    <n v="959000"/>
    <n v="853000"/>
    <n v="273582"/>
    <n v="247708524500"/>
    <n v="36047135"/>
    <n v="31397054585000"/>
  </r>
  <r>
    <s v="HD현대일렉트릭"/>
    <x v="20"/>
    <n v="267260"/>
    <s v="KR7267260008"/>
    <x v="20"/>
    <s v="KOSPI"/>
    <n v="987000"/>
    <n v="-63000"/>
    <n v="-6"/>
    <n v="1006000"/>
    <n v="1048000"/>
    <n v="983000"/>
    <n v="192638"/>
    <n v="195144549000"/>
    <n v="36047135"/>
    <n v="35578522245000"/>
  </r>
  <r>
    <s v="HD현대일렉트릭"/>
    <x v="21"/>
    <n v="267260"/>
    <s v="KR7267260008"/>
    <x v="20"/>
    <s v="KOSPI"/>
    <n v="1050000"/>
    <n v="-61000"/>
    <n v="-5.49"/>
    <n v="1088000"/>
    <n v="1109000"/>
    <n v="1041000"/>
    <n v="340891"/>
    <n v="360846596500"/>
    <n v="36047135"/>
    <n v="37849491750000"/>
  </r>
  <r>
    <s v="HD현대일렉트릭"/>
    <x v="22"/>
    <n v="267260"/>
    <s v="KR7267260008"/>
    <x v="20"/>
    <s v="KOSPI"/>
    <n v="1111000"/>
    <n v="46000"/>
    <n v="4.32"/>
    <n v="1075000"/>
    <n v="1116000"/>
    <n v="1068000"/>
    <n v="253366"/>
    <n v="276820361500"/>
    <n v="36047135"/>
    <n v="40048366985000"/>
  </r>
  <r>
    <s v="HD현대일렉트릭"/>
    <x v="23"/>
    <n v="267260"/>
    <s v="KR7267260008"/>
    <x v="20"/>
    <s v="KOSPI"/>
    <n v="1065000"/>
    <n v="-5000"/>
    <n v="-0.47"/>
    <n v="1096000"/>
    <n v="1097000"/>
    <n v="1049000"/>
    <n v="157891"/>
    <n v="168641300000"/>
    <n v="36047135"/>
    <n v="38390198775000"/>
  </r>
  <r>
    <s v="HD현대일렉트릭"/>
    <x v="24"/>
    <n v="267260"/>
    <s v="KR7267260008"/>
    <x v="20"/>
    <s v="KOSPI"/>
    <n v="1070000"/>
    <n v="3000"/>
    <n v="0.28000000000000003"/>
    <n v="1055000"/>
    <n v="1076000"/>
    <n v="1041000"/>
    <n v="138670"/>
    <n v="147501391000"/>
    <n v="36047135"/>
    <n v="38570434450000"/>
  </r>
  <r>
    <s v="HD현대일렉트릭"/>
    <x v="25"/>
    <n v="267260"/>
    <s v="KR7267260008"/>
    <x v="20"/>
    <s v="KOSPI"/>
    <n v="1067000"/>
    <n v="56000"/>
    <n v="5.54"/>
    <n v="1030000"/>
    <n v="1080000"/>
    <n v="1020000"/>
    <n v="183729"/>
    <n v="194032057000"/>
    <n v="36047135"/>
    <n v="38462293045000"/>
  </r>
  <r>
    <s v="HD현대일렉트릭"/>
    <x v="26"/>
    <n v="267260"/>
    <s v="KR7267260008"/>
    <x v="20"/>
    <s v="KOSPI"/>
    <n v="1011000"/>
    <n v="44000"/>
    <n v="4.55"/>
    <n v="967000"/>
    <n v="1012000"/>
    <n v="966000"/>
    <n v="167876"/>
    <n v="167009394000"/>
    <n v="36047135"/>
    <n v="36443653485000"/>
  </r>
  <r>
    <s v="HD현대일렉트릭"/>
    <x v="27"/>
    <n v="267260"/>
    <s v="KR7267260008"/>
    <x v="20"/>
    <s v="KOSPI"/>
    <n v="967000"/>
    <n v="18000"/>
    <n v="1.9"/>
    <n v="970000"/>
    <n v="975000"/>
    <n v="950000"/>
    <n v="116109"/>
    <n v="112038247000"/>
    <n v="36047135"/>
    <n v="34857579545000"/>
  </r>
  <r>
    <s v="HD현대일렉트릭"/>
    <x v="28"/>
    <n v="267260"/>
    <s v="KR7267260008"/>
    <x v="20"/>
    <s v="KOSPI"/>
    <n v="949000"/>
    <n v="-17000"/>
    <n v="-1.76"/>
    <n v="950000"/>
    <n v="973000"/>
    <n v="946000"/>
    <n v="112113"/>
    <n v="107427258500"/>
    <n v="36047135"/>
    <n v="34208731115000"/>
  </r>
  <r>
    <s v="HD현대일렉트릭"/>
    <x v="29"/>
    <n v="267260"/>
    <s v="KR7267260008"/>
    <x v="20"/>
    <s v="KOSPI"/>
    <n v="966000"/>
    <n v="-29000"/>
    <n v="-2.91"/>
    <n v="997000"/>
    <n v="1000000"/>
    <n v="958000"/>
    <n v="182379"/>
    <n v="176685915000"/>
    <n v="36047135"/>
    <n v="34821532410000"/>
  </r>
  <r>
    <s v="HD현대일렉트릭"/>
    <x v="30"/>
    <n v="267260"/>
    <s v="KR7267260008"/>
    <x v="20"/>
    <s v="KOSPI"/>
    <n v="995000"/>
    <n v="56000"/>
    <n v="5.96"/>
    <n v="945000"/>
    <n v="998000"/>
    <n v="933000"/>
    <n v="222963"/>
    <n v="219039061500"/>
    <n v="36047135"/>
    <n v="35866899325000"/>
  </r>
  <r>
    <s v="HD현대일렉트릭"/>
    <x v="31"/>
    <n v="267260"/>
    <s v="KR7267260008"/>
    <x v="20"/>
    <s v="KOSPI"/>
    <n v="939000"/>
    <n v="6000"/>
    <n v="0.64"/>
    <n v="944000"/>
    <n v="980000"/>
    <n v="934000"/>
    <n v="218860"/>
    <n v="208669238000"/>
    <n v="36047135"/>
    <n v="33848259765000"/>
  </r>
  <r>
    <s v="HD현대일렉트릭"/>
    <x v="32"/>
    <n v="267260"/>
    <s v="KR7267260008"/>
    <x v="20"/>
    <s v="KOSPI"/>
    <n v="933000"/>
    <n v="93000"/>
    <n v="11.07"/>
    <n v="892000"/>
    <n v="943000"/>
    <n v="885000"/>
    <n v="305359"/>
    <n v="281352431000"/>
    <n v="36047135"/>
    <n v="33631976955000"/>
  </r>
  <r>
    <s v="HD현대일렉트릭"/>
    <x v="33"/>
    <n v="267260"/>
    <s v="KR7267260008"/>
    <x v="20"/>
    <s v="KOSPI"/>
    <n v="840000"/>
    <n v="-33000"/>
    <n v="-3.78"/>
    <n v="845000"/>
    <n v="849000"/>
    <n v="806000"/>
    <n v="151989"/>
    <n v="125779336000"/>
    <n v="36047135"/>
    <n v="30279593400000"/>
  </r>
  <r>
    <s v="HD현대일렉트릭"/>
    <x v="34"/>
    <n v="267260"/>
    <s v="KR7267260008"/>
    <x v="20"/>
    <s v="KOSPI"/>
    <n v="873000"/>
    <n v="-51000"/>
    <n v="-5.52"/>
    <n v="894000"/>
    <n v="899000"/>
    <n v="855000"/>
    <n v="190097"/>
    <n v="166173583500"/>
    <n v="36047135"/>
    <n v="31469148855000"/>
  </r>
  <r>
    <s v="HD현대일렉트릭"/>
    <x v="35"/>
    <n v="267260"/>
    <s v="KR7267260008"/>
    <x v="20"/>
    <s v="KOSPI"/>
    <n v="924000"/>
    <n v="35000"/>
    <n v="3.94"/>
    <n v="896000"/>
    <n v="929000"/>
    <n v="892000"/>
    <n v="146082"/>
    <n v="133529351500"/>
    <n v="36047135"/>
    <n v="33307552740000"/>
  </r>
  <r>
    <s v="HD현대일렉트릭"/>
    <x v="36"/>
    <n v="267260"/>
    <s v="KR7267260008"/>
    <x v="20"/>
    <s v="KOSPI"/>
    <n v="889000"/>
    <n v="53000"/>
    <n v="6.34"/>
    <n v="866000"/>
    <n v="900000"/>
    <n v="864000"/>
    <n v="174695"/>
    <n v="154704242000"/>
    <n v="36047135"/>
    <n v="32045903015000"/>
  </r>
  <r>
    <s v="HD현대일렉트릭"/>
    <x v="37"/>
    <n v="267260"/>
    <s v="KR7267260008"/>
    <x v="20"/>
    <s v="KOSPI"/>
    <n v="836000"/>
    <n v="-53000"/>
    <n v="-5.96"/>
    <n v="882000"/>
    <n v="883000"/>
    <n v="821000"/>
    <n v="183359"/>
    <n v="155992244000"/>
    <n v="36047135"/>
    <n v="30135404860000"/>
  </r>
  <r>
    <s v="HD현대일렉트릭"/>
    <x v="38"/>
    <n v="267260"/>
    <s v="KR7267260008"/>
    <x v="20"/>
    <s v="KOSPI"/>
    <n v="889000"/>
    <n v="-8000"/>
    <n v="-0.89"/>
    <n v="893000"/>
    <n v="918000"/>
    <n v="885000"/>
    <n v="173328"/>
    <n v="155819856000"/>
    <n v="36047135"/>
    <n v="32045903015000"/>
  </r>
  <r>
    <s v="HD현대일렉트릭"/>
    <x v="39"/>
    <n v="267260"/>
    <s v="KR7267260008"/>
    <x v="20"/>
    <s v="KOSPI"/>
    <n v="897000"/>
    <n v="-5000"/>
    <n v="-0.55000000000000004"/>
    <n v="914000"/>
    <n v="926000"/>
    <n v="876000"/>
    <n v="159821"/>
    <n v="143058937500"/>
    <n v="36047135"/>
    <n v="32334280095000"/>
  </r>
  <r>
    <s v="HD현대일렉트릭"/>
    <x v="40"/>
    <n v="267260"/>
    <s v="KR7267260008"/>
    <x v="20"/>
    <s v="KOSPI"/>
    <n v="902000"/>
    <n v="1000"/>
    <n v="0.11"/>
    <n v="912000"/>
    <n v="927000"/>
    <n v="895000"/>
    <n v="203258"/>
    <n v="184368725000"/>
    <n v="36047135"/>
    <n v="32514515770000"/>
  </r>
  <r>
    <s v="HD현대일렉트릭"/>
    <x v="41"/>
    <n v="267260"/>
    <s v="KR7267260008"/>
    <x v="20"/>
    <s v="KOSPI"/>
    <n v="901000"/>
    <n v="29000"/>
    <n v="3.33"/>
    <n v="871000"/>
    <n v="913000"/>
    <n v="850000"/>
    <n v="171752"/>
    <n v="153625974000"/>
    <n v="36047135"/>
    <n v="32478468635000"/>
  </r>
  <r>
    <s v="HD현대일렉트릭"/>
    <x v="42"/>
    <n v="267260"/>
    <s v="KR7267260008"/>
    <x v="20"/>
    <s v="KOSPI"/>
    <n v="872000"/>
    <n v="-12000"/>
    <n v="-1.36"/>
    <n v="879000"/>
    <n v="891000"/>
    <n v="845000"/>
    <n v="239517"/>
    <n v="207333976500"/>
    <n v="36047135"/>
    <n v="31433101720000"/>
  </r>
  <r>
    <s v="HD현대일렉트릭"/>
    <x v="43"/>
    <n v="267260"/>
    <s v="KR7267260008"/>
    <x v="20"/>
    <s v="KOSPI"/>
    <n v="884000"/>
    <n v="-4000"/>
    <n v="-0.45"/>
    <n v="880000"/>
    <n v="902000"/>
    <n v="871000"/>
    <n v="158561"/>
    <n v="140576264000"/>
    <n v="36047135"/>
    <n v="31865667340000"/>
  </r>
  <r>
    <s v="HD현대일렉트릭"/>
    <x v="44"/>
    <n v="267260"/>
    <s v="KR7267260008"/>
    <x v="20"/>
    <s v="KOSPI"/>
    <n v="888000"/>
    <n v="-6000"/>
    <n v="-0.67"/>
    <n v="899000"/>
    <n v="909000"/>
    <n v="886000"/>
    <n v="120807"/>
    <n v="108366458000"/>
    <n v="36047135"/>
    <n v="32009855880000"/>
  </r>
  <r>
    <s v="HD현대일렉트릭"/>
    <x v="45"/>
    <n v="267260"/>
    <s v="KR7267260008"/>
    <x v="20"/>
    <s v="KOSPI"/>
    <n v="894000"/>
    <n v="-21000"/>
    <n v="-2.2999999999999998"/>
    <n v="891000"/>
    <n v="908000"/>
    <n v="881000"/>
    <n v="121632"/>
    <n v="108971606500"/>
    <n v="36047135"/>
    <n v="32226138690000"/>
  </r>
  <r>
    <s v="HD현대일렉트릭"/>
    <x v="46"/>
    <n v="267260"/>
    <s v="KR7267260008"/>
    <x v="20"/>
    <s v="KOSPI"/>
    <n v="915000"/>
    <n v="-3000"/>
    <n v="-0.33"/>
    <n v="910000"/>
    <n v="928000"/>
    <n v="880000"/>
    <n v="137308"/>
    <n v="124628678500"/>
    <n v="36047135"/>
    <n v="32983128525000"/>
  </r>
  <r>
    <s v="HD현대일렉트릭"/>
    <x v="47"/>
    <n v="267260"/>
    <s v="KR7267260008"/>
    <x v="20"/>
    <s v="KOSPI"/>
    <n v="918000"/>
    <n v="12000"/>
    <n v="1.32"/>
    <n v="909000"/>
    <n v="934000"/>
    <n v="906000"/>
    <n v="168381"/>
    <n v="154810551456"/>
    <n v="36047135"/>
    <n v="33091269930000"/>
  </r>
  <r>
    <s v="HD현대일렉트릭"/>
    <x v="48"/>
    <n v="267260"/>
    <s v="KR7267260008"/>
    <x v="20"/>
    <s v="KOSPI"/>
    <n v="906000"/>
    <n v="14000"/>
    <n v="1.57"/>
    <n v="910000"/>
    <n v="915000"/>
    <n v="888000"/>
    <n v="139572"/>
    <n v="125643277000"/>
    <n v="36047135"/>
    <n v="32658704310000"/>
  </r>
  <r>
    <s v="HD현대일렉트릭"/>
    <x v="49"/>
    <n v="267260"/>
    <s v="KR7267260008"/>
    <x v="20"/>
    <s v="KOSPI"/>
    <n v="892000"/>
    <n v="-30000"/>
    <n v="-3.25"/>
    <n v="920000"/>
    <n v="947000"/>
    <n v="888000"/>
    <n v="277030"/>
    <n v="250470700500"/>
    <n v="36047135"/>
    <n v="32154044420000"/>
  </r>
  <r>
    <s v="HD현대일렉트릭"/>
    <x v="50"/>
    <n v="267260"/>
    <s v="KR7267260008"/>
    <x v="20"/>
    <s v="KOSPI"/>
    <n v="922000"/>
    <n v="36000"/>
    <n v="4.0599999999999996"/>
    <n v="887000"/>
    <n v="929000"/>
    <n v="882000"/>
    <n v="203916"/>
    <n v="186026654500"/>
    <n v="36047135"/>
    <n v="33235458470000"/>
  </r>
  <r>
    <s v="HD현대일렉트릭"/>
    <x v="51"/>
    <n v="267260"/>
    <s v="KR7267260008"/>
    <x v="20"/>
    <s v="KOSPI"/>
    <n v="886000"/>
    <n v="10000"/>
    <n v="1.1399999999999999"/>
    <n v="896000"/>
    <n v="897000"/>
    <n v="857000"/>
    <n v="155578"/>
    <n v="136327324500"/>
    <n v="36047135"/>
    <n v="31937761610000"/>
  </r>
  <r>
    <s v="HD현대일렉트릭"/>
    <x v="52"/>
    <n v="267260"/>
    <s v="KR7267260008"/>
    <x v="20"/>
    <s v="KOSPI"/>
    <n v="876000"/>
    <n v="28000"/>
    <n v="3.3"/>
    <n v="866000"/>
    <n v="898000"/>
    <n v="860000"/>
    <n v="189898"/>
    <n v="167246624500"/>
    <n v="36047135"/>
    <n v="31577290260000"/>
  </r>
  <r>
    <s v="HD현대일렉트릭"/>
    <x v="53"/>
    <n v="267260"/>
    <s v="KR7267260008"/>
    <x v="20"/>
    <s v="KOSPI"/>
    <n v="848000"/>
    <n v="-14000"/>
    <n v="-1.62"/>
    <n v="855000"/>
    <n v="855000"/>
    <n v="825000"/>
    <n v="140739"/>
    <n v="118230474500"/>
    <n v="36047135"/>
    <n v="30567970480000"/>
  </r>
  <r>
    <s v="HD현대일렉트릭"/>
    <x v="54"/>
    <n v="267260"/>
    <s v="KR7267260008"/>
    <x v="20"/>
    <s v="KOSPI"/>
    <n v="862000"/>
    <n v="41000"/>
    <n v="4.99"/>
    <n v="812000"/>
    <n v="868000"/>
    <n v="812000"/>
    <n v="219304"/>
    <n v="186037637000"/>
    <n v="36047135"/>
    <n v="31072630370000"/>
  </r>
  <r>
    <s v="HD현대일렉트릭"/>
    <x v="55"/>
    <n v="267260"/>
    <s v="KR7267260008"/>
    <x v="20"/>
    <s v="KOSPI"/>
    <n v="821000"/>
    <n v="-13000"/>
    <n v="-1.56"/>
    <n v="825000"/>
    <n v="830000"/>
    <n v="814000"/>
    <n v="233958"/>
    <n v="192073296860"/>
    <n v="36047135"/>
    <n v="29594697835000"/>
  </r>
  <r>
    <s v="HD현대일렉트릭"/>
    <x v="56"/>
    <n v="267260"/>
    <s v="KR7267260008"/>
    <x v="20"/>
    <s v="KOSPI"/>
    <n v="834000"/>
    <n v="-34000"/>
    <n v="-3.92"/>
    <n v="826000"/>
    <n v="855000"/>
    <n v="790000"/>
    <n v="428669"/>
    <n v="349452096500"/>
    <n v="36047135"/>
    <n v="30063310590000"/>
  </r>
  <r>
    <s v="HD현대일렉트릭"/>
    <x v="57"/>
    <n v="267260"/>
    <s v="KR7267260008"/>
    <x v="20"/>
    <s v="KOSPI"/>
    <n v="868000"/>
    <n v="49000"/>
    <n v="5.98"/>
    <n v="819000"/>
    <n v="869000"/>
    <n v="811000"/>
    <n v="165187"/>
    <n v="140094754000"/>
    <n v="36047135"/>
    <n v="31288913180000"/>
  </r>
  <r>
    <s v="HD현대일렉트릭"/>
    <x v="58"/>
    <n v="267260"/>
    <s v="KR7267260008"/>
    <x v="20"/>
    <s v="KOSPI"/>
    <n v="819000"/>
    <n v="45000"/>
    <n v="5.81"/>
    <n v="774000"/>
    <n v="822000"/>
    <n v="763000"/>
    <n v="132745"/>
    <n v="106714942000"/>
    <n v="36047135"/>
    <n v="29522603565000"/>
  </r>
  <r>
    <s v="NAVER"/>
    <x v="0"/>
    <n v="35420"/>
    <s v="KR7035420009"/>
    <x v="21"/>
    <s v="KOSPI"/>
    <n v="201500"/>
    <n v="-5500"/>
    <n v="-2.66"/>
    <n v="202500"/>
    <n v="205500"/>
    <n v="200000"/>
    <n v="890860"/>
    <n v="179847073500"/>
    <n v="156852638"/>
    <n v="31605806557000"/>
  </r>
  <r>
    <s v="NAVER"/>
    <x v="1"/>
    <n v="35420"/>
    <s v="KR7035420009"/>
    <x v="21"/>
    <s v="KOSPI"/>
    <n v="207000"/>
    <n v="-5500"/>
    <n v="-2.59"/>
    <n v="205500"/>
    <n v="208500"/>
    <n v="204000"/>
    <n v="379513"/>
    <n v="78270171500"/>
    <n v="156852638"/>
    <n v="32468496066000"/>
  </r>
  <r>
    <s v="NAVER"/>
    <x v="2"/>
    <n v="35420"/>
    <s v="KR7035420009"/>
    <x v="21"/>
    <s v="KOSPI"/>
    <n v="212500"/>
    <n v="1000"/>
    <n v="0.47"/>
    <n v="208000"/>
    <n v="213000"/>
    <n v="206000"/>
    <n v="439328"/>
    <n v="92204026500"/>
    <n v="156852638"/>
    <n v="33331185575000"/>
  </r>
  <r>
    <s v="NAVER"/>
    <x v="3"/>
    <n v="35420"/>
    <s v="KR7035420009"/>
    <x v="21"/>
    <s v="KOSPI"/>
    <n v="211500"/>
    <n v="-4000"/>
    <n v="-1.86"/>
    <n v="216500"/>
    <n v="218500"/>
    <n v="211000"/>
    <n v="414907"/>
    <n v="88610190000"/>
    <n v="156852638"/>
    <n v="33174332937000"/>
  </r>
  <r>
    <s v="NAVER"/>
    <x v="4"/>
    <n v="35420"/>
    <s v="KR7035420009"/>
    <x v="21"/>
    <s v="KOSPI"/>
    <n v="215500"/>
    <n v="2000"/>
    <n v="0.94"/>
    <n v="216500"/>
    <n v="218000"/>
    <n v="214000"/>
    <n v="465850"/>
    <n v="100644506000"/>
    <n v="156852638"/>
    <n v="33801743489000"/>
  </r>
  <r>
    <s v="NAVER"/>
    <x v="5"/>
    <n v="35420"/>
    <s v="KR7035420009"/>
    <x v="21"/>
    <s v="KOSPI"/>
    <n v="213500"/>
    <n v="4500"/>
    <n v="2.15"/>
    <n v="215500"/>
    <n v="217000"/>
    <n v="209000"/>
    <n v="468548"/>
    <n v="99778021750"/>
    <n v="156852638"/>
    <n v="33488038213000"/>
  </r>
  <r>
    <s v="NAVER"/>
    <x v="6"/>
    <n v="35420"/>
    <s v="KR7035420009"/>
    <x v="21"/>
    <s v="KOSPI"/>
    <n v="209000"/>
    <n v="-12500"/>
    <n v="-5.64"/>
    <n v="215500"/>
    <n v="215500"/>
    <n v="208500"/>
    <n v="692498"/>
    <n v="146143324250"/>
    <n v="156852638"/>
    <n v="32782201342000"/>
  </r>
  <r>
    <s v="NAVER"/>
    <x v="7"/>
    <n v="35420"/>
    <s v="KR7035420009"/>
    <x v="21"/>
    <s v="KOSPI"/>
    <n v="221500"/>
    <n v="1000"/>
    <n v="0.45"/>
    <n v="222000"/>
    <n v="224500"/>
    <n v="220000"/>
    <n v="673277"/>
    <n v="149194180750"/>
    <n v="156852638"/>
    <n v="34742859317000"/>
  </r>
  <r>
    <s v="NAVER"/>
    <x v="8"/>
    <n v="35420"/>
    <s v="KR7035420009"/>
    <x v="21"/>
    <s v="KOSPI"/>
    <n v="220500"/>
    <n v="-6000"/>
    <n v="-2.65"/>
    <n v="221500"/>
    <n v="222500"/>
    <n v="220000"/>
    <n v="474188"/>
    <n v="104731193500"/>
    <n v="156852638"/>
    <n v="34586006679000"/>
  </r>
  <r>
    <s v="NAVER"/>
    <x v="9"/>
    <n v="35420"/>
    <s v="KR7035420009"/>
    <x v="21"/>
    <s v="KOSPI"/>
    <n v="226500"/>
    <n v="2500"/>
    <n v="1.1200000000000001"/>
    <n v="228500"/>
    <n v="228500"/>
    <n v="225000"/>
    <n v="687521"/>
    <n v="155662271000"/>
    <n v="156852638"/>
    <n v="35527122507000"/>
  </r>
  <r>
    <s v="NAVER"/>
    <x v="10"/>
    <n v="35420"/>
    <s v="KR7035420009"/>
    <x v="21"/>
    <s v="KOSPI"/>
    <n v="224000"/>
    <n v="6000"/>
    <n v="2.75"/>
    <n v="221500"/>
    <n v="227500"/>
    <n v="220500"/>
    <n v="614390"/>
    <n v="137794043250"/>
    <n v="156852638"/>
    <n v="35134990912000"/>
  </r>
  <r>
    <s v="NAVER"/>
    <x v="11"/>
    <n v="35420"/>
    <s v="KR7035420009"/>
    <x v="21"/>
    <s v="KOSPI"/>
    <n v="218000"/>
    <n v="-5000"/>
    <n v="-2.2400000000000002"/>
    <n v="222000"/>
    <n v="222500"/>
    <n v="216000"/>
    <n v="531797"/>
    <n v="116168292500"/>
    <n v="156852638"/>
    <n v="34193875084000"/>
  </r>
  <r>
    <s v="NAVER"/>
    <x v="12"/>
    <n v="35420"/>
    <s v="KR7035420009"/>
    <x v="21"/>
    <s v="KOSPI"/>
    <n v="223000"/>
    <n v="1000"/>
    <n v="0.45"/>
    <n v="216500"/>
    <n v="224000"/>
    <n v="216000"/>
    <n v="706127"/>
    <n v="156771597500"/>
    <n v="156852638"/>
    <n v="34978138274000"/>
  </r>
  <r>
    <s v="NAVER"/>
    <x v="13"/>
    <n v="35420"/>
    <s v="KR7035420009"/>
    <x v="21"/>
    <s v="KOSPI"/>
    <n v="222000"/>
    <n v="0"/>
    <n v="0"/>
    <n v="223500"/>
    <n v="225500"/>
    <n v="220500"/>
    <n v="700973"/>
    <n v="155784989250"/>
    <n v="156852638"/>
    <n v="34821285636000"/>
  </r>
  <r>
    <s v="NAVER"/>
    <x v="14"/>
    <n v="35420"/>
    <s v="KR7035420009"/>
    <x v="21"/>
    <s v="KOSPI"/>
    <n v="222000"/>
    <n v="1500"/>
    <n v="0.68"/>
    <n v="227000"/>
    <n v="230000"/>
    <n v="221000"/>
    <n v="757145"/>
    <n v="171227486019"/>
    <n v="156852638"/>
    <n v="34821285636000"/>
  </r>
  <r>
    <s v="NAVER"/>
    <x v="15"/>
    <n v="35420"/>
    <s v="KR7035420009"/>
    <x v="21"/>
    <s v="KOSPI"/>
    <n v="220500"/>
    <n v="2000"/>
    <n v="0.92"/>
    <n v="226500"/>
    <n v="227000"/>
    <n v="218000"/>
    <n v="935756"/>
    <n v="206811417000"/>
    <n v="156852638"/>
    <n v="34586006679000"/>
  </r>
  <r>
    <s v="NAVER"/>
    <x v="16"/>
    <n v="35420"/>
    <s v="KR7035420009"/>
    <x v="21"/>
    <s v="KOSPI"/>
    <n v="218500"/>
    <n v="-4000"/>
    <n v="-1.8"/>
    <n v="209500"/>
    <n v="218500"/>
    <n v="207000"/>
    <n v="940462"/>
    <n v="200834309500"/>
    <n v="156852638"/>
    <n v="34272301403000"/>
  </r>
  <r>
    <s v="NAVER"/>
    <x v="17"/>
    <n v="35420"/>
    <s v="KR7035420009"/>
    <x v="21"/>
    <s v="KOSPI"/>
    <n v="222500"/>
    <n v="2500"/>
    <n v="1.1399999999999999"/>
    <n v="216000"/>
    <n v="225500"/>
    <n v="216000"/>
    <n v="1042652"/>
    <n v="230759286250"/>
    <n v="156852638"/>
    <n v="34899711955000"/>
  </r>
  <r>
    <s v="NAVER"/>
    <x v="18"/>
    <n v="35420"/>
    <s v="KR7035420009"/>
    <x v="21"/>
    <s v="KOSPI"/>
    <n v="220000"/>
    <n v="12000"/>
    <n v="5.77"/>
    <n v="224000"/>
    <n v="227500"/>
    <n v="218000"/>
    <n v="1671549"/>
    <n v="370724847500"/>
    <n v="156852638"/>
    <n v="34507580360000"/>
  </r>
  <r>
    <s v="NAVER"/>
    <x v="19"/>
    <n v="35420"/>
    <s v="KR7035420009"/>
    <x v="21"/>
    <s v="KOSPI"/>
    <n v="208000"/>
    <n v="-28000"/>
    <n v="-11.86"/>
    <n v="225500"/>
    <n v="231000"/>
    <n v="207500"/>
    <n v="2051989"/>
    <n v="445942066500"/>
    <n v="156852638"/>
    <n v="32625348704000"/>
  </r>
  <r>
    <s v="NAVER"/>
    <x v="20"/>
    <n v="35420"/>
    <s v="KR7035420009"/>
    <x v="21"/>
    <s v="KOSPI"/>
    <n v="236000"/>
    <n v="-18500"/>
    <n v="-7.27"/>
    <n v="250500"/>
    <n v="252000"/>
    <n v="236000"/>
    <n v="1507045"/>
    <n v="366367839000"/>
    <n v="156852638"/>
    <n v="37017222568000"/>
  </r>
  <r>
    <s v="NAVER"/>
    <x v="21"/>
    <n v="35420"/>
    <s v="KR7035420009"/>
    <x v="21"/>
    <s v="KOSPI"/>
    <n v="254500"/>
    <n v="-6000"/>
    <n v="-2.2999999999999998"/>
    <n v="261000"/>
    <n v="261500"/>
    <n v="254500"/>
    <n v="1259511"/>
    <n v="323263324250"/>
    <n v="156852638"/>
    <n v="39918996371000"/>
  </r>
  <r>
    <s v="NAVER"/>
    <x v="22"/>
    <n v="35420"/>
    <s v="KR7035420009"/>
    <x v="21"/>
    <s v="KOSPI"/>
    <n v="260500"/>
    <n v="7500"/>
    <n v="2.96"/>
    <n v="258500"/>
    <n v="267000"/>
    <n v="258000"/>
    <n v="1890166"/>
    <n v="495651277000"/>
    <n v="156852638"/>
    <n v="40860112199000"/>
  </r>
  <r>
    <s v="NAVER"/>
    <x v="23"/>
    <n v="35420"/>
    <s v="KR7035420009"/>
    <x v="21"/>
    <s v="KOSPI"/>
    <n v="253000"/>
    <n v="-2000"/>
    <n v="-0.78"/>
    <n v="255500"/>
    <n v="256000"/>
    <n v="251000"/>
    <n v="937503"/>
    <n v="237242459750"/>
    <n v="156852638"/>
    <n v="39683717414000"/>
  </r>
  <r>
    <s v="NAVER"/>
    <x v="24"/>
    <n v="35420"/>
    <s v="KR7035420009"/>
    <x v="21"/>
    <s v="KOSPI"/>
    <n v="255000"/>
    <n v="-500"/>
    <n v="-0.2"/>
    <n v="256500"/>
    <n v="256500"/>
    <n v="254000"/>
    <n v="652490"/>
    <n v="166458691500"/>
    <n v="156852638"/>
    <n v="39997422690000"/>
  </r>
  <r>
    <s v="NAVER"/>
    <x v="25"/>
    <n v="35420"/>
    <s v="KR7035420009"/>
    <x v="21"/>
    <s v="KOSPI"/>
    <n v="255500"/>
    <n v="1000"/>
    <n v="0.39"/>
    <n v="257500"/>
    <n v="262000"/>
    <n v="255000"/>
    <n v="747019"/>
    <n v="192078336000"/>
    <n v="156852638"/>
    <n v="40075849009000"/>
  </r>
  <r>
    <s v="NAVER"/>
    <x v="26"/>
    <n v="35420"/>
    <s v="KR7035420009"/>
    <x v="21"/>
    <s v="KOSPI"/>
    <n v="254500"/>
    <n v="1500"/>
    <n v="0.59"/>
    <n v="254500"/>
    <n v="260000"/>
    <n v="254000"/>
    <n v="948594"/>
    <n v="243486522250"/>
    <n v="156852638"/>
    <n v="39918996371000"/>
  </r>
  <r>
    <s v="NAVER"/>
    <x v="27"/>
    <n v="35420"/>
    <s v="KR7035420009"/>
    <x v="21"/>
    <s v="KOSPI"/>
    <n v="253000"/>
    <n v="500"/>
    <n v="0.2"/>
    <n v="254500"/>
    <n v="255000"/>
    <n v="252000"/>
    <n v="806208"/>
    <n v="204013994750"/>
    <n v="156852638"/>
    <n v="39683717414000"/>
  </r>
  <r>
    <s v="NAVER"/>
    <x v="28"/>
    <n v="35420"/>
    <s v="KR7035420009"/>
    <x v="21"/>
    <s v="KOSPI"/>
    <n v="252500"/>
    <n v="-3000"/>
    <n v="-1.17"/>
    <n v="254000"/>
    <n v="257500"/>
    <n v="250000"/>
    <n v="820046"/>
    <n v="207146109000"/>
    <n v="156852638"/>
    <n v="39605291095000"/>
  </r>
  <r>
    <s v="NAVER"/>
    <x v="29"/>
    <n v="35420"/>
    <s v="KR7035420009"/>
    <x v="21"/>
    <s v="KOSPI"/>
    <n v="255500"/>
    <n v="-2000"/>
    <n v="-0.78"/>
    <n v="261500"/>
    <n v="262000"/>
    <n v="255500"/>
    <n v="1404228"/>
    <n v="360888324250"/>
    <n v="156852638"/>
    <n v="40075849009000"/>
  </r>
  <r>
    <s v="NAVER"/>
    <x v="30"/>
    <n v="35420"/>
    <s v="KR7035420009"/>
    <x v="21"/>
    <s v="KOSPI"/>
    <n v="257500"/>
    <n v="3500"/>
    <n v="1.38"/>
    <n v="258500"/>
    <n v="261000"/>
    <n v="255000"/>
    <n v="1133876"/>
    <n v="291914327750"/>
    <n v="156852638"/>
    <n v="40389554285000"/>
  </r>
  <r>
    <s v="NAVER"/>
    <x v="31"/>
    <n v="35420"/>
    <s v="KR7035420009"/>
    <x v="21"/>
    <s v="KOSPI"/>
    <n v="254000"/>
    <n v="4000"/>
    <n v="1.6"/>
    <n v="254000"/>
    <n v="259000"/>
    <n v="252000"/>
    <n v="1475536"/>
    <n v="377032275250"/>
    <n v="156852638"/>
    <n v="39840570052000"/>
  </r>
  <r>
    <s v="NAVER"/>
    <x v="32"/>
    <n v="35420"/>
    <s v="KR7035420009"/>
    <x v="21"/>
    <s v="KOSPI"/>
    <n v="250000"/>
    <n v="1000"/>
    <n v="0.4"/>
    <n v="253500"/>
    <n v="254500"/>
    <n v="248000"/>
    <n v="1426634"/>
    <n v="358265634750"/>
    <n v="156852638"/>
    <n v="39213159500000"/>
  </r>
  <r>
    <s v="NAVER"/>
    <x v="33"/>
    <n v="35420"/>
    <s v="KR7035420009"/>
    <x v="21"/>
    <s v="KOSPI"/>
    <n v="249000"/>
    <n v="-8000"/>
    <n v="-3.11"/>
    <n v="251000"/>
    <n v="254000"/>
    <n v="244000"/>
    <n v="1919017"/>
    <n v="474845029500"/>
    <n v="156852638"/>
    <n v="39056306862000"/>
  </r>
  <r>
    <s v="NAVER"/>
    <x v="34"/>
    <n v="35420"/>
    <s v="KR7035420009"/>
    <x v="21"/>
    <s v="KOSPI"/>
    <n v="257000"/>
    <n v="-7500"/>
    <n v="-2.84"/>
    <n v="262500"/>
    <n v="264500"/>
    <n v="255500"/>
    <n v="1551427"/>
    <n v="401798639630"/>
    <n v="156852638"/>
    <n v="40311127966000"/>
  </r>
  <r>
    <s v="NAVER"/>
    <x v="35"/>
    <n v="35420"/>
    <s v="KR7035420009"/>
    <x v="21"/>
    <s v="KOSPI"/>
    <n v="264500"/>
    <n v="-4500"/>
    <n v="-1.67"/>
    <n v="266000"/>
    <n v="267000"/>
    <n v="260000"/>
    <n v="1700411"/>
    <n v="448495333250"/>
    <n v="156852638"/>
    <n v="41487522751000"/>
  </r>
  <r>
    <s v="NAVER"/>
    <x v="36"/>
    <n v="35420"/>
    <s v="KR7035420009"/>
    <x v="21"/>
    <s v="KOSPI"/>
    <n v="269000"/>
    <n v="1000"/>
    <n v="0.37"/>
    <n v="274500"/>
    <n v="274500"/>
    <n v="265000"/>
    <n v="1894227"/>
    <n v="507696355500"/>
    <n v="156852638"/>
    <n v="42193359622000"/>
  </r>
  <r>
    <s v="NAVER"/>
    <x v="37"/>
    <n v="35420"/>
    <s v="KR7035420009"/>
    <x v="21"/>
    <s v="KOSPI"/>
    <n v="268000"/>
    <n v="-7000"/>
    <n v="-2.5499999999999998"/>
    <n v="270000"/>
    <n v="278500"/>
    <n v="265000"/>
    <n v="1862631"/>
    <n v="504599181750"/>
    <n v="156852638"/>
    <n v="42036506984000"/>
  </r>
  <r>
    <s v="NAVER"/>
    <x v="38"/>
    <n v="35420"/>
    <s v="KR7035420009"/>
    <x v="21"/>
    <s v="KOSPI"/>
    <n v="275000"/>
    <n v="-12000"/>
    <n v="-4.18"/>
    <n v="285500"/>
    <n v="285500"/>
    <n v="274500"/>
    <n v="1819960"/>
    <n v="506398458750"/>
    <n v="156852638"/>
    <n v="43134475450000"/>
  </r>
  <r>
    <s v="NAVER"/>
    <x v="39"/>
    <n v="35420"/>
    <s v="KR7035420009"/>
    <x v="21"/>
    <s v="KOSPI"/>
    <n v="287000"/>
    <n v="9500"/>
    <n v="3.42"/>
    <n v="276000"/>
    <n v="290500"/>
    <n v="275000"/>
    <n v="2812259"/>
    <n v="797449163500"/>
    <n v="156852638"/>
    <n v="45016707106000"/>
  </r>
  <r>
    <s v="NAVER"/>
    <x v="40"/>
    <n v="35420"/>
    <s v="KR7035420009"/>
    <x v="21"/>
    <s v="KOSPI"/>
    <n v="277500"/>
    <n v="-4000"/>
    <n v="-1.42"/>
    <n v="285000"/>
    <n v="285500"/>
    <n v="271000"/>
    <n v="2822531"/>
    <n v="786064449250"/>
    <n v="156852638"/>
    <n v="43526607045000"/>
  </r>
  <r>
    <s v="NAVER"/>
    <x v="41"/>
    <n v="35420"/>
    <s v="KR7035420009"/>
    <x v="21"/>
    <s v="KOSPI"/>
    <n v="281500"/>
    <n v="9000"/>
    <n v="3.3"/>
    <n v="270500"/>
    <n v="292000"/>
    <n v="270000"/>
    <n v="4948006"/>
    <n v="1406248732750"/>
    <n v="156852638"/>
    <n v="44154017597000"/>
  </r>
  <r>
    <s v="NAVER"/>
    <x v="42"/>
    <n v="35420"/>
    <s v="KR7035420009"/>
    <x v="21"/>
    <s v="KOSPI"/>
    <n v="272500"/>
    <n v="6500"/>
    <n v="2.44"/>
    <n v="274000"/>
    <n v="276500"/>
    <n v="265000"/>
    <n v="2706664"/>
    <n v="731103141750"/>
    <n v="156852638"/>
    <n v="42742343855000"/>
  </r>
  <r>
    <s v="NAVER"/>
    <x v="43"/>
    <n v="35420"/>
    <s v="KR7035420009"/>
    <x v="21"/>
    <s v="KOSPI"/>
    <n v="266000"/>
    <n v="20500"/>
    <n v="8.35"/>
    <n v="248000"/>
    <n v="269500"/>
    <n v="246500"/>
    <n v="5042292"/>
    <n v="1324215574014"/>
    <n v="156852638"/>
    <n v="41722801708000"/>
  </r>
  <r>
    <s v="NAVER"/>
    <x v="44"/>
    <n v="35420"/>
    <s v="KR7035420009"/>
    <x v="21"/>
    <s v="KOSPI"/>
    <n v="245500"/>
    <n v="7000"/>
    <n v="2.94"/>
    <n v="242000"/>
    <n v="247500"/>
    <n v="239500"/>
    <n v="1341056"/>
    <n v="328676872500"/>
    <n v="156852638"/>
    <n v="38507322629000"/>
  </r>
  <r>
    <s v="NAVER"/>
    <x v="45"/>
    <n v="35420"/>
    <s v="KR7035420009"/>
    <x v="21"/>
    <s v="KOSPI"/>
    <n v="238500"/>
    <n v="-5500"/>
    <n v="-2.25"/>
    <n v="239500"/>
    <n v="242500"/>
    <n v="238000"/>
    <n v="1022540"/>
    <n v="244822441500"/>
    <n v="156852638"/>
    <n v="37409354163000"/>
  </r>
  <r>
    <s v="NAVER"/>
    <x v="46"/>
    <n v="35420"/>
    <s v="KR7035420009"/>
    <x v="21"/>
    <s v="KOSPI"/>
    <n v="244000"/>
    <n v="6000"/>
    <n v="2.52"/>
    <n v="241500"/>
    <n v="244500"/>
    <n v="240500"/>
    <n v="1205903"/>
    <n v="292659591250"/>
    <n v="156852638"/>
    <n v="38272043672000"/>
  </r>
  <r>
    <s v="NAVER"/>
    <x v="47"/>
    <n v="35420"/>
    <s v="KR7035420009"/>
    <x v="21"/>
    <s v="KOSPI"/>
    <n v="238000"/>
    <n v="-7500"/>
    <n v="-3.05"/>
    <n v="242000"/>
    <n v="243500"/>
    <n v="237500"/>
    <n v="1689244"/>
    <n v="403773358750"/>
    <n v="156852638"/>
    <n v="37330927844000"/>
  </r>
  <r>
    <s v="NAVER"/>
    <x v="48"/>
    <n v="35420"/>
    <s v="KR7035420009"/>
    <x v="21"/>
    <s v="KOSPI"/>
    <n v="245500"/>
    <n v="-2000"/>
    <n v="-0.81"/>
    <n v="248500"/>
    <n v="248500"/>
    <n v="243500"/>
    <n v="1898586"/>
    <n v="465454123500"/>
    <n v="156852638"/>
    <n v="38507322629000"/>
  </r>
  <r>
    <s v="NAVER"/>
    <x v="49"/>
    <n v="35420"/>
    <s v="KR7035420009"/>
    <x v="21"/>
    <s v="KOSPI"/>
    <n v="247500"/>
    <n v="-12000"/>
    <n v="-4.62"/>
    <n v="257000"/>
    <n v="263500"/>
    <n v="244000"/>
    <n v="2397110"/>
    <n v="605449691000"/>
    <n v="156852638"/>
    <n v="38821027905000"/>
  </r>
  <r>
    <s v="NAVER"/>
    <x v="50"/>
    <n v="35420"/>
    <s v="KR7035420009"/>
    <x v="21"/>
    <s v="KOSPI"/>
    <n v="259500"/>
    <n v="-5000"/>
    <n v="-1.89"/>
    <n v="268000"/>
    <n v="270000"/>
    <n v="255500"/>
    <n v="1574617"/>
    <n v="409384510500"/>
    <n v="156852638"/>
    <n v="40703259561000"/>
  </r>
  <r>
    <s v="NAVER"/>
    <x v="51"/>
    <n v="35420"/>
    <s v="KR7035420009"/>
    <x v="21"/>
    <s v="KOSPI"/>
    <n v="264500"/>
    <n v="9000"/>
    <n v="3.52"/>
    <n v="259000"/>
    <n v="264500"/>
    <n v="256500"/>
    <n v="1671879"/>
    <n v="435426279250"/>
    <n v="156852638"/>
    <n v="41487522751000"/>
  </r>
  <r>
    <s v="NAVER"/>
    <x v="52"/>
    <n v="35420"/>
    <s v="KR7035420009"/>
    <x v="21"/>
    <s v="KOSPI"/>
    <n v="255500"/>
    <n v="1500"/>
    <n v="0.59"/>
    <n v="256000"/>
    <n v="258500"/>
    <n v="249000"/>
    <n v="1328415"/>
    <n v="337372433750"/>
    <n v="156852638"/>
    <n v="40075849009000"/>
  </r>
  <r>
    <s v="NAVER"/>
    <x v="53"/>
    <n v="35420"/>
    <s v="KR7035420009"/>
    <x v="21"/>
    <s v="KOSPI"/>
    <n v="254000"/>
    <n v="3000"/>
    <n v="1.2"/>
    <n v="253000"/>
    <n v="256500"/>
    <n v="250500"/>
    <n v="918991"/>
    <n v="233353536750"/>
    <n v="156852638"/>
    <n v="39840570052000"/>
  </r>
  <r>
    <s v="NAVER"/>
    <x v="54"/>
    <n v="35420"/>
    <s v="KR7035420009"/>
    <x v="21"/>
    <s v="KOSPI"/>
    <n v="251000"/>
    <n v="-1500"/>
    <n v="-0.59"/>
    <n v="249500"/>
    <n v="258000"/>
    <n v="245000"/>
    <n v="1311262"/>
    <n v="327427144750"/>
    <n v="156852638"/>
    <n v="39370012138000"/>
  </r>
  <r>
    <s v="NAVER"/>
    <x v="55"/>
    <n v="35420"/>
    <s v="KR7035420009"/>
    <x v="21"/>
    <s v="KOSPI"/>
    <n v="252500"/>
    <n v="-7500"/>
    <n v="-2.88"/>
    <n v="258000"/>
    <n v="258000"/>
    <n v="246500"/>
    <n v="1886634"/>
    <n v="475411010500"/>
    <n v="156852638"/>
    <n v="39605291095000"/>
  </r>
  <r>
    <s v="NAVER"/>
    <x v="56"/>
    <n v="35420"/>
    <s v="KR7035420009"/>
    <x v="21"/>
    <s v="KOSPI"/>
    <n v="260000"/>
    <n v="10500"/>
    <n v="4.21"/>
    <n v="249500"/>
    <n v="262500"/>
    <n v="248000"/>
    <n v="2462129"/>
    <n v="636058166250"/>
    <n v="156852638"/>
    <n v="40781685880000"/>
  </r>
  <r>
    <s v="NAVER"/>
    <x v="57"/>
    <n v="35420"/>
    <s v="KR7035420009"/>
    <x v="21"/>
    <s v="KOSPI"/>
    <n v="249500"/>
    <n v="2500"/>
    <n v="1.01"/>
    <n v="248500"/>
    <n v="251000"/>
    <n v="247000"/>
    <n v="1011640"/>
    <n v="252067459500"/>
    <n v="156852638"/>
    <n v="39134733181000"/>
  </r>
  <r>
    <s v="NAVER"/>
    <x v="58"/>
    <n v="35420"/>
    <s v="KR7035420009"/>
    <x v="21"/>
    <s v="KOSPI"/>
    <n v="247000"/>
    <n v="4500"/>
    <n v="1.86"/>
    <n v="243500"/>
    <n v="249000"/>
    <n v="238000"/>
    <n v="1362199"/>
    <n v="333866856750"/>
    <n v="156852638"/>
    <n v="38742601586000"/>
  </r>
  <r>
    <s v="고려아연"/>
    <x v="0"/>
    <n v="10130"/>
    <s v="KR7010130003"/>
    <x v="22"/>
    <s v="KOSPI"/>
    <n v="1422000"/>
    <n v="-56000"/>
    <n v="-3.79"/>
    <n v="1430000"/>
    <n v="1448000"/>
    <n v="1401000"/>
    <n v="24293"/>
    <n v="34596878500"/>
    <n v="20872969"/>
    <n v="29681361918000"/>
  </r>
  <r>
    <s v="고려아연"/>
    <x v="1"/>
    <n v="10130"/>
    <s v="KR7010130003"/>
    <x v="22"/>
    <s v="KOSPI"/>
    <n v="1478000"/>
    <n v="-5000"/>
    <n v="-0.34"/>
    <n v="1407000"/>
    <n v="1480000"/>
    <n v="1395000"/>
    <n v="23994"/>
    <n v="34691087000"/>
    <n v="20872969"/>
    <n v="30850248182000"/>
  </r>
  <r>
    <s v="고려아연"/>
    <x v="2"/>
    <n v="10130"/>
    <s v="KR7010130003"/>
    <x v="22"/>
    <s v="KOSPI"/>
    <n v="1483000"/>
    <n v="-63000"/>
    <n v="-4.08"/>
    <n v="1490000"/>
    <n v="1490000"/>
    <n v="1415000"/>
    <n v="30379"/>
    <n v="44069932500"/>
    <n v="20872969"/>
    <n v="30954613027000"/>
  </r>
  <r>
    <s v="고려아연"/>
    <x v="3"/>
    <n v="10130"/>
    <s v="KR7010130003"/>
    <x v="22"/>
    <s v="KOSPI"/>
    <n v="1546000"/>
    <n v="-47000"/>
    <n v="-2.95"/>
    <n v="1593000"/>
    <n v="1593000"/>
    <n v="1521000"/>
    <n v="16078"/>
    <n v="24914465000"/>
    <n v="20872969"/>
    <n v="32269610074000"/>
  </r>
  <r>
    <s v="고려아연"/>
    <x v="4"/>
    <n v="10130"/>
    <s v="KR7010130003"/>
    <x v="22"/>
    <s v="KOSPI"/>
    <n v="1593000"/>
    <n v="50000"/>
    <n v="3.24"/>
    <n v="1586000"/>
    <n v="1606000"/>
    <n v="1560000"/>
    <n v="22294"/>
    <n v="35288866500"/>
    <n v="20872969"/>
    <n v="33250639617000"/>
  </r>
  <r>
    <s v="고려아연"/>
    <x v="5"/>
    <n v="10130"/>
    <s v="KR7010130003"/>
    <x v="22"/>
    <s v="KOSPI"/>
    <n v="1543000"/>
    <n v="57000"/>
    <n v="3.84"/>
    <n v="1551000"/>
    <n v="1563000"/>
    <n v="1488000"/>
    <n v="25418"/>
    <n v="38894349000"/>
    <n v="20872969"/>
    <n v="32206991167000"/>
  </r>
  <r>
    <s v="고려아연"/>
    <x v="6"/>
    <n v="10130"/>
    <s v="KR7010130003"/>
    <x v="22"/>
    <s v="KOSPI"/>
    <n v="1486000"/>
    <n v="-101000"/>
    <n v="-6.36"/>
    <n v="1551000"/>
    <n v="1563000"/>
    <n v="1448000"/>
    <n v="39467"/>
    <n v="58754207000"/>
    <n v="20872969"/>
    <n v="31017231934000"/>
  </r>
  <r>
    <s v="고려아연"/>
    <x v="7"/>
    <n v="10130"/>
    <s v="KR7010130003"/>
    <x v="22"/>
    <s v="KOSPI"/>
    <n v="1587000"/>
    <n v="-25000"/>
    <n v="-1.55"/>
    <n v="1627000"/>
    <n v="1634000"/>
    <n v="1580000"/>
    <n v="47993"/>
    <n v="76602675500"/>
    <n v="20872969"/>
    <n v="33125401803000"/>
  </r>
  <r>
    <s v="고려아연"/>
    <x v="8"/>
    <n v="10130"/>
    <s v="KR7010130003"/>
    <x v="22"/>
    <s v="KOSPI"/>
    <n v="1612000"/>
    <n v="-83000"/>
    <n v="-4.9000000000000004"/>
    <n v="1652000"/>
    <n v="1652000"/>
    <n v="1612000"/>
    <n v="34466"/>
    <n v="55900364000"/>
    <n v="20872969"/>
    <n v="33647226028000"/>
  </r>
  <r>
    <s v="고려아연"/>
    <x v="9"/>
    <n v="10130"/>
    <s v="KR7010130003"/>
    <x v="22"/>
    <s v="KOSPI"/>
    <n v="1695000"/>
    <n v="83000"/>
    <n v="5.15"/>
    <n v="1630000"/>
    <n v="1699000"/>
    <n v="1618000"/>
    <n v="26895"/>
    <n v="45051858000"/>
    <n v="20872969"/>
    <n v="35379682455000"/>
  </r>
  <r>
    <s v="고려아연"/>
    <x v="10"/>
    <n v="10130"/>
    <s v="KR7010130003"/>
    <x v="22"/>
    <s v="KOSPI"/>
    <n v="1612000"/>
    <n v="12000"/>
    <n v="0.75"/>
    <n v="1647000"/>
    <n v="1662000"/>
    <n v="1600000"/>
    <n v="17390"/>
    <n v="28154958000"/>
    <n v="20872969"/>
    <n v="33647226028000"/>
  </r>
  <r>
    <s v="고려아연"/>
    <x v="11"/>
    <n v="10130"/>
    <s v="KR7010130003"/>
    <x v="22"/>
    <s v="KOSPI"/>
    <n v="1600000"/>
    <n v="-28000"/>
    <n v="-1.72"/>
    <n v="1640000"/>
    <n v="1640000"/>
    <n v="1592000"/>
    <n v="19945"/>
    <n v="32107079000"/>
    <n v="20872969"/>
    <n v="33396750400000"/>
  </r>
  <r>
    <s v="고려아연"/>
    <x v="12"/>
    <n v="10130"/>
    <s v="KR7010130003"/>
    <x v="22"/>
    <s v="KOSPI"/>
    <n v="1628000"/>
    <n v="-46000"/>
    <n v="-2.75"/>
    <n v="1630000"/>
    <n v="1698000"/>
    <n v="1614000"/>
    <n v="22703"/>
    <n v="37195043500"/>
    <n v="20872969"/>
    <n v="33981193532000"/>
  </r>
  <r>
    <s v="고려아연"/>
    <x v="13"/>
    <n v="10130"/>
    <s v="KR7010130003"/>
    <x v="22"/>
    <s v="KOSPI"/>
    <n v="1674000"/>
    <n v="8000"/>
    <n v="0.48"/>
    <n v="1680000"/>
    <n v="1725000"/>
    <n v="1642000"/>
    <n v="20975"/>
    <n v="35008493500"/>
    <n v="20872969"/>
    <n v="34941350106000"/>
  </r>
  <r>
    <s v="고려아연"/>
    <x v="14"/>
    <n v="10130"/>
    <s v="KR7010130003"/>
    <x v="22"/>
    <s v="KOSPI"/>
    <n v="1666000"/>
    <n v="41000"/>
    <n v="2.52"/>
    <n v="1683000"/>
    <n v="1736000"/>
    <n v="1656000"/>
    <n v="24546"/>
    <n v="41620748500"/>
    <n v="20872969"/>
    <n v="34774366354000"/>
  </r>
  <r>
    <s v="고려아연"/>
    <x v="15"/>
    <n v="10130"/>
    <s v="KR7010130003"/>
    <x v="22"/>
    <s v="KOSPI"/>
    <n v="1625000"/>
    <n v="29000"/>
    <n v="1.82"/>
    <n v="1703000"/>
    <n v="1703000"/>
    <n v="1605000"/>
    <n v="33419"/>
    <n v="54802263000"/>
    <n v="20872969"/>
    <n v="33918574625000"/>
  </r>
  <r>
    <s v="고려아연"/>
    <x v="16"/>
    <n v="10130"/>
    <s v="KR7010130003"/>
    <x v="22"/>
    <s v="KOSPI"/>
    <n v="1596000"/>
    <n v="-156000"/>
    <n v="-8.9"/>
    <n v="1657000"/>
    <n v="1658000"/>
    <n v="1560000"/>
    <n v="48063"/>
    <n v="76375314500"/>
    <n v="20872969"/>
    <n v="33313258524000"/>
  </r>
  <r>
    <s v="고려아연"/>
    <x v="17"/>
    <n v="10130"/>
    <s v="KR7010130003"/>
    <x v="22"/>
    <s v="KOSPI"/>
    <n v="1752000"/>
    <n v="-7000"/>
    <n v="-0.4"/>
    <n v="1738000"/>
    <n v="1806000"/>
    <n v="1717000"/>
    <n v="21869"/>
    <n v="38595945500"/>
    <n v="20872969"/>
    <n v="36569441688000"/>
  </r>
  <r>
    <s v="고려아연"/>
    <x v="18"/>
    <n v="10130"/>
    <s v="KR7010130003"/>
    <x v="22"/>
    <s v="KOSPI"/>
    <n v="1759000"/>
    <n v="127000"/>
    <n v="7.78"/>
    <n v="1790000"/>
    <n v="1840000"/>
    <n v="1752000"/>
    <n v="32605"/>
    <n v="58401429500"/>
    <n v="20872969"/>
    <n v="36715552471000"/>
  </r>
  <r>
    <s v="고려아연"/>
    <x v="19"/>
    <n v="10130"/>
    <s v="KR7010130003"/>
    <x v="22"/>
    <s v="KOSPI"/>
    <n v="1632000"/>
    <n v="-351000"/>
    <n v="-17.7"/>
    <n v="1850000"/>
    <n v="1879000"/>
    <n v="1621000"/>
    <n v="52732"/>
    <n v="91374904000"/>
    <n v="20872969"/>
    <n v="34064685408000"/>
  </r>
  <r>
    <s v="고려아연"/>
    <x v="20"/>
    <n v="10130"/>
    <s v="KR7010130003"/>
    <x v="22"/>
    <s v="KOSPI"/>
    <n v="1983000"/>
    <n v="-47000"/>
    <n v="-2.3199999999999998"/>
    <n v="2085000"/>
    <n v="2093000"/>
    <n v="1948000"/>
    <n v="39472"/>
    <n v="80715864000"/>
    <n v="20872969"/>
    <n v="41391097527000"/>
  </r>
  <r>
    <s v="고려아연"/>
    <x v="21"/>
    <n v="10130"/>
    <s v="KR7010130003"/>
    <x v="22"/>
    <s v="KOSPI"/>
    <n v="2030000"/>
    <n v="-25000"/>
    <n v="-1.22"/>
    <n v="2075000"/>
    <n v="2095000"/>
    <n v="2017000"/>
    <n v="27633"/>
    <n v="56377649500"/>
    <n v="20872969"/>
    <n v="42372127070000"/>
  </r>
  <r>
    <s v="고려아연"/>
    <x v="22"/>
    <n v="10130"/>
    <s v="KR7010130003"/>
    <x v="22"/>
    <s v="KOSPI"/>
    <n v="2055000"/>
    <n v="-60000"/>
    <n v="-2.84"/>
    <n v="2076000"/>
    <n v="2108000"/>
    <n v="2003000"/>
    <n v="51820"/>
    <n v="106773648500"/>
    <n v="20872969"/>
    <n v="42893951295000"/>
  </r>
  <r>
    <s v="고려아연"/>
    <x v="23"/>
    <n v="10130"/>
    <s v="KR7010130003"/>
    <x v="22"/>
    <s v="KOSPI"/>
    <n v="2115000"/>
    <n v="244000"/>
    <n v="13.04"/>
    <n v="1860000"/>
    <n v="2188000"/>
    <n v="1850000"/>
    <n v="96133"/>
    <n v="195028509000"/>
    <n v="20872969"/>
    <n v="44146329435000"/>
  </r>
  <r>
    <s v="고려아연"/>
    <x v="24"/>
    <n v="10130"/>
    <s v="KR7010130003"/>
    <x v="22"/>
    <s v="KOSPI"/>
    <n v="1871000"/>
    <n v="148000"/>
    <n v="8.59"/>
    <n v="1738000"/>
    <n v="1887000"/>
    <n v="1738000"/>
    <n v="89666"/>
    <n v="164635132500"/>
    <n v="20872969"/>
    <n v="39053324999000"/>
  </r>
  <r>
    <s v="고려아연"/>
    <x v="25"/>
    <n v="10130"/>
    <s v="KR7010130003"/>
    <x v="22"/>
    <s v="KOSPI"/>
    <n v="1723000"/>
    <n v="60000"/>
    <n v="3.61"/>
    <n v="1676000"/>
    <n v="1749000"/>
    <n v="1668000"/>
    <n v="47842"/>
    <n v="81673355500"/>
    <n v="20872969"/>
    <n v="35964125587000"/>
  </r>
  <r>
    <s v="고려아연"/>
    <x v="26"/>
    <n v="10130"/>
    <s v="KR7010130003"/>
    <x v="22"/>
    <s v="KOSPI"/>
    <n v="1663000"/>
    <n v="-6000"/>
    <n v="-0.36"/>
    <n v="1674000"/>
    <n v="1682000"/>
    <n v="1660000"/>
    <n v="23905"/>
    <n v="39883088000"/>
    <n v="20872969"/>
    <n v="34711747447000"/>
  </r>
  <r>
    <s v="고려아연"/>
    <x v="27"/>
    <n v="10130"/>
    <s v="KR7010130003"/>
    <x v="22"/>
    <s v="KOSPI"/>
    <n v="1669000"/>
    <n v="-1000"/>
    <n v="-0.06"/>
    <n v="1680000"/>
    <n v="1690000"/>
    <n v="1647000"/>
    <n v="35941"/>
    <n v="59806433000"/>
    <n v="20872969"/>
    <n v="34836985261000"/>
  </r>
  <r>
    <s v="고려아연"/>
    <x v="28"/>
    <n v="10130"/>
    <s v="KR7010130003"/>
    <x v="22"/>
    <s v="KOSPI"/>
    <n v="1670000"/>
    <n v="-62000"/>
    <n v="-3.58"/>
    <n v="1683000"/>
    <n v="1690000"/>
    <n v="1642000"/>
    <n v="35396"/>
    <n v="58984049500"/>
    <n v="20872969"/>
    <n v="34857858230000"/>
  </r>
  <r>
    <s v="고려아연"/>
    <x v="29"/>
    <n v="10130"/>
    <s v="KR7010130003"/>
    <x v="22"/>
    <s v="KOSPI"/>
    <n v="1732000"/>
    <n v="54000"/>
    <n v="3.22"/>
    <n v="1698000"/>
    <n v="1732000"/>
    <n v="1692000"/>
    <n v="52778"/>
    <n v="90741457500"/>
    <n v="20872969"/>
    <n v="36151982308000"/>
  </r>
  <r>
    <s v="고려아연"/>
    <x v="30"/>
    <n v="10130"/>
    <s v="KR7010130003"/>
    <x v="22"/>
    <s v="KOSPI"/>
    <n v="1678000"/>
    <n v="-23000"/>
    <n v="-1.35"/>
    <n v="1712000"/>
    <n v="1735000"/>
    <n v="1672000"/>
    <n v="28883"/>
    <n v="48866292000"/>
    <n v="20872969"/>
    <n v="35024841982000"/>
  </r>
  <r>
    <s v="고려아연"/>
    <x v="31"/>
    <n v="10130"/>
    <s v="KR7010130003"/>
    <x v="22"/>
    <s v="KOSPI"/>
    <n v="1701000"/>
    <n v="-8000"/>
    <n v="-0.47"/>
    <n v="1739000"/>
    <n v="1742000"/>
    <n v="1690000"/>
    <n v="24834"/>
    <n v="42479428000"/>
    <n v="20872969"/>
    <n v="35504920269000"/>
  </r>
  <r>
    <s v="고려아연"/>
    <x v="32"/>
    <n v="10130"/>
    <s v="KR7010130003"/>
    <x v="22"/>
    <s v="KOSPI"/>
    <n v="1709000"/>
    <n v="68000"/>
    <n v="4.1399999999999997"/>
    <n v="1723000"/>
    <n v="1727000"/>
    <n v="1679000"/>
    <n v="29494"/>
    <n v="50266804000"/>
    <n v="20872969"/>
    <n v="35671904021000"/>
  </r>
  <r>
    <s v="고려아연"/>
    <x v="33"/>
    <n v="10130"/>
    <s v="KR7010130003"/>
    <x v="22"/>
    <s v="KOSPI"/>
    <n v="1641000"/>
    <n v="-68000"/>
    <n v="-3.98"/>
    <n v="1636000"/>
    <n v="1643000"/>
    <n v="1558000"/>
    <n v="40461"/>
    <n v="65346342000"/>
    <n v="20872969"/>
    <n v="34252542129000"/>
  </r>
  <r>
    <s v="고려아연"/>
    <x v="34"/>
    <n v="10130"/>
    <s v="KR7010130003"/>
    <x v="22"/>
    <s v="KOSPI"/>
    <n v="1709000"/>
    <n v="-120000"/>
    <n v="-6.56"/>
    <n v="1780000"/>
    <n v="1787000"/>
    <n v="1687000"/>
    <n v="47268"/>
    <n v="81493107500"/>
    <n v="20872969"/>
    <n v="35671904021000"/>
  </r>
  <r>
    <s v="고려아연"/>
    <x v="35"/>
    <n v="10130"/>
    <s v="KR7010130003"/>
    <x v="22"/>
    <s v="KOSPI"/>
    <n v="1829000"/>
    <n v="113000"/>
    <n v="6.59"/>
    <n v="1767000"/>
    <n v="1867000"/>
    <n v="1738000"/>
    <n v="56308"/>
    <n v="102278796000"/>
    <n v="20872969"/>
    <n v="38176660301000"/>
  </r>
  <r>
    <s v="고려아연"/>
    <x v="36"/>
    <n v="10130"/>
    <s v="KR7010130003"/>
    <x v="22"/>
    <s v="KOSPI"/>
    <n v="1716000"/>
    <n v="66000"/>
    <n v="4"/>
    <n v="1719000"/>
    <n v="1725000"/>
    <n v="1659000"/>
    <n v="48365"/>
    <n v="82271674500"/>
    <n v="20872969"/>
    <n v="35818014804000"/>
  </r>
  <r>
    <s v="고려아연"/>
    <x v="37"/>
    <n v="10130"/>
    <s v="KR7010130003"/>
    <x v="22"/>
    <s v="KOSPI"/>
    <n v="1650000"/>
    <n v="-234000"/>
    <n v="-12.42"/>
    <n v="1710000"/>
    <n v="1732000"/>
    <n v="1630000"/>
    <n v="98503"/>
    <n v="164613156000"/>
    <n v="20872969"/>
    <n v="34440398850000"/>
  </r>
  <r>
    <s v="고려아연"/>
    <x v="38"/>
    <n v="10130"/>
    <s v="KR7010130003"/>
    <x v="22"/>
    <s v="KOSPI"/>
    <n v="1884000"/>
    <n v="-75000"/>
    <n v="-3.83"/>
    <n v="1940000"/>
    <n v="2034000"/>
    <n v="1884000"/>
    <n v="83505"/>
    <n v="161847054000"/>
    <n v="20872969"/>
    <n v="39324673596000"/>
  </r>
  <r>
    <s v="고려아연"/>
    <x v="39"/>
    <n v="10130"/>
    <s v="KR7010130003"/>
    <x v="22"/>
    <s v="KOSPI"/>
    <n v="1959000"/>
    <n v="158000"/>
    <n v="8.77"/>
    <n v="1786000"/>
    <n v="1980000"/>
    <n v="1786000"/>
    <n v="113532"/>
    <n v="217390907000"/>
    <n v="20872969"/>
    <n v="40890146271000"/>
  </r>
  <r>
    <s v="고려아연"/>
    <x v="40"/>
    <n v="10130"/>
    <s v="KR7010130003"/>
    <x v="22"/>
    <s v="KOSPI"/>
    <n v="1801000"/>
    <n v="-30000"/>
    <n v="-1.64"/>
    <n v="1836000"/>
    <n v="1860000"/>
    <n v="1781000"/>
    <n v="53842"/>
    <n v="97188412500"/>
    <n v="20872969"/>
    <n v="37592217169000"/>
  </r>
  <r>
    <s v="고려아연"/>
    <x v="41"/>
    <n v="10130"/>
    <s v="KR7010130003"/>
    <x v="22"/>
    <s v="KOSPI"/>
    <n v="1831000"/>
    <n v="24000"/>
    <n v="1.33"/>
    <n v="1784000"/>
    <n v="1840000"/>
    <n v="1725000"/>
    <n v="69021"/>
    <n v="122580236500"/>
    <n v="20872969"/>
    <n v="38218406239000"/>
  </r>
  <r>
    <s v="고려아연"/>
    <x v="42"/>
    <n v="10130"/>
    <s v="KR7010130003"/>
    <x v="22"/>
    <s v="KOSPI"/>
    <n v="1807000"/>
    <n v="227000"/>
    <n v="14.37"/>
    <n v="1620000"/>
    <n v="1877000"/>
    <n v="1617000"/>
    <n v="158349"/>
    <n v="280691228500"/>
    <n v="20872969"/>
    <n v="37717454983000"/>
  </r>
  <r>
    <s v="고려아연"/>
    <x v="43"/>
    <n v="10130"/>
    <s v="KR7010130003"/>
    <x v="22"/>
    <s v="KOSPI"/>
    <n v="1580000"/>
    <n v="25000"/>
    <n v="1.61"/>
    <n v="1554000"/>
    <n v="1607000"/>
    <n v="1533000"/>
    <n v="67427"/>
    <n v="106914605500"/>
    <n v="20872969"/>
    <n v="32979291020000"/>
  </r>
  <r>
    <s v="고려아연"/>
    <x v="44"/>
    <n v="10130"/>
    <s v="KR7010130003"/>
    <x v="22"/>
    <s v="KOSPI"/>
    <n v="1555000"/>
    <n v="-102000"/>
    <n v="-6.16"/>
    <n v="1640000"/>
    <n v="1640000"/>
    <n v="1531000"/>
    <n v="108070"/>
    <n v="169586464500"/>
    <n v="20872969"/>
    <n v="32457466795000"/>
  </r>
  <r>
    <s v="고려아연"/>
    <x v="45"/>
    <n v="10130"/>
    <s v="KR7010130003"/>
    <x v="22"/>
    <s v="KOSPI"/>
    <n v="1657000"/>
    <n v="36000"/>
    <n v="2.2200000000000002"/>
    <n v="1640000"/>
    <n v="1676000"/>
    <n v="1601000"/>
    <n v="81817"/>
    <n v="134572551500"/>
    <n v="20872969"/>
    <n v="34586509633000"/>
  </r>
  <r>
    <s v="고려아연"/>
    <x v="46"/>
    <n v="10130"/>
    <s v="KR7010130003"/>
    <x v="22"/>
    <s v="KOSPI"/>
    <n v="1621000"/>
    <n v="37000"/>
    <n v="2.34"/>
    <n v="1552000"/>
    <n v="1668000"/>
    <n v="1542000"/>
    <n v="84096"/>
    <n v="136419110500"/>
    <n v="20872969"/>
    <n v="33835082749000"/>
  </r>
  <r>
    <s v="고려아연"/>
    <x v="47"/>
    <n v="10130"/>
    <s v="KR7010130003"/>
    <x v="22"/>
    <s v="KOSPI"/>
    <n v="1584000"/>
    <n v="-1000"/>
    <n v="-0.06"/>
    <n v="1637000"/>
    <n v="1686000"/>
    <n v="1517000"/>
    <n v="99395"/>
    <n v="158608878500"/>
    <n v="20872969"/>
    <n v="33062782896000"/>
  </r>
  <r>
    <s v="고려아연"/>
    <x v="48"/>
    <n v="10130"/>
    <s v="KR7010130003"/>
    <x v="22"/>
    <s v="KOSPI"/>
    <n v="1585000"/>
    <n v="147000"/>
    <n v="10.220000000000001"/>
    <n v="1501000"/>
    <n v="1597000"/>
    <n v="1456000"/>
    <n v="144252"/>
    <n v="224045481500"/>
    <n v="20872969"/>
    <n v="33083655865000"/>
  </r>
  <r>
    <s v="고려아연"/>
    <x v="49"/>
    <n v="10130"/>
    <s v="KR7010130003"/>
    <x v="22"/>
    <s v="KOSPI"/>
    <n v="1438000"/>
    <n v="148000"/>
    <n v="11.47"/>
    <n v="1329000"/>
    <n v="1450000"/>
    <n v="1320000"/>
    <n v="155057"/>
    <n v="216319502000"/>
    <n v="20872969"/>
    <n v="30015329422000"/>
  </r>
  <r>
    <s v="고려아연"/>
    <x v="50"/>
    <n v="10130"/>
    <s v="KR7010130003"/>
    <x v="22"/>
    <s v="KOSPI"/>
    <n v="1290000"/>
    <n v="-40000"/>
    <n v="-3.01"/>
    <n v="1370000"/>
    <n v="1378000"/>
    <n v="1261000"/>
    <n v="116849"/>
    <n v="152386554000"/>
    <n v="20872969"/>
    <n v="26926130010000"/>
  </r>
  <r>
    <s v="고려아연"/>
    <x v="51"/>
    <n v="10130"/>
    <s v="KR7010130003"/>
    <x v="22"/>
    <s v="KOSPI"/>
    <n v="1330000"/>
    <n v="122000"/>
    <n v="10.1"/>
    <n v="1247000"/>
    <n v="1350000"/>
    <n v="1200000"/>
    <n v="173625"/>
    <n v="225356932500"/>
    <n v="20872969"/>
    <n v="27761048770000"/>
  </r>
  <r>
    <s v="고려아연"/>
    <x v="52"/>
    <n v="10130"/>
    <s v="KR7010130003"/>
    <x v="22"/>
    <s v="KOSPI"/>
    <n v="1208000"/>
    <n v="66000"/>
    <n v="5.78"/>
    <n v="1159000"/>
    <n v="1256000"/>
    <n v="1149000"/>
    <n v="154699"/>
    <n v="186850686500"/>
    <n v="20872969"/>
    <n v="25214546552000"/>
  </r>
  <r>
    <s v="고려아연"/>
    <x v="53"/>
    <n v="10130"/>
    <s v="KR7010130003"/>
    <x v="22"/>
    <s v="KOSPI"/>
    <n v="1142000"/>
    <n v="-61000"/>
    <n v="-5.07"/>
    <n v="1173000"/>
    <n v="1190000"/>
    <n v="1131000"/>
    <n v="424569"/>
    <n v="486193700500"/>
    <n v="20872969"/>
    <n v="23836930598000"/>
  </r>
  <r>
    <s v="고려아연"/>
    <x v="54"/>
    <n v="10130"/>
    <s v="KR7010130003"/>
    <x v="22"/>
    <s v="KOSPI"/>
    <n v="1203000"/>
    <n v="-36000"/>
    <n v="-2.91"/>
    <n v="1215000"/>
    <n v="1226000"/>
    <n v="1164000"/>
    <n v="113621"/>
    <n v="134595504000"/>
    <n v="18663253"/>
    <n v="22451893359000"/>
  </r>
  <r>
    <s v="고려아연"/>
    <x v="55"/>
    <n v="10130"/>
    <s v="KR7010130003"/>
    <x v="22"/>
    <s v="KOSPI"/>
    <n v="1239000"/>
    <n v="47000"/>
    <n v="3.94"/>
    <n v="1213000"/>
    <n v="1239000"/>
    <n v="1212000"/>
    <n v="40915"/>
    <n v="50289834000"/>
    <n v="18663253"/>
    <n v="23123770467000"/>
  </r>
  <r>
    <s v="고려아연"/>
    <x v="56"/>
    <n v="10130"/>
    <s v="KR7010130003"/>
    <x v="22"/>
    <s v="KOSPI"/>
    <n v="1192000"/>
    <n v="-115000"/>
    <n v="-8.8000000000000007"/>
    <n v="1310000"/>
    <n v="1327000"/>
    <n v="1191000"/>
    <n v="112680"/>
    <n v="138886875000"/>
    <n v="18663253"/>
    <n v="22246597576000"/>
  </r>
  <r>
    <s v="고려아연"/>
    <x v="57"/>
    <n v="10130"/>
    <s v="KR7010130003"/>
    <x v="22"/>
    <s v="KOSPI"/>
    <n v="1307000"/>
    <n v="20000"/>
    <n v="1.55"/>
    <n v="1288000"/>
    <n v="1307000"/>
    <n v="1271000"/>
    <n v="22885"/>
    <n v="29650669500"/>
    <n v="18663253"/>
    <n v="24392871671000"/>
  </r>
  <r>
    <s v="고려아연"/>
    <x v="58"/>
    <n v="10130"/>
    <s v="KR7010130003"/>
    <x v="22"/>
    <s v="KOSPI"/>
    <n v="1287000"/>
    <n v="-29000"/>
    <n v="-2.2000000000000002"/>
    <n v="1326000"/>
    <n v="1327000"/>
    <n v="1270000"/>
    <n v="38628"/>
    <n v="49440036500"/>
    <n v="18663253"/>
    <n v="24019606611000"/>
  </r>
  <r>
    <s v="하나금융지주"/>
    <x v="0"/>
    <n v="86790"/>
    <s v="KR7086790003"/>
    <x v="23"/>
    <s v="KOSPI"/>
    <n v="106600"/>
    <n v="-600"/>
    <n v="-0.56000000000000005"/>
    <n v="105500"/>
    <n v="108300"/>
    <n v="104100"/>
    <n v="1213383"/>
    <n v="129490003850"/>
    <n v="278325814"/>
    <n v="29669531772400"/>
  </r>
  <r>
    <s v="하나금융지주"/>
    <x v="1"/>
    <n v="86790"/>
    <s v="KR7086790003"/>
    <x v="23"/>
    <s v="KOSPI"/>
    <n v="107200"/>
    <n v="-3200"/>
    <n v="-2.9"/>
    <n v="103500"/>
    <n v="107700"/>
    <n v="103200"/>
    <n v="703531"/>
    <n v="74960207100"/>
    <n v="278325814"/>
    <n v="29836527260800"/>
  </r>
  <r>
    <s v="하나금융지주"/>
    <x v="2"/>
    <n v="86790"/>
    <s v="KR7086790003"/>
    <x v="23"/>
    <s v="KOSPI"/>
    <n v="110400"/>
    <n v="1600"/>
    <n v="1.47"/>
    <n v="105300"/>
    <n v="110600"/>
    <n v="104200"/>
    <n v="853865"/>
    <n v="92475120100"/>
    <n v="278325814"/>
    <n v="30727169865600"/>
  </r>
  <r>
    <s v="하나금융지주"/>
    <x v="3"/>
    <n v="86790"/>
    <s v="KR7086790003"/>
    <x v="23"/>
    <s v="KOSPI"/>
    <n v="108800"/>
    <n v="100"/>
    <n v="0.09"/>
    <n v="109700"/>
    <n v="110500"/>
    <n v="108000"/>
    <n v="884501"/>
    <n v="96590081632"/>
    <n v="278325814"/>
    <n v="30281848563200"/>
  </r>
  <r>
    <s v="하나금융지주"/>
    <x v="4"/>
    <n v="86790"/>
    <s v="KR7086790003"/>
    <x v="23"/>
    <s v="KOSPI"/>
    <n v="108700"/>
    <n v="2200"/>
    <n v="2.0699999999999998"/>
    <n v="109800"/>
    <n v="110700"/>
    <n v="108000"/>
    <n v="977916"/>
    <n v="106777517050"/>
    <n v="278325814"/>
    <n v="30254015981800"/>
  </r>
  <r>
    <s v="하나금융지주"/>
    <x v="5"/>
    <n v="86790"/>
    <s v="KR7086790003"/>
    <x v="23"/>
    <s v="KOSPI"/>
    <n v="106500"/>
    <n v="500"/>
    <n v="0.47"/>
    <n v="109700"/>
    <n v="109700"/>
    <n v="105000"/>
    <n v="711357"/>
    <n v="75880401200"/>
    <n v="278325814"/>
    <n v="29641699191000"/>
  </r>
  <r>
    <s v="하나금융지주"/>
    <x v="6"/>
    <n v="86790"/>
    <s v="KR7086790003"/>
    <x v="23"/>
    <s v="KOSPI"/>
    <n v="106000"/>
    <n v="-7200"/>
    <n v="-6.36"/>
    <n v="107900"/>
    <n v="109700"/>
    <n v="104300"/>
    <n v="835977"/>
    <n v="88814916900"/>
    <n v="278325814"/>
    <n v="29502536284000"/>
  </r>
  <r>
    <s v="하나금융지주"/>
    <x v="7"/>
    <n v="86790"/>
    <s v="KR7086790003"/>
    <x v="23"/>
    <s v="KOSPI"/>
    <n v="113200"/>
    <n v="0"/>
    <n v="0"/>
    <n v="112000"/>
    <n v="115400"/>
    <n v="111900"/>
    <n v="2141242"/>
    <n v="242921730600"/>
    <n v="278325814"/>
    <n v="31506482144800"/>
  </r>
  <r>
    <s v="하나금융지주"/>
    <x v="8"/>
    <n v="86790"/>
    <s v="KR7086790003"/>
    <x v="23"/>
    <s v="KOSPI"/>
    <n v="113200"/>
    <n v="-1300"/>
    <n v="-1.1399999999999999"/>
    <n v="111100"/>
    <n v="115000"/>
    <n v="110400"/>
    <n v="910182"/>
    <n v="102747956450"/>
    <n v="278325814"/>
    <n v="31506482144800"/>
  </r>
  <r>
    <s v="하나금융지주"/>
    <x v="9"/>
    <n v="86790"/>
    <s v="KR7086790003"/>
    <x v="23"/>
    <s v="KOSPI"/>
    <n v="114500"/>
    <n v="4600"/>
    <n v="4.1900000000000004"/>
    <n v="112300"/>
    <n v="115400"/>
    <n v="111700"/>
    <n v="647673"/>
    <n v="74026666950"/>
    <n v="278325814"/>
    <n v="31868305703000"/>
  </r>
  <r>
    <s v="하나금융지주"/>
    <x v="10"/>
    <n v="86790"/>
    <s v="KR7086790003"/>
    <x v="23"/>
    <s v="KOSPI"/>
    <n v="109900"/>
    <n v="1500"/>
    <n v="1.38"/>
    <n v="111600"/>
    <n v="112400"/>
    <n v="109000"/>
    <n v="569082"/>
    <n v="62675964500"/>
    <n v="278325814"/>
    <n v="30588006958600"/>
  </r>
  <r>
    <s v="하나금융지주"/>
    <x v="11"/>
    <n v="86790"/>
    <s v="KR7086790003"/>
    <x v="23"/>
    <s v="KOSPI"/>
    <n v="108400"/>
    <n v="-500"/>
    <n v="-0.46"/>
    <n v="107000"/>
    <n v="110100"/>
    <n v="107000"/>
    <n v="577858"/>
    <n v="62629455950"/>
    <n v="278325814"/>
    <n v="30170518237600"/>
  </r>
  <r>
    <s v="하나금융지주"/>
    <x v="12"/>
    <n v="86790"/>
    <s v="KR7086790003"/>
    <x v="23"/>
    <s v="KOSPI"/>
    <n v="108900"/>
    <n v="-3600"/>
    <n v="-3.2"/>
    <n v="107600"/>
    <n v="111200"/>
    <n v="107300"/>
    <n v="1312788"/>
    <n v="142922573000"/>
    <n v="278325814"/>
    <n v="30309681144600"/>
  </r>
  <r>
    <s v="하나금융지주"/>
    <x v="13"/>
    <n v="86790"/>
    <s v="KR7086790003"/>
    <x v="23"/>
    <s v="KOSPI"/>
    <n v="112500"/>
    <n v="-900"/>
    <n v="-0.79"/>
    <n v="112300"/>
    <n v="112500"/>
    <n v="110100"/>
    <n v="737121"/>
    <n v="82462721500"/>
    <n v="278325814"/>
    <n v="31311654075000"/>
  </r>
  <r>
    <s v="하나금융지주"/>
    <x v="14"/>
    <n v="86790"/>
    <s v="KR7086790003"/>
    <x v="23"/>
    <s v="KOSPI"/>
    <n v="113400"/>
    <n v="3500"/>
    <n v="3.18"/>
    <n v="114000"/>
    <n v="117500"/>
    <n v="112600"/>
    <n v="750295"/>
    <n v="86228759250"/>
    <n v="278325814"/>
    <n v="31562147307600"/>
  </r>
  <r>
    <s v="하나금융지주"/>
    <x v="15"/>
    <n v="86790"/>
    <s v="KR7086790003"/>
    <x v="23"/>
    <s v="KOSPI"/>
    <n v="109900"/>
    <n v="2000"/>
    <n v="1.85"/>
    <n v="112700"/>
    <n v="112700"/>
    <n v="107200"/>
    <n v="624983"/>
    <n v="68754073200"/>
    <n v="278325814"/>
    <n v="30588006958600"/>
  </r>
  <r>
    <s v="하나금융지주"/>
    <x v="16"/>
    <n v="86790"/>
    <s v="KR7086790003"/>
    <x v="23"/>
    <s v="KOSPI"/>
    <n v="107900"/>
    <n v="-2400"/>
    <n v="-2.1800000000000002"/>
    <n v="101000"/>
    <n v="108000"/>
    <n v="100800"/>
    <n v="1104013"/>
    <n v="116507990100"/>
    <n v="278325814"/>
    <n v="30031355330600"/>
  </r>
  <r>
    <s v="하나금융지주"/>
    <x v="17"/>
    <n v="86790"/>
    <s v="KR7086790003"/>
    <x v="23"/>
    <s v="KOSPI"/>
    <n v="110300"/>
    <n v="-900"/>
    <n v="-0.81"/>
    <n v="106000"/>
    <n v="111500"/>
    <n v="105700"/>
    <n v="1043776"/>
    <n v="114240627530"/>
    <n v="278325814"/>
    <n v="30699337284200"/>
  </r>
  <r>
    <s v="하나금융지주"/>
    <x v="18"/>
    <n v="86790"/>
    <s v="KR7086790003"/>
    <x v="23"/>
    <s v="KOSPI"/>
    <n v="111200"/>
    <n v="5700"/>
    <n v="5.4"/>
    <n v="114800"/>
    <n v="116400"/>
    <n v="109500"/>
    <n v="1611752"/>
    <n v="180290547285"/>
    <n v="278325814"/>
    <n v="30949830516800"/>
  </r>
  <r>
    <s v="하나금융지주"/>
    <x v="19"/>
    <n v="86790"/>
    <s v="KR7086790003"/>
    <x v="23"/>
    <s v="KOSPI"/>
    <n v="105500"/>
    <n v="-14600"/>
    <n v="-12.16"/>
    <n v="114600"/>
    <n v="115500"/>
    <n v="103700"/>
    <n v="1522733"/>
    <n v="166237388500"/>
    <n v="278325814"/>
    <n v="29363373377000"/>
  </r>
  <r>
    <s v="하나금융지주"/>
    <x v="20"/>
    <n v="86790"/>
    <s v="KR7086790003"/>
    <x v="23"/>
    <s v="KOSPI"/>
    <n v="120100"/>
    <n v="-1700"/>
    <n v="-1.4"/>
    <n v="120600"/>
    <n v="122900"/>
    <n v="119000"/>
    <n v="1180014"/>
    <n v="142606537200"/>
    <n v="278325814"/>
    <n v="33426930261400"/>
  </r>
  <r>
    <s v="하나금융지주"/>
    <x v="21"/>
    <n v="86790"/>
    <s v="KR7086790003"/>
    <x v="23"/>
    <s v="KOSPI"/>
    <n v="121800"/>
    <n v="-3100"/>
    <n v="-2.48"/>
    <n v="123000"/>
    <n v="123200"/>
    <n v="120200"/>
    <n v="2118851"/>
    <n v="257975406650"/>
    <n v="278325814"/>
    <n v="33900084145200"/>
  </r>
  <r>
    <s v="하나금융지주"/>
    <x v="22"/>
    <n v="86790"/>
    <s v="KR7086790003"/>
    <x v="23"/>
    <s v="KOSPI"/>
    <n v="124900"/>
    <n v="-1100"/>
    <n v="-0.87"/>
    <n v="124700"/>
    <n v="124900"/>
    <n v="122700"/>
    <n v="1185709"/>
    <n v="147395402900"/>
    <n v="278325814"/>
    <n v="34762894168600"/>
  </r>
  <r>
    <s v="하나금융지주"/>
    <x v="23"/>
    <n v="86790"/>
    <s v="KR7086790003"/>
    <x v="23"/>
    <s v="KOSPI"/>
    <n v="126000"/>
    <n v="-100"/>
    <n v="-0.08"/>
    <n v="125200"/>
    <n v="127500"/>
    <n v="123900"/>
    <n v="898808"/>
    <n v="113285910358"/>
    <n v="278325814"/>
    <n v="35069052564000"/>
  </r>
  <r>
    <s v="하나금융지주"/>
    <x v="24"/>
    <n v="86790"/>
    <s v="KR7086790003"/>
    <x v="23"/>
    <s v="KOSPI"/>
    <n v="126100"/>
    <n v="-3000"/>
    <n v="-2.3199999999999998"/>
    <n v="128700"/>
    <n v="128900"/>
    <n v="123000"/>
    <n v="1820877"/>
    <n v="229299103250"/>
    <n v="278325814"/>
    <n v="35096885145400"/>
  </r>
  <r>
    <s v="하나금융지주"/>
    <x v="25"/>
    <n v="86790"/>
    <s v="KR7086790003"/>
    <x v="23"/>
    <s v="KOSPI"/>
    <n v="129100"/>
    <n v="-2200"/>
    <n v="-1.68"/>
    <n v="133700"/>
    <n v="133700"/>
    <n v="128000"/>
    <n v="1078747"/>
    <n v="139355426150"/>
    <n v="278325814"/>
    <n v="35931862587400"/>
  </r>
  <r>
    <s v="하나금융지주"/>
    <x v="26"/>
    <n v="86790"/>
    <s v="KR7086790003"/>
    <x v="23"/>
    <s v="KOSPI"/>
    <n v="131300"/>
    <n v="5000"/>
    <n v="3.96"/>
    <n v="127400"/>
    <n v="131400"/>
    <n v="127100"/>
    <n v="1186291"/>
    <n v="154532944650"/>
    <n v="278325814"/>
    <n v="36544179378200"/>
  </r>
  <r>
    <s v="하나금융지주"/>
    <x v="27"/>
    <n v="86790"/>
    <s v="KR7086790003"/>
    <x v="23"/>
    <s v="KOSPI"/>
    <n v="126300"/>
    <n v="-1300"/>
    <n v="-1.02"/>
    <n v="130700"/>
    <n v="130700"/>
    <n v="124600"/>
    <n v="1462304"/>
    <n v="185321655400"/>
    <n v="278325814"/>
    <n v="35152550308200"/>
  </r>
  <r>
    <s v="하나금융지주"/>
    <x v="28"/>
    <n v="86790"/>
    <s v="KR7086790003"/>
    <x v="23"/>
    <s v="KOSPI"/>
    <n v="127600"/>
    <n v="-2400"/>
    <n v="-1.85"/>
    <n v="131500"/>
    <n v="132200"/>
    <n v="126700"/>
    <n v="1276025"/>
    <n v="164737947600"/>
    <n v="278325814"/>
    <n v="35514373866400"/>
  </r>
  <r>
    <s v="하나금융지주"/>
    <x v="29"/>
    <n v="86790"/>
    <s v="KR7086790003"/>
    <x v="23"/>
    <s v="KOSPI"/>
    <n v="130000"/>
    <n v="4200"/>
    <n v="3.34"/>
    <n v="127700"/>
    <n v="130000"/>
    <n v="126000"/>
    <n v="1229004"/>
    <n v="157986200550"/>
    <n v="278325814"/>
    <n v="36182355820000"/>
  </r>
  <r>
    <s v="하나금융지주"/>
    <x v="30"/>
    <n v="86790"/>
    <s v="KR7086790003"/>
    <x v="23"/>
    <s v="KOSPI"/>
    <n v="125800"/>
    <n v="3600"/>
    <n v="2.95"/>
    <n v="121500"/>
    <n v="127800"/>
    <n v="121500"/>
    <n v="1263932"/>
    <n v="159188345600"/>
    <n v="278325814"/>
    <n v="35013387401200"/>
  </r>
  <r>
    <s v="하나금융지주"/>
    <x v="31"/>
    <n v="86790"/>
    <s v="KR7086790003"/>
    <x v="23"/>
    <s v="KOSPI"/>
    <n v="122200"/>
    <n v="3400"/>
    <n v="2.86"/>
    <n v="124700"/>
    <n v="126800"/>
    <n v="120500"/>
    <n v="1056956"/>
    <n v="130625464100"/>
    <n v="278325814"/>
    <n v="34011414470800"/>
  </r>
  <r>
    <s v="하나금융지주"/>
    <x v="32"/>
    <n v="86790"/>
    <s v="KR7086790003"/>
    <x v="23"/>
    <s v="KOSPI"/>
    <n v="118800"/>
    <n v="4200"/>
    <n v="3.66"/>
    <n v="119400"/>
    <n v="120900"/>
    <n v="117400"/>
    <n v="948117"/>
    <n v="112826897550"/>
    <n v="278325814"/>
    <n v="33065106703200"/>
  </r>
  <r>
    <s v="하나금융지주"/>
    <x v="33"/>
    <n v="86790"/>
    <s v="KR7086790003"/>
    <x v="23"/>
    <s v="KOSPI"/>
    <n v="114600"/>
    <n v="500"/>
    <n v="0.44"/>
    <n v="113000"/>
    <n v="115000"/>
    <n v="108800"/>
    <n v="1300038"/>
    <n v="147115901650"/>
    <n v="278325814"/>
    <n v="31896138284400"/>
  </r>
  <r>
    <s v="하나금융지주"/>
    <x v="34"/>
    <n v="86790"/>
    <s v="KR7086790003"/>
    <x v="23"/>
    <s v="KOSPI"/>
    <n v="114100"/>
    <n v="1600"/>
    <n v="1.42"/>
    <n v="112500"/>
    <n v="115600"/>
    <n v="112400"/>
    <n v="989958"/>
    <n v="112838718200"/>
    <n v="278325814"/>
    <n v="31756975377400"/>
  </r>
  <r>
    <s v="하나금융지주"/>
    <x v="35"/>
    <n v="86790"/>
    <s v="KR7086790003"/>
    <x v="23"/>
    <s v="KOSPI"/>
    <n v="112500"/>
    <n v="2300"/>
    <n v="2.09"/>
    <n v="111900"/>
    <n v="114400"/>
    <n v="110000"/>
    <n v="954897"/>
    <n v="107499109450"/>
    <n v="278325814"/>
    <n v="31311654075000"/>
  </r>
  <r>
    <s v="하나금융지주"/>
    <x v="36"/>
    <n v="86790"/>
    <s v="KR7086790003"/>
    <x v="23"/>
    <s v="KOSPI"/>
    <n v="110200"/>
    <n v="6900"/>
    <n v="6.68"/>
    <n v="105800"/>
    <n v="110700"/>
    <n v="105600"/>
    <n v="1046446"/>
    <n v="114448910164"/>
    <n v="278325814"/>
    <n v="30671504702800"/>
  </r>
  <r>
    <s v="하나금융지주"/>
    <x v="37"/>
    <n v="86790"/>
    <s v="KR7086790003"/>
    <x v="23"/>
    <s v="KOSPI"/>
    <n v="103300"/>
    <n v="3200"/>
    <n v="3.2"/>
    <n v="101800"/>
    <n v="108100"/>
    <n v="100800"/>
    <n v="1438624"/>
    <n v="149718989550"/>
    <n v="278325814"/>
    <n v="28751056586200"/>
  </r>
  <r>
    <s v="하나금융지주"/>
    <x v="38"/>
    <n v="86790"/>
    <s v="KR7086790003"/>
    <x v="23"/>
    <s v="KOSPI"/>
    <n v="100100"/>
    <n v="-3500"/>
    <n v="-3.38"/>
    <n v="102500"/>
    <n v="104100"/>
    <n v="100000"/>
    <n v="1080221"/>
    <n v="109702269700"/>
    <n v="278325814"/>
    <n v="27860413981400"/>
  </r>
  <r>
    <s v="하나금융지주"/>
    <x v="39"/>
    <n v="86790"/>
    <s v="KR7086790003"/>
    <x v="23"/>
    <s v="KOSPI"/>
    <n v="103600"/>
    <n v="900"/>
    <n v="0.88"/>
    <n v="102500"/>
    <n v="104400"/>
    <n v="100900"/>
    <n v="791695"/>
    <n v="81629322650"/>
    <n v="278325814"/>
    <n v="28834554330400"/>
  </r>
  <r>
    <s v="하나금융지주"/>
    <x v="40"/>
    <n v="86790"/>
    <s v="KR7086790003"/>
    <x v="23"/>
    <s v="KOSPI"/>
    <n v="102700"/>
    <n v="-2300"/>
    <n v="-2.19"/>
    <n v="105300"/>
    <n v="106700"/>
    <n v="102500"/>
    <n v="792325"/>
    <n v="82112180100"/>
    <n v="278325814"/>
    <n v="28584061097800"/>
  </r>
  <r>
    <s v="하나금융지주"/>
    <x v="41"/>
    <n v="86790"/>
    <s v="KR7086790003"/>
    <x v="23"/>
    <s v="KOSPI"/>
    <n v="105000"/>
    <n v="3800"/>
    <n v="3.75"/>
    <n v="102500"/>
    <n v="105800"/>
    <n v="99500"/>
    <n v="782743"/>
    <n v="81945211350"/>
    <n v="278325814"/>
    <n v="29224210470000"/>
  </r>
  <r>
    <s v="하나금융지주"/>
    <x v="42"/>
    <n v="86790"/>
    <s v="KR7086790003"/>
    <x v="23"/>
    <s v="KOSPI"/>
    <n v="101200"/>
    <n v="100"/>
    <n v="0.1"/>
    <n v="100600"/>
    <n v="102600"/>
    <n v="100500"/>
    <n v="531425"/>
    <n v="54112526750"/>
    <n v="278325814"/>
    <n v="28166572376800"/>
  </r>
  <r>
    <s v="하나금융지주"/>
    <x v="43"/>
    <n v="86790"/>
    <s v="KR7086790003"/>
    <x v="23"/>
    <s v="KOSPI"/>
    <n v="101100"/>
    <n v="600"/>
    <n v="0.6"/>
    <n v="100900"/>
    <n v="102300"/>
    <n v="99600"/>
    <n v="679042"/>
    <n v="68529168550"/>
    <n v="278325814"/>
    <n v="28138739795400"/>
  </r>
  <r>
    <s v="하나금융지주"/>
    <x v="44"/>
    <n v="86790"/>
    <s v="KR7086790003"/>
    <x v="23"/>
    <s v="KOSPI"/>
    <n v="100500"/>
    <n v="700"/>
    <n v="0.7"/>
    <n v="99200"/>
    <n v="101500"/>
    <n v="98900"/>
    <n v="791371"/>
    <n v="79304117150"/>
    <n v="278325814"/>
    <n v="27971744307000"/>
  </r>
  <r>
    <s v="하나금융지주"/>
    <x v="45"/>
    <n v="86790"/>
    <s v="KR7086790003"/>
    <x v="23"/>
    <s v="KOSPI"/>
    <n v="99800"/>
    <n v="-500"/>
    <n v="-0.5"/>
    <n v="100000"/>
    <n v="100400"/>
    <n v="97400"/>
    <n v="774880"/>
    <n v="76893533050"/>
    <n v="278325814"/>
    <n v="27776916237200"/>
  </r>
  <r>
    <s v="하나금융지주"/>
    <x v="46"/>
    <n v="86790"/>
    <s v="KR7086790003"/>
    <x v="23"/>
    <s v="KOSPI"/>
    <n v="100300"/>
    <n v="4100"/>
    <n v="4.26"/>
    <n v="96000"/>
    <n v="101000"/>
    <n v="95500"/>
    <n v="979281"/>
    <n v="97490529550"/>
    <n v="278325814"/>
    <n v="27916079144200"/>
  </r>
  <r>
    <s v="하나금융지주"/>
    <x v="47"/>
    <n v="86790"/>
    <s v="KR7086790003"/>
    <x v="23"/>
    <s v="KOSPI"/>
    <n v="96200"/>
    <n v="-200"/>
    <n v="-0.21"/>
    <n v="95600"/>
    <n v="96900"/>
    <n v="95300"/>
    <n v="609250"/>
    <n v="58713319000"/>
    <n v="278325814"/>
    <n v="26774943306800"/>
  </r>
  <r>
    <s v="하나금융지주"/>
    <x v="48"/>
    <n v="86790"/>
    <s v="KR7086790003"/>
    <x v="23"/>
    <s v="KOSPI"/>
    <n v="96400"/>
    <n v="200"/>
    <n v="0.21"/>
    <n v="97000"/>
    <n v="97000"/>
    <n v="95800"/>
    <n v="673843"/>
    <n v="64983592850"/>
    <n v="278325814"/>
    <n v="26830608469600"/>
  </r>
  <r>
    <s v="하나금융지주"/>
    <x v="49"/>
    <n v="86790"/>
    <s v="KR7086790003"/>
    <x v="23"/>
    <s v="KOSPI"/>
    <n v="96200"/>
    <n v="100"/>
    <n v="0.1"/>
    <n v="95800"/>
    <n v="97400"/>
    <n v="95500"/>
    <n v="696589"/>
    <n v="66928039049"/>
    <n v="278325814"/>
    <n v="26774943306800"/>
  </r>
  <r>
    <s v="하나금융지주"/>
    <x v="50"/>
    <n v="86790"/>
    <s v="KR7086790003"/>
    <x v="23"/>
    <s v="KOSPI"/>
    <n v="96100"/>
    <n v="1800"/>
    <n v="1.91"/>
    <n v="93600"/>
    <n v="96200"/>
    <n v="93300"/>
    <n v="727166"/>
    <n v="69293546800"/>
    <n v="278325814"/>
    <n v="26747110725400"/>
  </r>
  <r>
    <s v="하나금융지주"/>
    <x v="51"/>
    <n v="86790"/>
    <s v="KR7086790003"/>
    <x v="23"/>
    <s v="KOSPI"/>
    <n v="94300"/>
    <n v="300"/>
    <n v="0.32"/>
    <n v="94300"/>
    <n v="94500"/>
    <n v="92900"/>
    <n v="586515"/>
    <n v="54933732000"/>
    <n v="278325814"/>
    <n v="26246124260200"/>
  </r>
  <r>
    <s v="하나금융지주"/>
    <x v="52"/>
    <n v="86790"/>
    <s v="KR7086790003"/>
    <x v="23"/>
    <s v="KOSPI"/>
    <n v="94000"/>
    <n v="1100"/>
    <n v="1.18"/>
    <n v="93200"/>
    <n v="94100"/>
    <n v="92700"/>
    <n v="530012"/>
    <n v="49511152350"/>
    <n v="278325814"/>
    <n v="26162626516000"/>
  </r>
  <r>
    <s v="하나금융지주"/>
    <x v="53"/>
    <n v="86790"/>
    <s v="KR7086790003"/>
    <x v="23"/>
    <s v="KOSPI"/>
    <n v="92900"/>
    <n v="1000"/>
    <n v="1.0900000000000001"/>
    <n v="92700"/>
    <n v="93500"/>
    <n v="92000"/>
    <n v="605466"/>
    <n v="56271428850"/>
    <n v="278325814"/>
    <n v="25856468120600"/>
  </r>
  <r>
    <s v="하나금융지주"/>
    <x v="54"/>
    <n v="86790"/>
    <s v="KR7086790003"/>
    <x v="23"/>
    <s v="KOSPI"/>
    <n v="91900"/>
    <n v="-1600"/>
    <n v="-1.71"/>
    <n v="93300"/>
    <n v="93500"/>
    <n v="91700"/>
    <n v="752786"/>
    <n v="69485933750"/>
    <n v="278325814"/>
    <n v="25578142306600"/>
  </r>
  <r>
    <s v="하나금융지주"/>
    <x v="55"/>
    <n v="86790"/>
    <s v="KR7086790003"/>
    <x v="23"/>
    <s v="KOSPI"/>
    <n v="93500"/>
    <n v="-1400"/>
    <n v="-1.48"/>
    <n v="93800"/>
    <n v="95000"/>
    <n v="92700"/>
    <n v="742387"/>
    <n v="69517002050"/>
    <n v="278325814"/>
    <n v="26023463609000"/>
  </r>
  <r>
    <s v="하나금융지주"/>
    <x v="56"/>
    <n v="86790"/>
    <s v="KR7086790003"/>
    <x v="23"/>
    <s v="KOSPI"/>
    <n v="94900"/>
    <n v="800"/>
    <n v="0.85"/>
    <n v="94400"/>
    <n v="95300"/>
    <n v="93700"/>
    <n v="754818"/>
    <n v="71521064050"/>
    <n v="278325814"/>
    <n v="26413119748600"/>
  </r>
  <r>
    <s v="하나금융지주"/>
    <x v="57"/>
    <n v="86790"/>
    <s v="KR7086790003"/>
    <x v="23"/>
    <s v="KOSPI"/>
    <n v="94100"/>
    <n v="700"/>
    <n v="0.75"/>
    <n v="93000"/>
    <n v="95600"/>
    <n v="92800"/>
    <n v="595748"/>
    <n v="56075382650"/>
    <n v="278325814"/>
    <n v="26190459097400"/>
  </r>
  <r>
    <s v="하나금융지주"/>
    <x v="58"/>
    <n v="86790"/>
    <s v="KR7086790003"/>
    <x v="23"/>
    <s v="KOSPI"/>
    <n v="93400"/>
    <n v="-700"/>
    <n v="-0.74"/>
    <n v="93200"/>
    <n v="93800"/>
    <n v="92100"/>
    <n v="470548"/>
    <n v="43765082550"/>
    <n v="278325814"/>
    <n v="25995631027600"/>
  </r>
  <r>
    <s v="POSCO홀딩스"/>
    <x v="0"/>
    <n v="5490"/>
    <s v="KR7005490008"/>
    <x v="24"/>
    <s v="KOSPI"/>
    <n v="332500"/>
    <n v="-10500"/>
    <n v="-3.06"/>
    <n v="342000"/>
    <n v="343000"/>
    <n v="332000"/>
    <n v="390060"/>
    <n v="130956221500"/>
    <n v="80932952"/>
    <n v="26910206540000"/>
  </r>
  <r>
    <s v="POSCO홀딩스"/>
    <x v="1"/>
    <n v="5490"/>
    <s v="KR7005490008"/>
    <x v="24"/>
    <s v="KOSPI"/>
    <n v="343000"/>
    <n v="0"/>
    <n v="0"/>
    <n v="330000"/>
    <n v="344500"/>
    <n v="329000"/>
    <n v="295337"/>
    <n v="100532141750"/>
    <n v="80932952"/>
    <n v="27760002536000"/>
  </r>
  <r>
    <s v="POSCO홀딩스"/>
    <x v="2"/>
    <n v="5490"/>
    <s v="KR7005490008"/>
    <x v="24"/>
    <s v="KOSPI"/>
    <n v="343000"/>
    <n v="500"/>
    <n v="0.15"/>
    <n v="335500"/>
    <n v="343000"/>
    <n v="327000"/>
    <n v="276285"/>
    <n v="92752660500"/>
    <n v="80932952"/>
    <n v="27760002536000"/>
  </r>
  <r>
    <s v="POSCO홀딩스"/>
    <x v="3"/>
    <n v="5490"/>
    <s v="KR7005490008"/>
    <x v="24"/>
    <s v="KOSPI"/>
    <n v="342500"/>
    <n v="500"/>
    <n v="0.15"/>
    <n v="345000"/>
    <n v="351000"/>
    <n v="340500"/>
    <n v="258690"/>
    <n v="89281707500"/>
    <n v="80932952"/>
    <n v="27719536060000"/>
  </r>
  <r>
    <s v="POSCO홀딩스"/>
    <x v="4"/>
    <n v="5490"/>
    <s v="KR7005490008"/>
    <x v="24"/>
    <s v="KOSPI"/>
    <n v="342000"/>
    <n v="2500"/>
    <n v="0.74"/>
    <n v="343500"/>
    <n v="345000"/>
    <n v="338500"/>
    <n v="252184"/>
    <n v="86272601250"/>
    <n v="80932952"/>
    <n v="27679069584000"/>
  </r>
  <r>
    <s v="POSCO홀딩스"/>
    <x v="5"/>
    <n v="5490"/>
    <s v="KR7005490008"/>
    <x v="24"/>
    <s v="KOSPI"/>
    <n v="339500"/>
    <n v="14500"/>
    <n v="4.46"/>
    <n v="336500"/>
    <n v="339500"/>
    <n v="328500"/>
    <n v="296420"/>
    <n v="99632742000"/>
    <n v="80932952"/>
    <n v="27476737204000"/>
  </r>
  <r>
    <s v="POSCO홀딩스"/>
    <x v="6"/>
    <n v="5490"/>
    <s v="KR7005490008"/>
    <x v="24"/>
    <s v="KOSPI"/>
    <n v="325000"/>
    <n v="-18500"/>
    <n v="-5.39"/>
    <n v="333000"/>
    <n v="340000"/>
    <n v="325000"/>
    <n v="445916"/>
    <n v="146882711750"/>
    <n v="80932952"/>
    <n v="26303209400000"/>
  </r>
  <r>
    <s v="POSCO홀딩스"/>
    <x v="7"/>
    <n v="5490"/>
    <s v="KR7005490008"/>
    <x v="24"/>
    <s v="KOSPI"/>
    <n v="343500"/>
    <n v="5500"/>
    <n v="1.63"/>
    <n v="341000"/>
    <n v="343500"/>
    <n v="338500"/>
    <n v="462448"/>
    <n v="158386451750"/>
    <n v="80932952"/>
    <n v="27800469012000"/>
  </r>
  <r>
    <s v="POSCO홀딩스"/>
    <x v="8"/>
    <n v="5490"/>
    <s v="KR7005490008"/>
    <x v="24"/>
    <s v="KOSPI"/>
    <n v="338000"/>
    <n v="-11500"/>
    <n v="-3.29"/>
    <n v="339500"/>
    <n v="342000"/>
    <n v="336500"/>
    <n v="339117"/>
    <n v="114839637750"/>
    <n v="80932952"/>
    <n v="27355337776000"/>
  </r>
  <r>
    <s v="POSCO홀딩스"/>
    <x v="9"/>
    <n v="5490"/>
    <s v="KR7005490008"/>
    <x v="24"/>
    <s v="KOSPI"/>
    <n v="349500"/>
    <n v="7000"/>
    <n v="2.04"/>
    <n v="348500"/>
    <n v="352750"/>
    <n v="346000"/>
    <n v="242341"/>
    <n v="84673603000"/>
    <n v="80932952"/>
    <n v="28286066724000"/>
  </r>
  <r>
    <s v="POSCO홀딩스"/>
    <x v="10"/>
    <n v="5490"/>
    <s v="KR7005490008"/>
    <x v="24"/>
    <s v="KOSPI"/>
    <n v="342500"/>
    <n v="9000"/>
    <n v="2.7"/>
    <n v="341000"/>
    <n v="346500"/>
    <n v="340500"/>
    <n v="201085"/>
    <n v="69005880500"/>
    <n v="80932952"/>
    <n v="27719536060000"/>
  </r>
  <r>
    <s v="POSCO홀딩스"/>
    <x v="11"/>
    <n v="5490"/>
    <s v="KR7005490008"/>
    <x v="24"/>
    <s v="KOSPI"/>
    <n v="333500"/>
    <n v="-3500"/>
    <n v="-1.04"/>
    <n v="337000"/>
    <n v="339500"/>
    <n v="332500"/>
    <n v="237017"/>
    <n v="79526198750"/>
    <n v="80932952"/>
    <n v="26991139492000"/>
  </r>
  <r>
    <s v="POSCO홀딩스"/>
    <x v="12"/>
    <n v="5490"/>
    <s v="KR7005490008"/>
    <x v="24"/>
    <s v="KOSPI"/>
    <n v="337000"/>
    <n v="-10500"/>
    <n v="-3.02"/>
    <n v="336500"/>
    <n v="343500"/>
    <n v="335000"/>
    <n v="304728"/>
    <n v="103072616750"/>
    <n v="80932952"/>
    <n v="27274404824000"/>
  </r>
  <r>
    <s v="POSCO홀딩스"/>
    <x v="13"/>
    <n v="5490"/>
    <s v="KR7005490008"/>
    <x v="24"/>
    <s v="KOSPI"/>
    <n v="347500"/>
    <n v="2500"/>
    <n v="0.72"/>
    <n v="342000"/>
    <n v="351000"/>
    <n v="342000"/>
    <n v="270855"/>
    <n v="94147812250"/>
    <n v="80932952"/>
    <n v="28124200820000"/>
  </r>
  <r>
    <s v="POSCO홀딩스"/>
    <x v="14"/>
    <n v="5490"/>
    <s v="KR7005490008"/>
    <x v="24"/>
    <s v="KOSPI"/>
    <n v="345000"/>
    <n v="1500"/>
    <n v="0.44"/>
    <n v="349500"/>
    <n v="355000"/>
    <n v="342000"/>
    <n v="302616"/>
    <n v="105941076250"/>
    <n v="80932952"/>
    <n v="27921868440000"/>
  </r>
  <r>
    <s v="POSCO홀딩스"/>
    <x v="15"/>
    <n v="5490"/>
    <s v="KR7005490008"/>
    <x v="24"/>
    <s v="KOSPI"/>
    <n v="343500"/>
    <n v="7500"/>
    <n v="2.23"/>
    <n v="351500"/>
    <n v="351500"/>
    <n v="337000"/>
    <n v="367031"/>
    <n v="126549215750"/>
    <n v="80932952"/>
    <n v="27800469012000"/>
  </r>
  <r>
    <s v="POSCO홀딩스"/>
    <x v="16"/>
    <n v="5490"/>
    <s v="KR7005490008"/>
    <x v="24"/>
    <s v="KOSPI"/>
    <n v="336000"/>
    <n v="-17500"/>
    <n v="-4.95"/>
    <n v="331500"/>
    <n v="338500"/>
    <n v="324500"/>
    <n v="461460"/>
    <n v="152786690500"/>
    <n v="80932952"/>
    <n v="27193471872000"/>
  </r>
  <r>
    <s v="POSCO홀딩스"/>
    <x v="17"/>
    <n v="5490"/>
    <s v="KR7005490008"/>
    <x v="24"/>
    <s v="KOSPI"/>
    <n v="353500"/>
    <n v="7000"/>
    <n v="2.02"/>
    <n v="340000"/>
    <n v="357500"/>
    <n v="337500"/>
    <n v="513149"/>
    <n v="178804724000"/>
    <n v="80932952"/>
    <n v="28609798532000"/>
  </r>
  <r>
    <s v="POSCO홀딩스"/>
    <x v="18"/>
    <n v="5490"/>
    <s v="KR7005490008"/>
    <x v="24"/>
    <s v="KOSPI"/>
    <n v="346500"/>
    <n v="25000"/>
    <n v="7.78"/>
    <n v="350500"/>
    <n v="355000"/>
    <n v="340500"/>
    <n v="684573"/>
    <n v="238484274250"/>
    <n v="80932952"/>
    <n v="28043267868000"/>
  </r>
  <r>
    <s v="POSCO홀딩스"/>
    <x v="19"/>
    <n v="5490"/>
    <s v="KR7005490008"/>
    <x v="24"/>
    <s v="KOSPI"/>
    <n v="321500"/>
    <n v="-53000"/>
    <n v="-14.15"/>
    <n v="356500"/>
    <n v="362500"/>
    <n v="318000"/>
    <n v="1237021"/>
    <n v="417476756500"/>
    <n v="80932952"/>
    <n v="26019944068000"/>
  </r>
  <r>
    <s v="POSCO홀딩스"/>
    <x v="20"/>
    <n v="5490"/>
    <s v="KR7005490008"/>
    <x v="24"/>
    <s v="KOSPI"/>
    <n v="374500"/>
    <n v="-38500"/>
    <n v="-9.32"/>
    <n v="403000"/>
    <n v="404000"/>
    <n v="373000"/>
    <n v="842427"/>
    <n v="328127295750"/>
    <n v="80932952"/>
    <n v="30309390524000"/>
  </r>
  <r>
    <s v="POSCO홀딩스"/>
    <x v="21"/>
    <n v="5490"/>
    <s v="KR7005490008"/>
    <x v="24"/>
    <s v="KOSPI"/>
    <n v="413000"/>
    <n v="5500"/>
    <n v="1.35"/>
    <n v="401000"/>
    <n v="427500"/>
    <n v="398500"/>
    <n v="819645"/>
    <n v="338494887500"/>
    <n v="80932952"/>
    <n v="33425309176000"/>
  </r>
  <r>
    <s v="POSCO홀딩스"/>
    <x v="22"/>
    <n v="5490"/>
    <s v="KR7005490008"/>
    <x v="24"/>
    <s v="KOSPI"/>
    <n v="407500"/>
    <n v="1000"/>
    <n v="0.25"/>
    <n v="417500"/>
    <n v="423000"/>
    <n v="402500"/>
    <n v="740144"/>
    <n v="302917924000"/>
    <n v="80932952"/>
    <n v="32980177940000"/>
  </r>
  <r>
    <s v="POSCO홀딩스"/>
    <x v="23"/>
    <n v="5490"/>
    <s v="KR7005490008"/>
    <x v="24"/>
    <s v="KOSPI"/>
    <n v="406500"/>
    <n v="7000"/>
    <n v="1.75"/>
    <n v="401000"/>
    <n v="410500"/>
    <n v="395000"/>
    <n v="558243"/>
    <n v="225295245750"/>
    <n v="80932952"/>
    <n v="32899244988000"/>
  </r>
  <r>
    <s v="POSCO홀딩스"/>
    <x v="24"/>
    <n v="5490"/>
    <s v="KR7005490008"/>
    <x v="24"/>
    <s v="KOSPI"/>
    <n v="399500"/>
    <n v="11500"/>
    <n v="2.96"/>
    <n v="390500"/>
    <n v="402500"/>
    <n v="388000"/>
    <n v="557616"/>
    <n v="221521888250"/>
    <n v="80932952"/>
    <n v="32332714324000"/>
  </r>
  <r>
    <s v="POSCO홀딩스"/>
    <x v="25"/>
    <n v="5490"/>
    <s v="KR7005490008"/>
    <x v="24"/>
    <s v="KOSPI"/>
    <n v="388000"/>
    <n v="-6000"/>
    <n v="-1.52"/>
    <n v="400500"/>
    <n v="400500"/>
    <n v="386000"/>
    <n v="477046"/>
    <n v="186392479000"/>
    <n v="80932952"/>
    <n v="31401985376000"/>
  </r>
  <r>
    <s v="POSCO홀딩스"/>
    <x v="26"/>
    <n v="5490"/>
    <s v="KR7005490008"/>
    <x v="24"/>
    <s v="KOSPI"/>
    <n v="394000"/>
    <n v="5000"/>
    <n v="1.29"/>
    <n v="392500"/>
    <n v="398500"/>
    <n v="387000"/>
    <n v="461741"/>
    <n v="181666383250"/>
    <n v="80932952"/>
    <n v="31887583088000"/>
  </r>
  <r>
    <s v="POSCO홀딩스"/>
    <x v="27"/>
    <n v="5490"/>
    <s v="KR7005490008"/>
    <x v="24"/>
    <s v="KOSPI"/>
    <n v="389000"/>
    <n v="13500"/>
    <n v="3.6"/>
    <n v="385500"/>
    <n v="393500"/>
    <n v="383000"/>
    <n v="444013"/>
    <n v="172963136000"/>
    <n v="80932952"/>
    <n v="31482918328000"/>
  </r>
  <r>
    <s v="POSCO홀딩스"/>
    <x v="28"/>
    <n v="5490"/>
    <s v="KR7005490008"/>
    <x v="24"/>
    <s v="KOSPI"/>
    <n v="375500"/>
    <n v="-7500"/>
    <n v="-1.96"/>
    <n v="379000"/>
    <n v="385000"/>
    <n v="375000"/>
    <n v="497388"/>
    <n v="188127768000"/>
    <n v="80932952"/>
    <n v="30390323476000"/>
  </r>
  <r>
    <s v="POSCO홀딩스"/>
    <x v="29"/>
    <n v="5490"/>
    <s v="KR7005490008"/>
    <x v="24"/>
    <s v="KOSPI"/>
    <n v="383000"/>
    <n v="11000"/>
    <n v="2.96"/>
    <n v="377000"/>
    <n v="396000"/>
    <n v="374500"/>
    <n v="1513690"/>
    <n v="585526389500"/>
    <n v="80932952"/>
    <n v="30997320616000"/>
  </r>
  <r>
    <s v="POSCO홀딩스"/>
    <x v="30"/>
    <n v="5490"/>
    <s v="KR7005490008"/>
    <x v="24"/>
    <s v="KOSPI"/>
    <n v="372000"/>
    <n v="1000"/>
    <n v="0.27"/>
    <n v="371000"/>
    <n v="373000"/>
    <n v="365000"/>
    <n v="399686"/>
    <n v="148037780500"/>
    <n v="80932952"/>
    <n v="30107058144000"/>
  </r>
  <r>
    <s v="POSCO홀딩스"/>
    <x v="31"/>
    <n v="5490"/>
    <s v="KR7005490008"/>
    <x v="24"/>
    <s v="KOSPI"/>
    <n v="371000"/>
    <n v="7500"/>
    <n v="2.06"/>
    <n v="365000"/>
    <n v="375000"/>
    <n v="363000"/>
    <n v="567078"/>
    <n v="209097025500"/>
    <n v="80932952"/>
    <n v="30026125192000"/>
  </r>
  <r>
    <s v="POSCO홀딩스"/>
    <x v="32"/>
    <n v="5490"/>
    <s v="KR7005490008"/>
    <x v="24"/>
    <s v="KOSPI"/>
    <n v="363500"/>
    <n v="4000"/>
    <n v="1.1100000000000001"/>
    <n v="369500"/>
    <n v="370000"/>
    <n v="359500"/>
    <n v="449546"/>
    <n v="163473489500"/>
    <n v="80932952"/>
    <n v="29419128052000"/>
  </r>
  <r>
    <s v="POSCO홀딩스"/>
    <x v="33"/>
    <n v="5490"/>
    <s v="KR7005490008"/>
    <x v="24"/>
    <s v="KOSPI"/>
    <n v="359500"/>
    <n v="-7500"/>
    <n v="-2.04"/>
    <n v="356500"/>
    <n v="363000"/>
    <n v="348500"/>
    <n v="569731"/>
    <n v="202957315500"/>
    <n v="80932952"/>
    <n v="29095396244000"/>
  </r>
  <r>
    <s v="POSCO홀딩스"/>
    <x v="34"/>
    <n v="5490"/>
    <s v="KR7005490008"/>
    <x v="24"/>
    <s v="KOSPI"/>
    <n v="367000"/>
    <n v="3500"/>
    <n v="0.96"/>
    <n v="364500"/>
    <n v="382500"/>
    <n v="363500"/>
    <n v="1153551"/>
    <n v="429458095500"/>
    <n v="80932952"/>
    <n v="29702393384000"/>
  </r>
  <r>
    <s v="POSCO홀딩스"/>
    <x v="35"/>
    <n v="5490"/>
    <s v="KR7005490008"/>
    <x v="24"/>
    <s v="KOSPI"/>
    <n v="363500"/>
    <n v="6500"/>
    <n v="1.82"/>
    <n v="355000"/>
    <n v="365000"/>
    <n v="355000"/>
    <n v="439151"/>
    <n v="158947395750"/>
    <n v="80932952"/>
    <n v="29419128052000"/>
  </r>
  <r>
    <s v="POSCO홀딩스"/>
    <x v="36"/>
    <n v="5490"/>
    <s v="KR7005490008"/>
    <x v="24"/>
    <s v="KOSPI"/>
    <n v="357000"/>
    <n v="15500"/>
    <n v="4.54"/>
    <n v="349000"/>
    <n v="359000"/>
    <n v="345500"/>
    <n v="493238"/>
    <n v="174077256000"/>
    <n v="80932952"/>
    <n v="28893063864000"/>
  </r>
  <r>
    <s v="POSCO홀딩스"/>
    <x v="37"/>
    <n v="5490"/>
    <s v="KR7005490008"/>
    <x v="24"/>
    <s v="KOSPI"/>
    <n v="341500"/>
    <n v="-6000"/>
    <n v="-1.73"/>
    <n v="344000"/>
    <n v="354000"/>
    <n v="337500"/>
    <n v="584426"/>
    <n v="201590215750"/>
    <n v="80932952"/>
    <n v="27638603108000"/>
  </r>
  <r>
    <s v="POSCO홀딩스"/>
    <x v="38"/>
    <n v="5490"/>
    <s v="KR7005490008"/>
    <x v="24"/>
    <s v="KOSPI"/>
    <n v="347500"/>
    <n v="-16500"/>
    <n v="-4.53"/>
    <n v="361500"/>
    <n v="364500"/>
    <n v="345500"/>
    <n v="1046195"/>
    <n v="367705536000"/>
    <n v="80932952"/>
    <n v="28124200820000"/>
  </r>
  <r>
    <s v="POSCO홀딩스"/>
    <x v="39"/>
    <n v="5490"/>
    <s v="KR7005490008"/>
    <x v="24"/>
    <s v="KOSPI"/>
    <n v="364000"/>
    <n v="-14000"/>
    <n v="-3.7"/>
    <n v="375500"/>
    <n v="375500"/>
    <n v="358500"/>
    <n v="1001017"/>
    <n v="366127705750"/>
    <n v="80932952"/>
    <n v="29459594528000"/>
  </r>
  <r>
    <s v="POSCO홀딩스"/>
    <x v="40"/>
    <n v="5490"/>
    <s v="KR7005490008"/>
    <x v="24"/>
    <s v="KOSPI"/>
    <n v="378000"/>
    <n v="18500"/>
    <n v="5.15"/>
    <n v="363500"/>
    <n v="383500"/>
    <n v="359500"/>
    <n v="1185336"/>
    <n v="440021011750"/>
    <n v="80932952"/>
    <n v="30592655856000"/>
  </r>
  <r>
    <s v="POSCO홀딩스"/>
    <x v="41"/>
    <n v="5490"/>
    <s v="KR7005490008"/>
    <x v="24"/>
    <s v="KOSPI"/>
    <n v="359500"/>
    <n v="-5500"/>
    <n v="-1.51"/>
    <n v="358500"/>
    <n v="361000"/>
    <n v="353000"/>
    <n v="569514"/>
    <n v="203554519500"/>
    <n v="80932952"/>
    <n v="29095396244000"/>
  </r>
  <r>
    <s v="POSCO홀딩스"/>
    <x v="42"/>
    <n v="5490"/>
    <s v="KR7005490008"/>
    <x v="24"/>
    <s v="KOSPI"/>
    <n v="365000"/>
    <n v="-3000"/>
    <n v="-0.82"/>
    <n v="372000"/>
    <n v="372000"/>
    <n v="360000"/>
    <n v="745027"/>
    <n v="271698817750"/>
    <n v="80932952"/>
    <n v="29540527480000"/>
  </r>
  <r>
    <s v="POSCO홀딩스"/>
    <x v="43"/>
    <n v="5490"/>
    <s v="KR7005490008"/>
    <x v="24"/>
    <s v="KOSPI"/>
    <n v="368000"/>
    <n v="8500"/>
    <n v="2.36"/>
    <n v="371000"/>
    <n v="390000"/>
    <n v="360500"/>
    <n v="1620917"/>
    <n v="604981334500"/>
    <n v="80932952"/>
    <n v="29783326336000"/>
  </r>
  <r>
    <s v="POSCO홀딩스"/>
    <x v="44"/>
    <n v="5490"/>
    <s v="KR7005490008"/>
    <x v="24"/>
    <s v="KOSPI"/>
    <n v="359500"/>
    <n v="8500"/>
    <n v="2.42"/>
    <n v="352500"/>
    <n v="372500"/>
    <n v="350000"/>
    <n v="1498570"/>
    <n v="539493348250"/>
    <n v="80932952"/>
    <n v="29095396244000"/>
  </r>
  <r>
    <s v="POSCO홀딩스"/>
    <x v="45"/>
    <n v="5490"/>
    <s v="KR7005490008"/>
    <x v="24"/>
    <s v="KOSPI"/>
    <n v="351000"/>
    <n v="-6500"/>
    <n v="-1.82"/>
    <n v="350500"/>
    <n v="353000"/>
    <n v="343000"/>
    <n v="690004"/>
    <n v="240511726000"/>
    <n v="80932952"/>
    <n v="28407466152000"/>
  </r>
  <r>
    <s v="POSCO홀딩스"/>
    <x v="46"/>
    <n v="5490"/>
    <s v="KR7005490008"/>
    <x v="24"/>
    <s v="KOSPI"/>
    <n v="357500"/>
    <n v="10000"/>
    <n v="2.88"/>
    <n v="349000"/>
    <n v="360500"/>
    <n v="345500"/>
    <n v="897663"/>
    <n v="317371860250"/>
    <n v="80932952"/>
    <n v="28933530340000"/>
  </r>
  <r>
    <s v="POSCO홀딩스"/>
    <x v="47"/>
    <n v="5490"/>
    <s v="KR7005490008"/>
    <x v="24"/>
    <s v="KOSPI"/>
    <n v="347500"/>
    <n v="16000"/>
    <n v="4.83"/>
    <n v="334500"/>
    <n v="350000"/>
    <n v="333000"/>
    <n v="765012"/>
    <n v="261634424500"/>
    <n v="80932952"/>
    <n v="28124200820000"/>
  </r>
  <r>
    <s v="POSCO홀딩스"/>
    <x v="48"/>
    <n v="5490"/>
    <s v="KR7005490008"/>
    <x v="24"/>
    <s v="KOSPI"/>
    <n v="331500"/>
    <n v="-20000"/>
    <n v="-5.69"/>
    <n v="353500"/>
    <n v="354000"/>
    <n v="326000"/>
    <n v="1093617"/>
    <n v="368542369500"/>
    <n v="80932952"/>
    <n v="26829273588000"/>
  </r>
  <r>
    <s v="POSCO홀딩스"/>
    <x v="49"/>
    <n v="5490"/>
    <s v="KR7005490008"/>
    <x v="24"/>
    <s v="KOSPI"/>
    <n v="351500"/>
    <n v="6500"/>
    <n v="1.88"/>
    <n v="352000"/>
    <n v="360000"/>
    <n v="342000"/>
    <n v="938661"/>
    <n v="329762325000"/>
    <n v="80932952"/>
    <n v="28447932628000"/>
  </r>
  <r>
    <s v="POSCO홀딩스"/>
    <x v="50"/>
    <n v="5490"/>
    <s v="KR7005490008"/>
    <x v="24"/>
    <s v="KOSPI"/>
    <n v="345000"/>
    <n v="-7500"/>
    <n v="-2.13"/>
    <n v="352500"/>
    <n v="353000"/>
    <n v="341000"/>
    <n v="808650"/>
    <n v="279406474750"/>
    <n v="80932952"/>
    <n v="27921868440000"/>
  </r>
  <r>
    <s v="POSCO홀딩스"/>
    <x v="51"/>
    <n v="5490"/>
    <s v="KR7005490008"/>
    <x v="24"/>
    <s v="KOSPI"/>
    <n v="352500"/>
    <n v="43000"/>
    <n v="13.89"/>
    <n v="313500"/>
    <n v="354000"/>
    <n v="312000"/>
    <n v="2435748"/>
    <n v="826358939500"/>
    <n v="80932952"/>
    <n v="28528865580000"/>
  </r>
  <r>
    <s v="POSCO홀딩스"/>
    <x v="52"/>
    <n v="5490"/>
    <s v="KR7005490008"/>
    <x v="24"/>
    <s v="KOSPI"/>
    <n v="309500"/>
    <n v="5500"/>
    <n v="1.81"/>
    <n v="302000"/>
    <n v="310500"/>
    <n v="301500"/>
    <n v="448195"/>
    <n v="138045158500"/>
    <n v="80932952"/>
    <n v="25048748644000"/>
  </r>
  <r>
    <s v="POSCO홀딩스"/>
    <x v="53"/>
    <n v="5490"/>
    <s v="KR7005490008"/>
    <x v="24"/>
    <s v="KOSPI"/>
    <n v="304000"/>
    <n v="3500"/>
    <n v="1.1599999999999999"/>
    <n v="302000"/>
    <n v="304000"/>
    <n v="298000"/>
    <n v="338091"/>
    <n v="101713444500"/>
    <n v="80932952"/>
    <n v="24603617408000"/>
  </r>
  <r>
    <s v="POSCO홀딩스"/>
    <x v="54"/>
    <n v="5490"/>
    <s v="KR7005490008"/>
    <x v="24"/>
    <s v="KOSPI"/>
    <n v="300500"/>
    <n v="-7500"/>
    <n v="-2.44"/>
    <n v="305500"/>
    <n v="306500"/>
    <n v="300500"/>
    <n v="443693"/>
    <n v="134023997500"/>
    <n v="80932952"/>
    <n v="24320352076000"/>
  </r>
  <r>
    <s v="POSCO홀딩스"/>
    <x v="55"/>
    <n v="5490"/>
    <s v="KR7005490008"/>
    <x v="24"/>
    <s v="KOSPI"/>
    <n v="308000"/>
    <n v="4000"/>
    <n v="1.32"/>
    <n v="305500"/>
    <n v="313000"/>
    <n v="303000"/>
    <n v="496291"/>
    <n v="152693660750"/>
    <n v="80932952"/>
    <n v="24927349216000"/>
  </r>
  <r>
    <s v="POSCO홀딩스"/>
    <x v="56"/>
    <n v="5490"/>
    <s v="KR7005490008"/>
    <x v="24"/>
    <s v="KOSPI"/>
    <n v="304000"/>
    <n v="1500"/>
    <n v="0.5"/>
    <n v="305500"/>
    <n v="306500"/>
    <n v="301500"/>
    <n v="303658"/>
    <n v="91946425750"/>
    <n v="80932952"/>
    <n v="24603617408000"/>
  </r>
  <r>
    <s v="POSCO홀딩스"/>
    <x v="57"/>
    <n v="5490"/>
    <s v="KR7005490008"/>
    <x v="24"/>
    <s v="KOSPI"/>
    <n v="302500"/>
    <n v="5000"/>
    <n v="1.68"/>
    <n v="297500"/>
    <n v="308000"/>
    <n v="297000"/>
    <n v="371941"/>
    <n v="112633555000"/>
    <n v="80932952"/>
    <n v="24482217980000"/>
  </r>
  <r>
    <s v="POSCO홀딩스"/>
    <x v="58"/>
    <n v="5490"/>
    <s v="KR7005490008"/>
    <x v="24"/>
    <s v="KOSPI"/>
    <n v="297500"/>
    <n v="-7500"/>
    <n v="-2.46"/>
    <n v="305500"/>
    <n v="307000"/>
    <n v="297000"/>
    <n v="424246"/>
    <n v="126622440500"/>
    <n v="80932952"/>
    <n v="24077553220000"/>
  </r>
  <r>
    <s v="HD한국조선해양"/>
    <x v="0"/>
    <n v="9540"/>
    <s v="KR7009540006"/>
    <x v="25"/>
    <s v="KOSPI"/>
    <n v="344000"/>
    <n v="-3000"/>
    <n v="-0.86"/>
    <n v="351000"/>
    <n v="354500"/>
    <n v="340500"/>
    <n v="235792"/>
    <n v="81883148500"/>
    <n v="70773116"/>
    <n v="24345951904000"/>
  </r>
  <r>
    <s v="HD한국조선해양"/>
    <x v="1"/>
    <n v="9540"/>
    <s v="KR7009540006"/>
    <x v="25"/>
    <s v="KOSPI"/>
    <n v="347000"/>
    <n v="-20000"/>
    <n v="-5.45"/>
    <n v="350000"/>
    <n v="352500"/>
    <n v="340500"/>
    <n v="278783"/>
    <n v="96573493818"/>
    <n v="70773116"/>
    <n v="24558271252000"/>
  </r>
  <r>
    <s v="HD한국조선해양"/>
    <x v="2"/>
    <n v="9540"/>
    <s v="KR7009540006"/>
    <x v="25"/>
    <s v="KOSPI"/>
    <n v="367000"/>
    <n v="-8000"/>
    <n v="-2.13"/>
    <n v="364000"/>
    <n v="369500"/>
    <n v="354000"/>
    <n v="227372"/>
    <n v="82031314750"/>
    <n v="70773116"/>
    <n v="25973733572000"/>
  </r>
  <r>
    <s v="HD한국조선해양"/>
    <x v="3"/>
    <n v="9540"/>
    <s v="KR7009540006"/>
    <x v="25"/>
    <s v="KOSPI"/>
    <n v="375000"/>
    <n v="-10000"/>
    <n v="-2.6"/>
    <n v="390000"/>
    <n v="390500"/>
    <n v="373500"/>
    <n v="171517"/>
    <n v="65116858000"/>
    <n v="70773116"/>
    <n v="26539918500000"/>
  </r>
  <r>
    <s v="HD한국조선해양"/>
    <x v="4"/>
    <n v="9540"/>
    <s v="KR7009540006"/>
    <x v="25"/>
    <s v="KOSPI"/>
    <n v="385000"/>
    <n v="5500"/>
    <n v="1.45"/>
    <n v="388000"/>
    <n v="389000"/>
    <n v="374000"/>
    <n v="209425"/>
    <n v="79839267000"/>
    <n v="70773116"/>
    <n v="27247649660000"/>
  </r>
  <r>
    <s v="HD한국조선해양"/>
    <x v="5"/>
    <n v="9540"/>
    <s v="KR7009540006"/>
    <x v="25"/>
    <s v="KOSPI"/>
    <n v="379500"/>
    <n v="13500"/>
    <n v="3.69"/>
    <n v="380000"/>
    <n v="385000"/>
    <n v="365500"/>
    <n v="224853"/>
    <n v="84709898500"/>
    <n v="70773116"/>
    <n v="26858397522000"/>
  </r>
  <r>
    <s v="HD한국조선해양"/>
    <x v="6"/>
    <n v="9540"/>
    <s v="KR7009540006"/>
    <x v="25"/>
    <s v="KOSPI"/>
    <n v="366000"/>
    <n v="-38500"/>
    <n v="-9.52"/>
    <n v="392000"/>
    <n v="394500"/>
    <n v="365500"/>
    <n v="278996"/>
    <n v="104881981750"/>
    <n v="70773116"/>
    <n v="25902960456000"/>
  </r>
  <r>
    <s v="HD한국조선해양"/>
    <x v="7"/>
    <n v="9540"/>
    <s v="KR7009540006"/>
    <x v="25"/>
    <s v="KOSPI"/>
    <n v="404500"/>
    <n v="-9000"/>
    <n v="-2.1800000000000002"/>
    <n v="416000"/>
    <n v="422500"/>
    <n v="404000"/>
    <n v="271901"/>
    <n v="110719514500"/>
    <n v="70773116"/>
    <n v="28627725422000"/>
  </r>
  <r>
    <s v="HD한국조선해양"/>
    <x v="8"/>
    <n v="9540"/>
    <s v="KR7009540006"/>
    <x v="25"/>
    <s v="KOSPI"/>
    <n v="413500"/>
    <n v="-11500"/>
    <n v="-2.71"/>
    <n v="416500"/>
    <n v="422500"/>
    <n v="412000"/>
    <n v="120128"/>
    <n v="49884181250"/>
    <n v="70773116"/>
    <n v="29264683466000"/>
  </r>
  <r>
    <s v="HD한국조선해양"/>
    <x v="9"/>
    <n v="9540"/>
    <s v="KR7009540006"/>
    <x v="25"/>
    <s v="KOSPI"/>
    <n v="425000"/>
    <n v="5000"/>
    <n v="1.19"/>
    <n v="421000"/>
    <n v="434500"/>
    <n v="419500"/>
    <n v="175008"/>
    <n v="74775759750"/>
    <n v="70773116"/>
    <n v="30078574300000"/>
  </r>
  <r>
    <s v="HD한국조선해양"/>
    <x v="10"/>
    <n v="9540"/>
    <s v="KR7009540006"/>
    <x v="25"/>
    <s v="KOSPI"/>
    <n v="420000"/>
    <n v="10500"/>
    <n v="2.56"/>
    <n v="413000"/>
    <n v="422000"/>
    <n v="410500"/>
    <n v="114908"/>
    <n v="47926665250"/>
    <n v="70773116"/>
    <n v="29724708720000"/>
  </r>
  <r>
    <s v="HD한국조선해양"/>
    <x v="11"/>
    <n v="9540"/>
    <s v="KR7009540006"/>
    <x v="25"/>
    <s v="KOSPI"/>
    <n v="409500"/>
    <n v="-6500"/>
    <n v="-1.56"/>
    <n v="413500"/>
    <n v="421000"/>
    <n v="404000"/>
    <n v="123247"/>
    <n v="50584173500"/>
    <n v="70773116"/>
    <n v="28981591002000"/>
  </r>
  <r>
    <s v="HD한국조선해양"/>
    <x v="12"/>
    <n v="9540"/>
    <s v="KR7009540006"/>
    <x v="25"/>
    <s v="KOSPI"/>
    <n v="416000"/>
    <n v="-9000"/>
    <n v="-2.12"/>
    <n v="414000"/>
    <n v="418500"/>
    <n v="410000"/>
    <n v="180646"/>
    <n v="74695999500"/>
    <n v="70773116"/>
    <n v="29441616256000"/>
  </r>
  <r>
    <s v="HD한국조선해양"/>
    <x v="13"/>
    <n v="9540"/>
    <s v="KR7009540006"/>
    <x v="25"/>
    <s v="KOSPI"/>
    <n v="425000"/>
    <n v="5000"/>
    <n v="1.19"/>
    <n v="416000"/>
    <n v="432000"/>
    <n v="413000"/>
    <n v="229434"/>
    <n v="97447898750"/>
    <n v="70773116"/>
    <n v="30078574300000"/>
  </r>
  <r>
    <s v="HD한국조선해양"/>
    <x v="14"/>
    <n v="9540"/>
    <s v="KR7009540006"/>
    <x v="25"/>
    <s v="KOSPI"/>
    <n v="420000"/>
    <n v="16000"/>
    <n v="3.96"/>
    <n v="410000"/>
    <n v="439000"/>
    <n v="409500"/>
    <n v="374609"/>
    <n v="159925911250"/>
    <n v="70773116"/>
    <n v="29724708720000"/>
  </r>
  <r>
    <s v="HD한국조선해양"/>
    <x v="15"/>
    <n v="9540"/>
    <s v="KR7009540006"/>
    <x v="25"/>
    <s v="KOSPI"/>
    <n v="404000"/>
    <n v="4000"/>
    <n v="1"/>
    <n v="405500"/>
    <n v="411500"/>
    <n v="390000"/>
    <n v="244474"/>
    <n v="97827477750"/>
    <n v="70773116"/>
    <n v="28592338864000"/>
  </r>
  <r>
    <s v="HD한국조선해양"/>
    <x v="16"/>
    <n v="9540"/>
    <s v="KR7009540006"/>
    <x v="25"/>
    <s v="KOSPI"/>
    <n v="400000"/>
    <n v="-2000"/>
    <n v="-0.5"/>
    <n v="390000"/>
    <n v="411000"/>
    <n v="379500"/>
    <n v="277990"/>
    <n v="109430133750"/>
    <n v="70773116"/>
    <n v="28309246400000"/>
  </r>
  <r>
    <s v="HD한국조선해양"/>
    <x v="17"/>
    <n v="9540"/>
    <s v="KR7009540006"/>
    <x v="25"/>
    <s v="KOSPI"/>
    <n v="402000"/>
    <n v="-5000"/>
    <n v="-1.23"/>
    <n v="395500"/>
    <n v="415500"/>
    <n v="395000"/>
    <n v="296184"/>
    <n v="119250636750"/>
    <n v="70773116"/>
    <n v="28450792632000"/>
  </r>
  <r>
    <s v="HD한국조선해양"/>
    <x v="18"/>
    <n v="9540"/>
    <s v="KR7009540006"/>
    <x v="25"/>
    <s v="KOSPI"/>
    <n v="407000"/>
    <n v="28000"/>
    <n v="7.39"/>
    <n v="409500"/>
    <n v="415000"/>
    <n v="399000"/>
    <n v="287942"/>
    <n v="117444573000"/>
    <n v="70773116"/>
    <n v="28804658212000"/>
  </r>
  <r>
    <s v="HD한국조선해양"/>
    <x v="19"/>
    <n v="9540"/>
    <s v="KR7009540006"/>
    <x v="25"/>
    <s v="KOSPI"/>
    <n v="379000"/>
    <n v="-62500"/>
    <n v="-14.16"/>
    <n v="414500"/>
    <n v="423500"/>
    <n v="374000"/>
    <n v="556756"/>
    <n v="220038612250"/>
    <n v="70773116"/>
    <n v="26823010964000"/>
  </r>
  <r>
    <s v="HD한국조선해양"/>
    <x v="20"/>
    <n v="9540"/>
    <s v="KR7009540006"/>
    <x v="25"/>
    <s v="KOSPI"/>
    <n v="441500"/>
    <n v="-8500"/>
    <n v="-1.89"/>
    <n v="451000"/>
    <n v="465500"/>
    <n v="440000"/>
    <n v="295829"/>
    <n v="133360309750"/>
    <n v="70773116"/>
    <n v="31246330714000"/>
  </r>
  <r>
    <s v="HD한국조선해양"/>
    <x v="21"/>
    <n v="9540"/>
    <s v="KR7009540006"/>
    <x v="25"/>
    <s v="KOSPI"/>
    <n v="450000"/>
    <n v="-2000"/>
    <n v="-0.44"/>
    <n v="452500"/>
    <n v="457000"/>
    <n v="445000"/>
    <n v="346778"/>
    <n v="156480252500"/>
    <n v="70773116"/>
    <n v="31847902200000"/>
  </r>
  <r>
    <s v="HD한국조선해양"/>
    <x v="22"/>
    <n v="9540"/>
    <s v="KR7009540006"/>
    <x v="25"/>
    <s v="KOSPI"/>
    <n v="452000"/>
    <n v="-15500"/>
    <n v="-3.32"/>
    <n v="460000"/>
    <n v="461000"/>
    <n v="450000"/>
    <n v="232365"/>
    <n v="105286035750"/>
    <n v="70773116"/>
    <n v="31989448432000"/>
  </r>
  <r>
    <s v="HD한국조선해양"/>
    <x v="23"/>
    <n v="9540"/>
    <s v="KR7009540006"/>
    <x v="25"/>
    <s v="KOSPI"/>
    <n v="467500"/>
    <n v="10000"/>
    <n v="2.19"/>
    <n v="458000"/>
    <n v="473000"/>
    <n v="456000"/>
    <n v="292537"/>
    <n v="136637958500"/>
    <n v="70773116"/>
    <n v="33086431730000"/>
  </r>
  <r>
    <s v="HD한국조선해양"/>
    <x v="24"/>
    <n v="9540"/>
    <s v="KR7009540006"/>
    <x v="25"/>
    <s v="KOSPI"/>
    <n v="457500"/>
    <n v="-14500"/>
    <n v="-3.07"/>
    <n v="460000"/>
    <n v="461000"/>
    <n v="443000"/>
    <n v="313269"/>
    <n v="141671023750"/>
    <n v="70773116"/>
    <n v="32378700570000"/>
  </r>
  <r>
    <s v="HD한국조선해양"/>
    <x v="25"/>
    <n v="9540"/>
    <s v="KR7009540006"/>
    <x v="25"/>
    <s v="KOSPI"/>
    <n v="472000"/>
    <n v="20000"/>
    <n v="4.42"/>
    <n v="453000"/>
    <n v="474000"/>
    <n v="447500"/>
    <n v="384448"/>
    <n v="178388177250"/>
    <n v="70773116"/>
    <n v="33404910752000"/>
  </r>
  <r>
    <s v="HD한국조선해양"/>
    <x v="26"/>
    <n v="9540"/>
    <s v="KR7009540006"/>
    <x v="25"/>
    <s v="KOSPI"/>
    <n v="452000"/>
    <n v="29500"/>
    <n v="6.98"/>
    <n v="423000"/>
    <n v="452000"/>
    <n v="416500"/>
    <n v="367661"/>
    <n v="162278811000"/>
    <n v="70773116"/>
    <n v="31989448432000"/>
  </r>
  <r>
    <s v="HD한국조선해양"/>
    <x v="27"/>
    <n v="9540"/>
    <s v="KR7009540006"/>
    <x v="25"/>
    <s v="KOSPI"/>
    <n v="422500"/>
    <n v="25000"/>
    <n v="6.29"/>
    <n v="404000"/>
    <n v="422500"/>
    <n v="404000"/>
    <n v="275641"/>
    <n v="115178622250"/>
    <n v="70773116"/>
    <n v="29901641510000"/>
  </r>
  <r>
    <s v="HD한국조선해양"/>
    <x v="28"/>
    <n v="9540"/>
    <s v="KR7009540006"/>
    <x v="25"/>
    <s v="KOSPI"/>
    <n v="397500"/>
    <n v="500"/>
    <n v="0.13"/>
    <n v="395000"/>
    <n v="405500"/>
    <n v="393500"/>
    <n v="181379"/>
    <n v="72445757750"/>
    <n v="70773116"/>
    <n v="28132313610000"/>
  </r>
  <r>
    <s v="HD한국조선해양"/>
    <x v="29"/>
    <n v="9540"/>
    <s v="KR7009540006"/>
    <x v="25"/>
    <s v="KOSPI"/>
    <n v="397000"/>
    <n v="7000"/>
    <n v="1.79"/>
    <n v="392000"/>
    <n v="402500"/>
    <n v="391000"/>
    <n v="231984"/>
    <n v="92046847750"/>
    <n v="70773116"/>
    <n v="28096927052000"/>
  </r>
  <r>
    <s v="HD한국조선해양"/>
    <x v="30"/>
    <n v="9540"/>
    <s v="KR7009540006"/>
    <x v="25"/>
    <s v="KOSPI"/>
    <n v="390000"/>
    <n v="8000"/>
    <n v="2.09"/>
    <n v="385500"/>
    <n v="391500"/>
    <n v="384000"/>
    <n v="200412"/>
    <n v="77972557000"/>
    <n v="70773116"/>
    <n v="27601515240000"/>
  </r>
  <r>
    <s v="HD한국조선해양"/>
    <x v="31"/>
    <n v="9540"/>
    <s v="KR7009540006"/>
    <x v="25"/>
    <s v="KOSPI"/>
    <n v="382000"/>
    <n v="-8000"/>
    <n v="-2.0499999999999998"/>
    <n v="394000"/>
    <n v="397000"/>
    <n v="378000"/>
    <n v="422004"/>
    <n v="161605703750"/>
    <n v="70773116"/>
    <n v="27035330312000"/>
  </r>
  <r>
    <s v="HD한국조선해양"/>
    <x v="32"/>
    <n v="9540"/>
    <s v="KR7009540006"/>
    <x v="25"/>
    <s v="KOSPI"/>
    <n v="390000"/>
    <n v="-5500"/>
    <n v="-1.39"/>
    <n v="410000"/>
    <n v="412000"/>
    <n v="375000"/>
    <n v="398048"/>
    <n v="156751665000"/>
    <n v="70773116"/>
    <n v="27601515240000"/>
  </r>
  <r>
    <s v="HD한국조선해양"/>
    <x v="33"/>
    <n v="9540"/>
    <s v="KR7009540006"/>
    <x v="25"/>
    <s v="KOSPI"/>
    <n v="395500"/>
    <n v="-13500"/>
    <n v="-3.3"/>
    <n v="403000"/>
    <n v="403500"/>
    <n v="384000"/>
    <n v="266977"/>
    <n v="104504658250"/>
    <n v="70773116"/>
    <n v="27990767378000"/>
  </r>
  <r>
    <s v="HD한국조선해양"/>
    <x v="34"/>
    <n v="9540"/>
    <s v="KR7009540006"/>
    <x v="25"/>
    <s v="KOSPI"/>
    <n v="409000"/>
    <n v="-15500"/>
    <n v="-3.65"/>
    <n v="424000"/>
    <n v="429500"/>
    <n v="407000"/>
    <n v="221378"/>
    <n v="92159914500"/>
    <n v="70773116"/>
    <n v="28946204444000"/>
  </r>
  <r>
    <s v="HD한국조선해양"/>
    <x v="35"/>
    <n v="9540"/>
    <s v="KR7009540006"/>
    <x v="25"/>
    <s v="KOSPI"/>
    <n v="424500"/>
    <n v="7000"/>
    <n v="1.68"/>
    <n v="425000"/>
    <n v="430000"/>
    <n v="414000"/>
    <n v="164182"/>
    <n v="69507867500"/>
    <n v="70773116"/>
    <n v="30043187742000"/>
  </r>
  <r>
    <s v="HD한국조선해양"/>
    <x v="36"/>
    <n v="9540"/>
    <s v="KR7009540006"/>
    <x v="25"/>
    <s v="KOSPI"/>
    <n v="417500"/>
    <n v="16000"/>
    <n v="3.99"/>
    <n v="413500"/>
    <n v="417500"/>
    <n v="406500"/>
    <n v="154311"/>
    <n v="63801087658"/>
    <n v="70773116"/>
    <n v="29547775930000"/>
  </r>
  <r>
    <s v="HD한국조선해양"/>
    <x v="37"/>
    <n v="9540"/>
    <s v="KR7009540006"/>
    <x v="25"/>
    <s v="KOSPI"/>
    <n v="401500"/>
    <n v="-12000"/>
    <n v="-2.9"/>
    <n v="414500"/>
    <n v="424000"/>
    <n v="395500"/>
    <n v="224516"/>
    <n v="91359672500"/>
    <n v="70773116"/>
    <n v="28415406074000"/>
  </r>
  <r>
    <s v="HD한국조선해양"/>
    <x v="38"/>
    <n v="9540"/>
    <s v="KR7009540006"/>
    <x v="25"/>
    <s v="KOSPI"/>
    <n v="413500"/>
    <n v="-7500"/>
    <n v="-1.78"/>
    <n v="422000"/>
    <n v="425000"/>
    <n v="413000"/>
    <n v="206319"/>
    <n v="85942718750"/>
    <n v="70773116"/>
    <n v="29264683466000"/>
  </r>
  <r>
    <s v="HD한국조선해양"/>
    <x v="39"/>
    <n v="9540"/>
    <s v="KR7009540006"/>
    <x v="25"/>
    <s v="KOSPI"/>
    <n v="421000"/>
    <n v="-1500"/>
    <n v="-0.36"/>
    <n v="420000"/>
    <n v="422000"/>
    <n v="410000"/>
    <n v="276565"/>
    <n v="115009742500"/>
    <n v="70773116"/>
    <n v="29795481836000"/>
  </r>
  <r>
    <s v="HD한국조선해양"/>
    <x v="40"/>
    <n v="9540"/>
    <s v="KR7009540006"/>
    <x v="25"/>
    <s v="KOSPI"/>
    <n v="422500"/>
    <n v="-4000"/>
    <n v="-0.94"/>
    <n v="428000"/>
    <n v="431500"/>
    <n v="418500"/>
    <n v="207240"/>
    <n v="87641305750"/>
    <n v="70773116"/>
    <n v="29901641510000"/>
  </r>
  <r>
    <s v="HD한국조선해양"/>
    <x v="41"/>
    <n v="9540"/>
    <s v="KR7009540006"/>
    <x v="25"/>
    <s v="KOSPI"/>
    <n v="426500"/>
    <n v="2500"/>
    <n v="0.59"/>
    <n v="430000"/>
    <n v="430500"/>
    <n v="414000"/>
    <n v="172467"/>
    <n v="73186246250"/>
    <n v="70773116"/>
    <n v="30184733974000"/>
  </r>
  <r>
    <s v="HD한국조선해양"/>
    <x v="42"/>
    <n v="9540"/>
    <s v="KR7009540006"/>
    <x v="25"/>
    <s v="KOSPI"/>
    <n v="424000"/>
    <n v="-12000"/>
    <n v="-2.75"/>
    <n v="433500"/>
    <n v="436000"/>
    <n v="423000"/>
    <n v="142650"/>
    <n v="60979544750"/>
    <n v="70773116"/>
    <n v="30007801184000"/>
  </r>
  <r>
    <s v="HD한국조선해양"/>
    <x v="43"/>
    <n v="9540"/>
    <s v="KR7009540006"/>
    <x v="25"/>
    <s v="KOSPI"/>
    <n v="436000"/>
    <n v="11500"/>
    <n v="2.71"/>
    <n v="428000"/>
    <n v="436500"/>
    <n v="426500"/>
    <n v="266054"/>
    <n v="114932983500"/>
    <n v="70773116"/>
    <n v="30857078576000"/>
  </r>
  <r>
    <s v="HD한국조선해양"/>
    <x v="44"/>
    <n v="9540"/>
    <s v="KR7009540006"/>
    <x v="25"/>
    <s v="KOSPI"/>
    <n v="424500"/>
    <n v="-4000"/>
    <n v="-0.93"/>
    <n v="430000"/>
    <n v="433000"/>
    <n v="419500"/>
    <n v="279196"/>
    <n v="118782415750"/>
    <n v="70773116"/>
    <n v="30043187742000"/>
  </r>
  <r>
    <s v="HD한국조선해양"/>
    <x v="45"/>
    <n v="9540"/>
    <s v="KR7009540006"/>
    <x v="25"/>
    <s v="KOSPI"/>
    <n v="428500"/>
    <n v="-14500"/>
    <n v="-3.27"/>
    <n v="440000"/>
    <n v="440000"/>
    <n v="425000"/>
    <n v="203782"/>
    <n v="87525936000"/>
    <n v="70773116"/>
    <n v="30326280206000"/>
  </r>
  <r>
    <s v="HD한국조선해양"/>
    <x v="46"/>
    <n v="9540"/>
    <s v="KR7009540006"/>
    <x v="25"/>
    <s v="KOSPI"/>
    <n v="443000"/>
    <n v="-1500"/>
    <n v="-0.34"/>
    <n v="439000"/>
    <n v="444500"/>
    <n v="428500"/>
    <n v="132606"/>
    <n v="58258083750"/>
    <n v="70773116"/>
    <n v="31352490388000"/>
  </r>
  <r>
    <s v="HD한국조선해양"/>
    <x v="47"/>
    <n v="9540"/>
    <s v="KR7009540006"/>
    <x v="25"/>
    <s v="KOSPI"/>
    <n v="444500"/>
    <n v="6000"/>
    <n v="1.37"/>
    <n v="442500"/>
    <n v="447500"/>
    <n v="437000"/>
    <n v="189587"/>
    <n v="84058502500"/>
    <n v="70773116"/>
    <n v="31458650062000"/>
  </r>
  <r>
    <s v="HD한국조선해양"/>
    <x v="48"/>
    <n v="9540"/>
    <s v="KR7009540006"/>
    <x v="25"/>
    <s v="KOSPI"/>
    <n v="438500"/>
    <n v="-1500"/>
    <n v="-0.34"/>
    <n v="439000"/>
    <n v="441000"/>
    <n v="427000"/>
    <n v="172331"/>
    <n v="74973561250"/>
    <n v="70773116"/>
    <n v="31034011366000"/>
  </r>
  <r>
    <s v="HD한국조선해양"/>
    <x v="49"/>
    <n v="9540"/>
    <s v="KR7009540006"/>
    <x v="25"/>
    <s v="KOSPI"/>
    <n v="440000"/>
    <n v="12500"/>
    <n v="2.92"/>
    <n v="432500"/>
    <n v="440000"/>
    <n v="426500"/>
    <n v="231895"/>
    <n v="101312216000"/>
    <n v="70773116"/>
    <n v="31140171040000"/>
  </r>
  <r>
    <s v="HD한국조선해양"/>
    <x v="50"/>
    <n v="9540"/>
    <s v="KR7009540006"/>
    <x v="25"/>
    <s v="KOSPI"/>
    <n v="427500"/>
    <n v="-35000"/>
    <n v="-7.57"/>
    <n v="458500"/>
    <n v="458500"/>
    <n v="424500"/>
    <n v="388404"/>
    <n v="168864437000"/>
    <n v="70773116"/>
    <n v="30255507090000"/>
  </r>
  <r>
    <s v="HD한국조선해양"/>
    <x v="51"/>
    <n v="9540"/>
    <s v="KR7009540006"/>
    <x v="25"/>
    <s v="KOSPI"/>
    <n v="462500"/>
    <n v="12000"/>
    <n v="2.66"/>
    <n v="452000"/>
    <n v="463000"/>
    <n v="449000"/>
    <n v="283454"/>
    <n v="129871488250"/>
    <n v="70773116"/>
    <n v="32732566150000"/>
  </r>
  <r>
    <s v="HD한국조선해양"/>
    <x v="52"/>
    <n v="9540"/>
    <s v="KR7009540006"/>
    <x v="25"/>
    <s v="KOSPI"/>
    <n v="450500"/>
    <n v="3500"/>
    <n v="0.78"/>
    <n v="445000"/>
    <n v="453000"/>
    <n v="433000"/>
    <n v="336951"/>
    <n v="151148206500"/>
    <n v="70773116"/>
    <n v="31883288758000"/>
  </r>
  <r>
    <s v="HD한국조선해양"/>
    <x v="53"/>
    <n v="9540"/>
    <s v="KR7009540006"/>
    <x v="25"/>
    <s v="KOSPI"/>
    <n v="447000"/>
    <n v="22500"/>
    <n v="5.3"/>
    <n v="426500"/>
    <n v="447000"/>
    <n v="422500"/>
    <n v="425836"/>
    <n v="187540580500"/>
    <n v="70773116"/>
    <n v="31635582852000"/>
  </r>
  <r>
    <s v="HD한국조선해양"/>
    <x v="54"/>
    <n v="9540"/>
    <s v="KR7009540006"/>
    <x v="25"/>
    <s v="KOSPI"/>
    <n v="424500"/>
    <n v="6500"/>
    <n v="1.56"/>
    <n v="417500"/>
    <n v="429500"/>
    <n v="417500"/>
    <n v="279906"/>
    <n v="119143493250"/>
    <n v="70773116"/>
    <n v="30043187742000"/>
  </r>
  <r>
    <s v="HD한국조선해양"/>
    <x v="55"/>
    <n v="9540"/>
    <s v="KR7009540006"/>
    <x v="25"/>
    <s v="KOSPI"/>
    <n v="418000"/>
    <n v="4000"/>
    <n v="0.97"/>
    <n v="412000"/>
    <n v="423000"/>
    <n v="408500"/>
    <n v="251207"/>
    <n v="104843140776"/>
    <n v="70773116"/>
    <n v="29583162488000"/>
  </r>
  <r>
    <s v="HD한국조선해양"/>
    <x v="56"/>
    <n v="9540"/>
    <s v="KR7009540006"/>
    <x v="25"/>
    <s v="KOSPI"/>
    <n v="414000"/>
    <n v="13000"/>
    <n v="3.24"/>
    <n v="403500"/>
    <n v="415000"/>
    <n v="395500"/>
    <n v="249294"/>
    <n v="101978669500"/>
    <n v="70773116"/>
    <n v="29300070024000"/>
  </r>
  <r>
    <s v="HD한국조선해양"/>
    <x v="57"/>
    <n v="9540"/>
    <s v="KR7009540006"/>
    <x v="25"/>
    <s v="KOSPI"/>
    <n v="401000"/>
    <n v="7500"/>
    <n v="1.91"/>
    <n v="385000"/>
    <n v="402500"/>
    <n v="385000"/>
    <n v="299340"/>
    <n v="118903627250"/>
    <n v="70773116"/>
    <n v="28380019516000"/>
  </r>
  <r>
    <s v="HD한국조선해양"/>
    <x v="58"/>
    <n v="9540"/>
    <s v="KR7009540006"/>
    <x v="25"/>
    <s v="KOSPI"/>
    <n v="393500"/>
    <n v="-13500"/>
    <n v="-3.32"/>
    <n v="407000"/>
    <n v="407000"/>
    <n v="392000"/>
    <n v="256720"/>
    <n v="101451749350"/>
    <n v="70773116"/>
    <n v="27849221146000"/>
  </r>
  <r>
    <s v="한국전력"/>
    <x v="0"/>
    <n v="15760"/>
    <s v="KR7015760002"/>
    <x v="26"/>
    <s v="KOSPI"/>
    <n v="41650"/>
    <n v="-550"/>
    <n v="-1.3"/>
    <n v="41250"/>
    <n v="43450"/>
    <n v="40700"/>
    <n v="3163086"/>
    <n v="132793009775"/>
    <n v="641964077"/>
    <n v="26737803807050"/>
  </r>
  <r>
    <s v="한국전력"/>
    <x v="1"/>
    <n v="15760"/>
    <s v="KR7015760002"/>
    <x v="26"/>
    <s v="KOSPI"/>
    <n v="42200"/>
    <n v="-1700"/>
    <n v="-3.87"/>
    <n v="41650"/>
    <n v="42400"/>
    <n v="41500"/>
    <n v="2837692"/>
    <n v="118716016475"/>
    <n v="641964077"/>
    <n v="27090884049400"/>
  </r>
  <r>
    <s v="한국전력"/>
    <x v="2"/>
    <n v="15760"/>
    <s v="KR7015760002"/>
    <x v="26"/>
    <s v="KOSPI"/>
    <n v="43900"/>
    <n v="-2100"/>
    <n v="-4.57"/>
    <n v="44150"/>
    <n v="44400"/>
    <n v="42200"/>
    <n v="2748626"/>
    <n v="119273278525"/>
    <n v="641964077"/>
    <n v="28182222980300"/>
  </r>
  <r>
    <s v="한국전력"/>
    <x v="3"/>
    <n v="15760"/>
    <s v="KR7015760002"/>
    <x v="26"/>
    <s v="KOSPI"/>
    <n v="46000"/>
    <n v="-450"/>
    <n v="-0.97"/>
    <n v="46400"/>
    <n v="46700"/>
    <n v="45550"/>
    <n v="1499179"/>
    <n v="69036907025"/>
    <n v="641964077"/>
    <n v="29530347542000"/>
  </r>
  <r>
    <s v="한국전력"/>
    <x v="4"/>
    <n v="15760"/>
    <s v="KR7015760002"/>
    <x v="26"/>
    <s v="KOSPI"/>
    <n v="46450"/>
    <n v="-300"/>
    <n v="-0.64"/>
    <n v="47450"/>
    <n v="47750"/>
    <n v="46200"/>
    <n v="2477570"/>
    <n v="115361520750"/>
    <n v="641964077"/>
    <n v="29819231376650"/>
  </r>
  <r>
    <s v="한국전력"/>
    <x v="5"/>
    <n v="15760"/>
    <s v="KR7015760002"/>
    <x v="26"/>
    <s v="KOSPI"/>
    <n v="46750"/>
    <n v="1150"/>
    <n v="2.52"/>
    <n v="47600"/>
    <n v="47700"/>
    <n v="46000"/>
    <n v="1670679"/>
    <n v="78077499525"/>
    <n v="641964077"/>
    <n v="30011820599750"/>
  </r>
  <r>
    <s v="한국전력"/>
    <x v="6"/>
    <n v="15760"/>
    <s v="KR7015760002"/>
    <x v="26"/>
    <s v="KOSPI"/>
    <n v="45600"/>
    <n v="-3550"/>
    <n v="-7.22"/>
    <n v="47300"/>
    <n v="47400"/>
    <n v="45500"/>
    <n v="2521427"/>
    <n v="116071699150"/>
    <n v="641964077"/>
    <n v="29273561911200"/>
  </r>
  <r>
    <s v="한국전력"/>
    <x v="7"/>
    <n v="15760"/>
    <s v="KR7015760002"/>
    <x v="26"/>
    <s v="KOSPI"/>
    <n v="49150"/>
    <n v="850"/>
    <n v="1.76"/>
    <n v="49000"/>
    <n v="49850"/>
    <n v="48550"/>
    <n v="3110094"/>
    <n v="152671474175"/>
    <n v="641964077"/>
    <n v="31552534384550"/>
  </r>
  <r>
    <s v="한국전력"/>
    <x v="8"/>
    <n v="15760"/>
    <s v="KR7015760002"/>
    <x v="26"/>
    <s v="KOSPI"/>
    <n v="48300"/>
    <n v="-1650"/>
    <n v="-3.3"/>
    <n v="48850"/>
    <n v="48950"/>
    <n v="48100"/>
    <n v="1725030"/>
    <n v="83589714200"/>
    <n v="641964077"/>
    <n v="31006864919100"/>
  </r>
  <r>
    <s v="한국전력"/>
    <x v="9"/>
    <n v="15760"/>
    <s v="KR7015760002"/>
    <x v="26"/>
    <s v="KOSPI"/>
    <n v="49950"/>
    <n v="1750"/>
    <n v="3.63"/>
    <n v="48850"/>
    <n v="50300"/>
    <n v="48500"/>
    <n v="2236833"/>
    <n v="110653539900"/>
    <n v="641964077"/>
    <n v="32066105646150"/>
  </r>
  <r>
    <s v="한국전력"/>
    <x v="10"/>
    <n v="15760"/>
    <s v="KR7015760002"/>
    <x v="26"/>
    <s v="KOSPI"/>
    <n v="48200"/>
    <n v="1300"/>
    <n v="2.77"/>
    <n v="48350"/>
    <n v="49500"/>
    <n v="47800"/>
    <n v="2131127"/>
    <n v="103452574325"/>
    <n v="641964077"/>
    <n v="30942668511400"/>
  </r>
  <r>
    <s v="한국전력"/>
    <x v="11"/>
    <n v="15760"/>
    <s v="KR7015760002"/>
    <x v="26"/>
    <s v="KOSPI"/>
    <n v="46900"/>
    <n v="-1400"/>
    <n v="-2.9"/>
    <n v="48550"/>
    <n v="48600"/>
    <n v="46500"/>
    <n v="1903043"/>
    <n v="90032283225"/>
    <n v="641964077"/>
    <n v="30108115211300"/>
  </r>
  <r>
    <s v="한국전력"/>
    <x v="12"/>
    <n v="15760"/>
    <s v="KR7015760002"/>
    <x v="26"/>
    <s v="KOSPI"/>
    <n v="48300"/>
    <n v="700"/>
    <n v="1.47"/>
    <n v="46000"/>
    <n v="49950"/>
    <n v="45950"/>
    <n v="4084749"/>
    <n v="198603664750"/>
    <n v="641964077"/>
    <n v="31006864919100"/>
  </r>
  <r>
    <s v="한국전력"/>
    <x v="13"/>
    <n v="15760"/>
    <s v="KR7015760002"/>
    <x v="26"/>
    <s v="KOSPI"/>
    <n v="47600"/>
    <n v="-350"/>
    <n v="-0.73"/>
    <n v="47950"/>
    <n v="49050"/>
    <n v="47150"/>
    <n v="1798205"/>
    <n v="85734303850"/>
    <n v="641964077"/>
    <n v="30557490065200"/>
  </r>
  <r>
    <s v="한국전력"/>
    <x v="14"/>
    <n v="15760"/>
    <s v="KR7015760002"/>
    <x v="26"/>
    <s v="KOSPI"/>
    <n v="47950"/>
    <n v="350"/>
    <n v="0.74"/>
    <n v="49950"/>
    <n v="50600"/>
    <n v="47300"/>
    <n v="3092394"/>
    <n v="151951053200"/>
    <n v="641964077"/>
    <n v="30782177492150"/>
  </r>
  <r>
    <s v="한국전력"/>
    <x v="15"/>
    <n v="15760"/>
    <s v="KR7015760002"/>
    <x v="26"/>
    <s v="KOSPI"/>
    <n v="47600"/>
    <n v="2800"/>
    <n v="6.25"/>
    <n v="48000"/>
    <n v="48450"/>
    <n v="46500"/>
    <n v="2886391"/>
    <n v="136953184825"/>
    <n v="641964077"/>
    <n v="30557490065200"/>
  </r>
  <r>
    <s v="한국전력"/>
    <x v="16"/>
    <n v="15760"/>
    <s v="KR7015760002"/>
    <x v="26"/>
    <s v="KOSPI"/>
    <n v="44800"/>
    <n v="-4000"/>
    <n v="-8.1999999999999993"/>
    <n v="45150"/>
    <n v="45800"/>
    <n v="43550"/>
    <n v="5198826"/>
    <n v="230765902750"/>
    <n v="641964077"/>
    <n v="28759990649600"/>
  </r>
  <r>
    <s v="한국전력"/>
    <x v="17"/>
    <n v="15760"/>
    <s v="KR7015760002"/>
    <x v="26"/>
    <s v="KOSPI"/>
    <n v="48800"/>
    <n v="600"/>
    <n v="1.24"/>
    <n v="47100"/>
    <n v="49500"/>
    <n v="47000"/>
    <n v="2921520"/>
    <n v="141831285575"/>
    <n v="641964077"/>
    <n v="31327846957600"/>
  </r>
  <r>
    <s v="한국전력"/>
    <x v="18"/>
    <n v="15760"/>
    <s v="KR7015760002"/>
    <x v="26"/>
    <s v="KOSPI"/>
    <n v="48200"/>
    <n v="2650"/>
    <n v="5.82"/>
    <n v="50100"/>
    <n v="50600"/>
    <n v="47150"/>
    <n v="4828975"/>
    <n v="235442839750"/>
    <n v="641964077"/>
    <n v="30942668511400"/>
  </r>
  <r>
    <s v="한국전력"/>
    <x v="19"/>
    <n v="15760"/>
    <s v="KR7015760002"/>
    <x v="26"/>
    <s v="KOSPI"/>
    <n v="45550"/>
    <n v="-5350"/>
    <n v="-10.51"/>
    <n v="48200"/>
    <n v="49800"/>
    <n v="44600"/>
    <n v="6777742"/>
    <n v="319318534125"/>
    <n v="641964077"/>
    <n v="29241463707350"/>
  </r>
  <r>
    <s v="한국전력"/>
    <x v="20"/>
    <n v="15760"/>
    <s v="KR7015760002"/>
    <x v="26"/>
    <s v="KOSPI"/>
    <n v="50900"/>
    <n v="-7600"/>
    <n v="-12.99"/>
    <n v="56400"/>
    <n v="56800"/>
    <n v="50700"/>
    <n v="8463135"/>
    <n v="447828639250"/>
    <n v="641964077"/>
    <n v="32675971519300"/>
  </r>
  <r>
    <s v="한국전력"/>
    <x v="21"/>
    <n v="15760"/>
    <s v="KR7015760002"/>
    <x v="26"/>
    <s v="KOSPI"/>
    <n v="58500"/>
    <n v="-4800"/>
    <n v="-7.58"/>
    <n v="61500"/>
    <n v="61800"/>
    <n v="58200"/>
    <n v="9721473"/>
    <n v="574249007100"/>
    <n v="641964077"/>
    <n v="37554898504500"/>
  </r>
  <r>
    <s v="한국전력"/>
    <x v="22"/>
    <n v="15760"/>
    <s v="KR7015760002"/>
    <x v="26"/>
    <s v="KOSPI"/>
    <n v="63300"/>
    <n v="-1000"/>
    <n v="-1.56"/>
    <n v="65100"/>
    <n v="65200"/>
    <n v="62700"/>
    <n v="2436442"/>
    <n v="155075983150"/>
    <n v="641964077"/>
    <n v="40636326074100"/>
  </r>
  <r>
    <s v="한국전력"/>
    <x v="23"/>
    <n v="15760"/>
    <s v="KR7015760002"/>
    <x v="26"/>
    <s v="KOSPI"/>
    <n v="64300"/>
    <n v="1500"/>
    <n v="2.39"/>
    <n v="64100"/>
    <n v="65300"/>
    <n v="63400"/>
    <n v="3153351"/>
    <n v="203344699700"/>
    <n v="641964077"/>
    <n v="41278290151100"/>
  </r>
  <r>
    <s v="한국전력"/>
    <x v="24"/>
    <n v="15760"/>
    <s v="KR7015760002"/>
    <x v="26"/>
    <s v="KOSPI"/>
    <n v="62800"/>
    <n v="100"/>
    <n v="0.16"/>
    <n v="62500"/>
    <n v="63100"/>
    <n v="61200"/>
    <n v="1629831"/>
    <n v="101726995600"/>
    <n v="641964077"/>
    <n v="40315344035600"/>
  </r>
  <r>
    <s v="한국전력"/>
    <x v="25"/>
    <n v="15760"/>
    <s v="KR7015760002"/>
    <x v="26"/>
    <s v="KOSPI"/>
    <n v="62700"/>
    <n v="-300"/>
    <n v="-0.48"/>
    <n v="63800"/>
    <n v="63900"/>
    <n v="61800"/>
    <n v="1907525"/>
    <n v="119366762750"/>
    <n v="641964077"/>
    <n v="40251147627900"/>
  </r>
  <r>
    <s v="한국전력"/>
    <x v="26"/>
    <n v="15760"/>
    <s v="KR7015760002"/>
    <x v="26"/>
    <s v="KOSPI"/>
    <n v="63000"/>
    <n v="900"/>
    <n v="1.45"/>
    <n v="62100"/>
    <n v="64300"/>
    <n v="61700"/>
    <n v="2851514"/>
    <n v="180490343900"/>
    <n v="641964077"/>
    <n v="40443736851000"/>
  </r>
  <r>
    <s v="한국전력"/>
    <x v="27"/>
    <n v="15760"/>
    <s v="KR7015760002"/>
    <x v="26"/>
    <s v="KOSPI"/>
    <n v="62100"/>
    <n v="2300"/>
    <n v="3.85"/>
    <n v="61100"/>
    <n v="63400"/>
    <n v="60800"/>
    <n v="3404380"/>
    <n v="212968316100"/>
    <n v="641964077"/>
    <n v="39865969181700"/>
  </r>
  <r>
    <s v="한국전력"/>
    <x v="28"/>
    <n v="15760"/>
    <s v="KR7015760002"/>
    <x v="26"/>
    <s v="KOSPI"/>
    <n v="59800"/>
    <n v="-300"/>
    <n v="-0.5"/>
    <n v="60400"/>
    <n v="61200"/>
    <n v="59400"/>
    <n v="2009683"/>
    <n v="120989949900"/>
    <n v="641964077"/>
    <n v="38389451804600"/>
  </r>
  <r>
    <s v="한국전력"/>
    <x v="29"/>
    <n v="15760"/>
    <s v="KR7015760002"/>
    <x v="26"/>
    <s v="KOSPI"/>
    <n v="60100"/>
    <n v="-900"/>
    <n v="-1.48"/>
    <n v="61700"/>
    <n v="61700"/>
    <n v="60100"/>
    <n v="2950481"/>
    <n v="178873707800"/>
    <n v="641964077"/>
    <n v="38582041027700"/>
  </r>
  <r>
    <s v="한국전력"/>
    <x v="30"/>
    <n v="15760"/>
    <s v="KR7015760002"/>
    <x v="26"/>
    <s v="KOSPI"/>
    <n v="61000"/>
    <n v="200"/>
    <n v="0.33"/>
    <n v="61300"/>
    <n v="62100"/>
    <n v="60600"/>
    <n v="1790091"/>
    <n v="109731719400"/>
    <n v="641964077"/>
    <n v="39159808697000"/>
  </r>
  <r>
    <s v="한국전력"/>
    <x v="31"/>
    <n v="15760"/>
    <s v="KR7015760002"/>
    <x v="26"/>
    <s v="KOSPI"/>
    <n v="60800"/>
    <n v="-1800"/>
    <n v="-2.88"/>
    <n v="62700"/>
    <n v="62900"/>
    <n v="60500"/>
    <n v="1920960"/>
    <n v="117539413650"/>
    <n v="641964077"/>
    <n v="39031415881600"/>
  </r>
  <r>
    <s v="한국전력"/>
    <x v="32"/>
    <n v="15760"/>
    <s v="KR7015760002"/>
    <x v="26"/>
    <s v="KOSPI"/>
    <n v="62600"/>
    <n v="1900"/>
    <n v="3.13"/>
    <n v="62300"/>
    <n v="62700"/>
    <n v="60700"/>
    <n v="2719421"/>
    <n v="168793564550"/>
    <n v="641964077"/>
    <n v="40186951220200"/>
  </r>
  <r>
    <s v="한국전력"/>
    <x v="33"/>
    <n v="15760"/>
    <s v="KR7015760002"/>
    <x v="26"/>
    <s v="KOSPI"/>
    <n v="60700"/>
    <n v="-1200"/>
    <n v="-1.94"/>
    <n v="60100"/>
    <n v="61300"/>
    <n v="58500"/>
    <n v="2464612"/>
    <n v="147927966300"/>
    <n v="641964077"/>
    <n v="38967219473900"/>
  </r>
  <r>
    <s v="한국전력"/>
    <x v="34"/>
    <n v="15760"/>
    <s v="KR7015760002"/>
    <x v="26"/>
    <s v="KOSPI"/>
    <n v="61900"/>
    <n v="-800"/>
    <n v="-1.28"/>
    <n v="61700"/>
    <n v="62900"/>
    <n v="60400"/>
    <n v="2644001"/>
    <n v="162869931150"/>
    <n v="641964077"/>
    <n v="39737576366300"/>
  </r>
  <r>
    <s v="한국전력"/>
    <x v="35"/>
    <n v="15760"/>
    <s v="KR7015760002"/>
    <x v="26"/>
    <s v="KOSPI"/>
    <n v="62700"/>
    <n v="3200"/>
    <n v="5.38"/>
    <n v="61400"/>
    <n v="64300"/>
    <n v="60500"/>
    <n v="6239572"/>
    <n v="392921654800"/>
    <n v="641964077"/>
    <n v="40251147627900"/>
  </r>
  <r>
    <s v="한국전력"/>
    <x v="36"/>
    <n v="15760"/>
    <s v="KR7015760002"/>
    <x v="26"/>
    <s v="KOSPI"/>
    <n v="59500"/>
    <n v="2200"/>
    <n v="3.84"/>
    <n v="58700"/>
    <n v="59600"/>
    <n v="57500"/>
    <n v="2599478"/>
    <n v="153317541700"/>
    <n v="641964077"/>
    <n v="38196862581500"/>
  </r>
  <r>
    <s v="한국전력"/>
    <x v="37"/>
    <n v="15760"/>
    <s v="KR7015760002"/>
    <x v="26"/>
    <s v="KOSPI"/>
    <n v="57300"/>
    <n v="-1000"/>
    <n v="-1.72"/>
    <n v="57300"/>
    <n v="59300"/>
    <n v="56100"/>
    <n v="2893501"/>
    <n v="166873604250"/>
    <n v="641964077"/>
    <n v="36784541612100"/>
  </r>
  <r>
    <s v="한국전력"/>
    <x v="38"/>
    <n v="15760"/>
    <s v="KR7015760002"/>
    <x v="26"/>
    <s v="KOSPI"/>
    <n v="58300"/>
    <n v="-2700"/>
    <n v="-4.43"/>
    <n v="60100"/>
    <n v="60200"/>
    <n v="58000"/>
    <n v="3707847"/>
    <n v="217940287550"/>
    <n v="641964077"/>
    <n v="37426505689100"/>
  </r>
  <r>
    <s v="한국전력"/>
    <x v="39"/>
    <n v="15760"/>
    <s v="KR7015760002"/>
    <x v="26"/>
    <s v="KOSPI"/>
    <n v="61000"/>
    <n v="1600"/>
    <n v="2.69"/>
    <n v="60600"/>
    <n v="61600"/>
    <n v="59800"/>
    <n v="3772465"/>
    <n v="228705408700"/>
    <n v="641964077"/>
    <n v="39159808697000"/>
  </r>
  <r>
    <s v="한국전력"/>
    <x v="40"/>
    <n v="15760"/>
    <s v="KR7015760002"/>
    <x v="26"/>
    <s v="KOSPI"/>
    <n v="59400"/>
    <n v="-1100"/>
    <n v="-1.82"/>
    <n v="61100"/>
    <n v="61500"/>
    <n v="59000"/>
    <n v="3560872"/>
    <n v="212834752700"/>
    <n v="641964077"/>
    <n v="38132666173800"/>
  </r>
  <r>
    <s v="한국전력"/>
    <x v="41"/>
    <n v="15760"/>
    <s v="KR7015760002"/>
    <x v="26"/>
    <s v="KOSPI"/>
    <n v="60500"/>
    <n v="100"/>
    <n v="0.17"/>
    <n v="64100"/>
    <n v="64200"/>
    <n v="60400"/>
    <n v="4426517"/>
    <n v="271690477800"/>
    <n v="641964077"/>
    <n v="38838826658500"/>
  </r>
  <r>
    <s v="한국전력"/>
    <x v="42"/>
    <n v="15760"/>
    <s v="KR7015760002"/>
    <x v="26"/>
    <s v="KOSPI"/>
    <n v="60400"/>
    <n v="-800"/>
    <n v="-1.31"/>
    <n v="61600"/>
    <n v="62300"/>
    <n v="60100"/>
    <n v="3198151"/>
    <n v="194877021350"/>
    <n v="641964077"/>
    <n v="38774630250800"/>
  </r>
  <r>
    <s v="한국전력"/>
    <x v="43"/>
    <n v="15760"/>
    <s v="KR7015760002"/>
    <x v="26"/>
    <s v="KOSPI"/>
    <n v="61200"/>
    <n v="-4800"/>
    <n v="-7.27"/>
    <n v="64400"/>
    <n v="64700"/>
    <n v="60100"/>
    <n v="8221947"/>
    <n v="507826047650"/>
    <n v="641964077"/>
    <n v="39288201512400"/>
  </r>
  <r>
    <s v="한국전력"/>
    <x v="44"/>
    <n v="15760"/>
    <s v="KR7015760002"/>
    <x v="26"/>
    <s v="KOSPI"/>
    <n v="66000"/>
    <n v="-1900"/>
    <n v="-2.8"/>
    <n v="67800"/>
    <n v="68300"/>
    <n v="65600"/>
    <n v="5744688"/>
    <n v="383765642300"/>
    <n v="641964077"/>
    <n v="42369629082000"/>
  </r>
  <r>
    <s v="한국전력"/>
    <x v="45"/>
    <n v="15760"/>
    <s v="KR7015760002"/>
    <x v="26"/>
    <s v="KOSPI"/>
    <n v="67900"/>
    <n v="2500"/>
    <n v="3.82"/>
    <n v="65300"/>
    <n v="69500"/>
    <n v="64900"/>
    <n v="12232205"/>
    <n v="826620216000"/>
    <n v="641964077"/>
    <n v="43589360828300"/>
  </r>
  <r>
    <s v="한국전력"/>
    <x v="46"/>
    <n v="15760"/>
    <s v="KR7015760002"/>
    <x v="26"/>
    <s v="KOSPI"/>
    <n v="65400"/>
    <n v="9100"/>
    <n v="16.16"/>
    <n v="56000"/>
    <n v="67300"/>
    <n v="55800"/>
    <n v="18881532"/>
    <n v="1190861202550"/>
    <n v="641964077"/>
    <n v="41984450635800"/>
  </r>
  <r>
    <s v="한국전력"/>
    <x v="47"/>
    <n v="15760"/>
    <s v="KR7015760002"/>
    <x v="26"/>
    <s v="KOSPI"/>
    <n v="56300"/>
    <n v="1600"/>
    <n v="2.93"/>
    <n v="55100"/>
    <n v="56700"/>
    <n v="54000"/>
    <n v="3627467"/>
    <n v="201654351000"/>
    <n v="641964077"/>
    <n v="36142577535100"/>
  </r>
  <r>
    <s v="한국전력"/>
    <x v="48"/>
    <n v="15760"/>
    <s v="KR7015760002"/>
    <x v="26"/>
    <s v="KOSPI"/>
    <n v="54700"/>
    <n v="900"/>
    <n v="1.67"/>
    <n v="54300"/>
    <n v="55500"/>
    <n v="53900"/>
    <n v="3398110"/>
    <n v="185597737725"/>
    <n v="641964077"/>
    <n v="35115435011900"/>
  </r>
  <r>
    <s v="한국전력"/>
    <x v="49"/>
    <n v="15760"/>
    <s v="KR7015760002"/>
    <x v="26"/>
    <s v="KOSPI"/>
    <n v="53800"/>
    <n v="200"/>
    <n v="0.37"/>
    <n v="54400"/>
    <n v="54400"/>
    <n v="52700"/>
    <n v="2398352"/>
    <n v="128114936600"/>
    <n v="641964077"/>
    <n v="34537667342600"/>
  </r>
  <r>
    <s v="한국전력"/>
    <x v="50"/>
    <n v="15760"/>
    <s v="KR7015760002"/>
    <x v="26"/>
    <s v="KOSPI"/>
    <n v="53600"/>
    <n v="-2100"/>
    <n v="-3.77"/>
    <n v="55000"/>
    <n v="55000"/>
    <n v="53100"/>
    <n v="3811192"/>
    <n v="205363869500"/>
    <n v="641964077"/>
    <n v="34409274527200"/>
  </r>
  <r>
    <s v="한국전력"/>
    <x v="51"/>
    <n v="15760"/>
    <s v="KR7015760002"/>
    <x v="26"/>
    <s v="KOSPI"/>
    <n v="55700"/>
    <n v="4700"/>
    <n v="9.2200000000000006"/>
    <n v="51800"/>
    <n v="55800"/>
    <n v="51100"/>
    <n v="7092857"/>
    <n v="381799119100"/>
    <n v="641964077"/>
    <n v="35757399088900"/>
  </r>
  <r>
    <s v="한국전력"/>
    <x v="52"/>
    <n v="15760"/>
    <s v="KR7015760002"/>
    <x v="26"/>
    <s v="KOSPI"/>
    <n v="51000"/>
    <n v="1600"/>
    <n v="3.24"/>
    <n v="50400"/>
    <n v="51300"/>
    <n v="50200"/>
    <n v="2639091"/>
    <n v="133831581050"/>
    <n v="641964077"/>
    <n v="32740167927000"/>
  </r>
  <r>
    <s v="한국전력"/>
    <x v="53"/>
    <n v="15760"/>
    <s v="KR7015760002"/>
    <x v="26"/>
    <s v="KOSPI"/>
    <n v="49400"/>
    <n v="250"/>
    <n v="0.51"/>
    <n v="49550"/>
    <n v="50000"/>
    <n v="48950"/>
    <n v="1260933"/>
    <n v="62283130325"/>
    <n v="641964077"/>
    <n v="31713025403800"/>
  </r>
  <r>
    <s v="한국전력"/>
    <x v="54"/>
    <n v="15760"/>
    <s v="KR7015760002"/>
    <x v="26"/>
    <s v="KOSPI"/>
    <n v="49150"/>
    <n v="-450"/>
    <n v="-0.91"/>
    <n v="49450"/>
    <n v="50100"/>
    <n v="48950"/>
    <n v="1966117"/>
    <n v="97124772100"/>
    <n v="641964077"/>
    <n v="31552534384550"/>
  </r>
  <r>
    <s v="한국전력"/>
    <x v="55"/>
    <n v="15760"/>
    <s v="KR7015760002"/>
    <x v="26"/>
    <s v="KOSPI"/>
    <n v="49600"/>
    <n v="-900"/>
    <n v="-1.78"/>
    <n v="50500"/>
    <n v="51200"/>
    <n v="49250"/>
    <n v="2341553"/>
    <n v="116900322850"/>
    <n v="641964077"/>
    <n v="31841418219200"/>
  </r>
  <r>
    <s v="한국전력"/>
    <x v="56"/>
    <n v="15760"/>
    <s v="KR7015760002"/>
    <x v="26"/>
    <s v="KOSPI"/>
    <n v="50500"/>
    <n v="650"/>
    <n v="1.3"/>
    <n v="50200"/>
    <n v="50500"/>
    <n v="49100"/>
    <n v="2117044"/>
    <n v="105982008525"/>
    <n v="641964077"/>
    <n v="32419185888500"/>
  </r>
  <r>
    <s v="한국전력"/>
    <x v="57"/>
    <n v="15760"/>
    <s v="KR7015760002"/>
    <x v="26"/>
    <s v="KOSPI"/>
    <n v="49850"/>
    <n v="3350"/>
    <n v="7.2"/>
    <n v="47000"/>
    <n v="49850"/>
    <n v="47000"/>
    <n v="4063858"/>
    <n v="198912363600"/>
    <n v="641964077"/>
    <n v="32001909238450"/>
  </r>
  <r>
    <s v="한국전력"/>
    <x v="58"/>
    <n v="15760"/>
    <s v="KR7015760002"/>
    <x v="26"/>
    <s v="KOSPI"/>
    <n v="46500"/>
    <n v="-700"/>
    <n v="-1.48"/>
    <n v="47200"/>
    <n v="47200"/>
    <n v="45700"/>
    <n v="2308514"/>
    <n v="106595555125"/>
    <n v="641964077"/>
    <n v="29851329580500"/>
  </r>
  <r>
    <s v="한화시스템"/>
    <x v="0"/>
    <n v="272210"/>
    <s v="KR7272210006"/>
    <x v="27"/>
    <s v="KOSPI"/>
    <n v="114100"/>
    <n v="-6600"/>
    <n v="-5.47"/>
    <n v="117000"/>
    <n v="119300"/>
    <n v="113500"/>
    <n v="1260315"/>
    <n v="145465033950"/>
    <n v="188919389"/>
    <n v="21555702284900"/>
  </r>
  <r>
    <s v="한화시스템"/>
    <x v="1"/>
    <n v="272210"/>
    <s v="KR7272210006"/>
    <x v="27"/>
    <s v="KOSPI"/>
    <n v="120700"/>
    <n v="-3400"/>
    <n v="-2.74"/>
    <n v="116100"/>
    <n v="122400"/>
    <n v="115400"/>
    <n v="821244"/>
    <n v="97546251700"/>
    <n v="188919389"/>
    <n v="22802570252300"/>
  </r>
  <r>
    <s v="한화시스템"/>
    <x v="2"/>
    <n v="272210"/>
    <s v="KR7272210006"/>
    <x v="27"/>
    <s v="KOSPI"/>
    <n v="124100"/>
    <n v="-5600"/>
    <n v="-4.32"/>
    <n v="123000"/>
    <n v="125000"/>
    <n v="118100"/>
    <n v="1112940"/>
    <n v="135492902950"/>
    <n v="188919389"/>
    <n v="23444896174900"/>
  </r>
  <r>
    <s v="한화시스템"/>
    <x v="3"/>
    <n v="272210"/>
    <s v="KR7272210006"/>
    <x v="27"/>
    <s v="KOSPI"/>
    <n v="129700"/>
    <n v="-6900"/>
    <n v="-5.05"/>
    <n v="136700"/>
    <n v="137200"/>
    <n v="129200"/>
    <n v="872674"/>
    <n v="116209700100"/>
    <n v="188919389"/>
    <n v="24502844753300"/>
  </r>
  <r>
    <s v="한화시스템"/>
    <x v="4"/>
    <n v="272210"/>
    <s v="KR7272210006"/>
    <x v="27"/>
    <s v="KOSPI"/>
    <n v="136600"/>
    <n v="9300"/>
    <n v="7.31"/>
    <n v="126900"/>
    <n v="136600"/>
    <n v="125100"/>
    <n v="1621725"/>
    <n v="214354102050"/>
    <n v="188919389"/>
    <n v="25806388537400"/>
  </r>
  <r>
    <s v="한화시스템"/>
    <x v="5"/>
    <n v="272210"/>
    <s v="KR7272210006"/>
    <x v="27"/>
    <s v="KOSPI"/>
    <n v="127300"/>
    <n v="3300"/>
    <n v="2.66"/>
    <n v="125600"/>
    <n v="128000"/>
    <n v="121100"/>
    <n v="1223824"/>
    <n v="153129648250"/>
    <n v="188919389"/>
    <n v="24049438219700"/>
  </r>
  <r>
    <s v="한화시스템"/>
    <x v="6"/>
    <n v="272210"/>
    <s v="KR7272210006"/>
    <x v="27"/>
    <s v="KOSPI"/>
    <n v="124000"/>
    <n v="-12000"/>
    <n v="-8.82"/>
    <n v="134700"/>
    <n v="136500"/>
    <n v="123500"/>
    <n v="1276217"/>
    <n v="162058312250"/>
    <n v="188919389"/>
    <n v="23426004236000"/>
  </r>
  <r>
    <s v="한화시스템"/>
    <x v="7"/>
    <n v="272210"/>
    <s v="KR7272210006"/>
    <x v="27"/>
    <s v="KOSPI"/>
    <n v="136000"/>
    <n v="-5000"/>
    <n v="-3.55"/>
    <n v="138200"/>
    <n v="140500"/>
    <n v="136000"/>
    <n v="1048257"/>
    <n v="143773032650"/>
    <n v="188919389"/>
    <n v="25693036904000"/>
  </r>
  <r>
    <s v="한화시스템"/>
    <x v="8"/>
    <n v="272210"/>
    <s v="KR7272210006"/>
    <x v="27"/>
    <s v="KOSPI"/>
    <n v="141000"/>
    <n v="1200"/>
    <n v="0.86"/>
    <n v="149000"/>
    <n v="149100"/>
    <n v="139500"/>
    <n v="1776465"/>
    <n v="252736889750"/>
    <n v="188919389"/>
    <n v="26637633849000"/>
  </r>
  <r>
    <s v="한화시스템"/>
    <x v="9"/>
    <n v="272210"/>
    <s v="KR7272210006"/>
    <x v="27"/>
    <s v="KOSPI"/>
    <n v="139800"/>
    <n v="900"/>
    <n v="0.65"/>
    <n v="139000"/>
    <n v="140700"/>
    <n v="137100"/>
    <n v="1109535"/>
    <n v="153981878300"/>
    <n v="188919389"/>
    <n v="26410930582200"/>
  </r>
  <r>
    <s v="한화시스템"/>
    <x v="10"/>
    <n v="272210"/>
    <s v="KR7272210006"/>
    <x v="27"/>
    <s v="KOSPI"/>
    <n v="138900"/>
    <n v="-1100"/>
    <n v="-0.79"/>
    <n v="140100"/>
    <n v="142500"/>
    <n v="135700"/>
    <n v="1443117"/>
    <n v="200803488350"/>
    <n v="188919389"/>
    <n v="26240903132100"/>
  </r>
  <r>
    <s v="한화시스템"/>
    <x v="11"/>
    <n v="272210"/>
    <s v="KR7272210006"/>
    <x v="27"/>
    <s v="KOSPI"/>
    <n v="140000"/>
    <n v="-4400"/>
    <n v="-3.05"/>
    <n v="141100"/>
    <n v="146700"/>
    <n v="139600"/>
    <n v="1759243"/>
    <n v="251605019450"/>
    <n v="188919389"/>
    <n v="26448714460000"/>
  </r>
  <r>
    <s v="한화시스템"/>
    <x v="12"/>
    <n v="272210"/>
    <s v="KR7272210006"/>
    <x v="27"/>
    <s v="KOSPI"/>
    <n v="144400"/>
    <n v="-7900"/>
    <n v="-5.19"/>
    <n v="148600"/>
    <n v="149300"/>
    <n v="140900"/>
    <n v="1667821"/>
    <n v="240112304550"/>
    <n v="188919389"/>
    <n v="27279959771600"/>
  </r>
  <r>
    <s v="한화시스템"/>
    <x v="13"/>
    <n v="272210"/>
    <s v="KR7272210006"/>
    <x v="27"/>
    <s v="KOSPI"/>
    <n v="152300"/>
    <n v="4600"/>
    <n v="3.11"/>
    <n v="150000"/>
    <n v="152300"/>
    <n v="143700"/>
    <n v="2373213"/>
    <n v="353176786500"/>
    <n v="188919389"/>
    <n v="28772422944700"/>
  </r>
  <r>
    <s v="한화시스템"/>
    <x v="14"/>
    <n v="272210"/>
    <s v="KR7272210006"/>
    <x v="27"/>
    <s v="KOSPI"/>
    <n v="147700"/>
    <n v="-8500"/>
    <n v="-5.44"/>
    <n v="150500"/>
    <n v="154400"/>
    <n v="145100"/>
    <n v="2897308"/>
    <n v="435029945300"/>
    <n v="188919389"/>
    <n v="27903393755300"/>
  </r>
  <r>
    <s v="한화시스템"/>
    <x v="15"/>
    <n v="272210"/>
    <s v="KR7272210006"/>
    <x v="27"/>
    <s v="KOSPI"/>
    <n v="156200"/>
    <n v="-6500"/>
    <n v="-4"/>
    <n v="151500"/>
    <n v="161700"/>
    <n v="150600"/>
    <n v="4123958"/>
    <n v="642434779500"/>
    <n v="188919389"/>
    <n v="29509208561800"/>
  </r>
  <r>
    <s v="한화시스템"/>
    <x v="16"/>
    <n v="272210"/>
    <s v="KR7272210006"/>
    <x v="27"/>
    <s v="KOSPI"/>
    <n v="162700"/>
    <n v="3800"/>
    <n v="2.39"/>
    <n v="173100"/>
    <n v="173500"/>
    <n v="158500"/>
    <n v="4891628"/>
    <n v="804247522200"/>
    <n v="188919389"/>
    <n v="30737184590300"/>
  </r>
  <r>
    <s v="한화시스템"/>
    <x v="17"/>
    <n v="272210"/>
    <s v="KR7272210006"/>
    <x v="27"/>
    <s v="KOSPI"/>
    <n v="158900"/>
    <n v="8100"/>
    <n v="5.37"/>
    <n v="163600"/>
    <n v="171600"/>
    <n v="151400"/>
    <n v="8756536"/>
    <n v="1411266296850"/>
    <n v="188919389"/>
    <n v="30019290912100"/>
  </r>
  <r>
    <s v="한화시스템"/>
    <x v="18"/>
    <n v="272210"/>
    <s v="KR7272210006"/>
    <x v="27"/>
    <s v="KOSPI"/>
    <n v="150800"/>
    <n v="34800"/>
    <n v="30"/>
    <n v="126900"/>
    <n v="150800"/>
    <n v="125700"/>
    <n v="8178416"/>
    <n v="1153494990850"/>
    <n v="188919389"/>
    <n v="28489043861200"/>
  </r>
  <r>
    <s v="한화시스템"/>
    <x v="19"/>
    <n v="272210"/>
    <s v="KR7272210006"/>
    <x v="27"/>
    <s v="KOSPI"/>
    <n v="116000"/>
    <n v="-30700"/>
    <n v="-20.93"/>
    <n v="176900"/>
    <n v="184000"/>
    <n v="112800"/>
    <n v="13590699"/>
    <n v="1951373602350"/>
    <n v="188919389"/>
    <n v="21914649124000"/>
  </r>
  <r>
    <s v="한화시스템"/>
    <x v="20"/>
    <n v="272210"/>
    <s v="KR7272210006"/>
    <x v="27"/>
    <s v="KOSPI"/>
    <n v="146700"/>
    <n v="33100"/>
    <n v="29.14"/>
    <n v="129800"/>
    <n v="147000"/>
    <n v="129500"/>
    <n v="10182766"/>
    <n v="1436532208300"/>
    <n v="188919389"/>
    <n v="27714474366300"/>
  </r>
  <r>
    <s v="한화시스템"/>
    <x v="21"/>
    <n v="272210"/>
    <s v="KR7272210006"/>
    <x v="27"/>
    <s v="KOSPI"/>
    <n v="113600"/>
    <n v="3000"/>
    <n v="2.71"/>
    <n v="121900"/>
    <n v="122900"/>
    <n v="112100"/>
    <n v="3066996"/>
    <n v="353862446100"/>
    <n v="188919389"/>
    <n v="21461242590400"/>
  </r>
  <r>
    <s v="한화시스템"/>
    <x v="22"/>
    <n v="272210"/>
    <s v="KR7272210006"/>
    <x v="27"/>
    <s v="KOSPI"/>
    <n v="110600"/>
    <n v="-800"/>
    <n v="-0.72"/>
    <n v="110500"/>
    <n v="111300"/>
    <n v="108400"/>
    <n v="1022298"/>
    <n v="112538129550"/>
    <n v="188919389"/>
    <n v="20894484423400"/>
  </r>
  <r>
    <s v="한화시스템"/>
    <x v="23"/>
    <n v="272210"/>
    <s v="KR7272210006"/>
    <x v="27"/>
    <s v="KOSPI"/>
    <n v="111400"/>
    <n v="600"/>
    <n v="0.54"/>
    <n v="110300"/>
    <n v="112000"/>
    <n v="107700"/>
    <n v="1007068"/>
    <n v="111138129450"/>
    <n v="188919389"/>
    <n v="21045619934600"/>
  </r>
  <r>
    <s v="한화시스템"/>
    <x v="24"/>
    <n v="272210"/>
    <s v="KR7272210006"/>
    <x v="27"/>
    <s v="KOSPI"/>
    <n v="110800"/>
    <n v="-500"/>
    <n v="-0.45"/>
    <n v="110500"/>
    <n v="111700"/>
    <n v="106500"/>
    <n v="1204746"/>
    <n v="131529848250"/>
    <n v="188919389"/>
    <n v="20932268301200"/>
  </r>
  <r>
    <s v="한화시스템"/>
    <x v="25"/>
    <n v="272210"/>
    <s v="KR7272210006"/>
    <x v="27"/>
    <s v="KOSPI"/>
    <n v="111300"/>
    <n v="-5200"/>
    <n v="-4.46"/>
    <n v="115000"/>
    <n v="116200"/>
    <n v="109600"/>
    <n v="1816020"/>
    <n v="202940102250"/>
    <n v="188919389"/>
    <n v="21026727995700"/>
  </r>
  <r>
    <s v="한화시스템"/>
    <x v="26"/>
    <n v="272210"/>
    <s v="KR7272210006"/>
    <x v="27"/>
    <s v="KOSPI"/>
    <n v="116500"/>
    <n v="10100"/>
    <n v="9.49"/>
    <n v="120300"/>
    <n v="121800"/>
    <n v="113400"/>
    <n v="3701380"/>
    <n v="433662783450"/>
    <n v="188919389"/>
    <n v="22009108818500"/>
  </r>
  <r>
    <s v="한화시스템"/>
    <x v="27"/>
    <n v="272210"/>
    <s v="KR7272210006"/>
    <x v="27"/>
    <s v="KOSPI"/>
    <n v="106400"/>
    <n v="3000"/>
    <n v="2.9"/>
    <n v="105900"/>
    <n v="106500"/>
    <n v="103700"/>
    <n v="1018464"/>
    <n v="107443058800"/>
    <n v="188919389"/>
    <n v="20101022989600"/>
  </r>
  <r>
    <s v="한화시스템"/>
    <x v="28"/>
    <n v="272210"/>
    <s v="KR7272210006"/>
    <x v="27"/>
    <s v="KOSPI"/>
    <n v="103400"/>
    <n v="-2400"/>
    <n v="-2.27"/>
    <n v="103500"/>
    <n v="106250"/>
    <n v="101800"/>
    <n v="1105572"/>
    <n v="114838400150"/>
    <n v="188919389"/>
    <n v="19534264822600"/>
  </r>
  <r>
    <s v="한화시스템"/>
    <x v="29"/>
    <n v="272210"/>
    <s v="KR7272210006"/>
    <x v="27"/>
    <s v="KOSPI"/>
    <n v="105800"/>
    <n v="4400"/>
    <n v="4.34"/>
    <n v="104300"/>
    <n v="105800"/>
    <n v="102100"/>
    <n v="1666838"/>
    <n v="173830777350"/>
    <n v="188919389"/>
    <n v="19987671356200"/>
  </r>
  <r>
    <s v="한화시스템"/>
    <x v="30"/>
    <n v="272210"/>
    <s v="KR7272210006"/>
    <x v="27"/>
    <s v="KOSPI"/>
    <n v="101400"/>
    <n v="100"/>
    <n v="0.1"/>
    <n v="100800"/>
    <n v="102600"/>
    <n v="100300"/>
    <n v="828968"/>
    <n v="84101479150"/>
    <n v="188919389"/>
    <n v="19156426044600"/>
  </r>
  <r>
    <s v="한화시스템"/>
    <x v="31"/>
    <n v="272210"/>
    <s v="KR7272210006"/>
    <x v="27"/>
    <s v="KOSPI"/>
    <n v="101300"/>
    <n v="-3100"/>
    <n v="-2.97"/>
    <n v="105100"/>
    <n v="108300"/>
    <n v="99700"/>
    <n v="1815207"/>
    <n v="185978950900"/>
    <n v="188919389"/>
    <n v="19137534105700"/>
  </r>
  <r>
    <s v="한화시스템"/>
    <x v="32"/>
    <n v="272210"/>
    <s v="KR7272210006"/>
    <x v="27"/>
    <s v="KOSPI"/>
    <n v="104400"/>
    <n v="1400"/>
    <n v="1.36"/>
    <n v="106600"/>
    <n v="107100"/>
    <n v="101900"/>
    <n v="1930541"/>
    <n v="202478710150"/>
    <n v="188919389"/>
    <n v="19723184211600"/>
  </r>
  <r>
    <s v="한화시스템"/>
    <x v="33"/>
    <n v="272210"/>
    <s v="KR7272210006"/>
    <x v="27"/>
    <s v="KOSPI"/>
    <n v="103000"/>
    <n v="-8300"/>
    <n v="-7.46"/>
    <n v="103300"/>
    <n v="106300"/>
    <n v="98900"/>
    <n v="3168488"/>
    <n v="325616678250"/>
    <n v="188919389"/>
    <n v="19458697067000"/>
  </r>
  <r>
    <s v="한화시스템"/>
    <x v="34"/>
    <n v="272210"/>
    <s v="KR7272210006"/>
    <x v="27"/>
    <s v="KOSPI"/>
    <n v="111300"/>
    <n v="-11700"/>
    <n v="-9.51"/>
    <n v="118000"/>
    <n v="120800"/>
    <n v="110000"/>
    <n v="3507115"/>
    <n v="396337920950"/>
    <n v="188919389"/>
    <n v="21026727995700"/>
  </r>
  <r>
    <s v="한화시스템"/>
    <x v="35"/>
    <n v="272210"/>
    <s v="KR7272210006"/>
    <x v="27"/>
    <s v="KOSPI"/>
    <n v="123000"/>
    <n v="3500"/>
    <n v="2.93"/>
    <n v="124800"/>
    <n v="125000"/>
    <n v="118500"/>
    <n v="4235354"/>
    <n v="515401160500"/>
    <n v="188919389"/>
    <n v="23237084847000"/>
  </r>
  <r>
    <s v="한화시스템"/>
    <x v="36"/>
    <n v="272210"/>
    <s v="KR7272210006"/>
    <x v="27"/>
    <s v="KOSPI"/>
    <n v="119500"/>
    <n v="26600"/>
    <n v="28.63"/>
    <n v="96900"/>
    <n v="120300"/>
    <n v="95300"/>
    <n v="14174959"/>
    <n v="1569106813400"/>
    <n v="188919389"/>
    <n v="22575866985500"/>
  </r>
  <r>
    <s v="한화시스템"/>
    <x v="37"/>
    <n v="272210"/>
    <s v="KR7272210006"/>
    <x v="27"/>
    <s v="KOSPI"/>
    <n v="92900"/>
    <n v="-1300"/>
    <n v="-1.38"/>
    <n v="92300"/>
    <n v="101100"/>
    <n v="91100"/>
    <n v="5591351"/>
    <n v="541221745700"/>
    <n v="188919389"/>
    <n v="17550611238100"/>
  </r>
  <r>
    <s v="한화시스템"/>
    <x v="38"/>
    <n v="272210"/>
    <s v="KR7272210006"/>
    <x v="27"/>
    <s v="KOSPI"/>
    <n v="94200"/>
    <n v="1400"/>
    <n v="1.51"/>
    <n v="99700"/>
    <n v="99800"/>
    <n v="92900"/>
    <n v="3805684"/>
    <n v="364178199950"/>
    <n v="188919389"/>
    <n v="17796206443800"/>
  </r>
  <r>
    <s v="한화시스템"/>
    <x v="39"/>
    <n v="272210"/>
    <s v="KR7272210006"/>
    <x v="27"/>
    <s v="KOSPI"/>
    <n v="92800"/>
    <n v="3800"/>
    <n v="4.2699999999999996"/>
    <n v="88100"/>
    <n v="94200"/>
    <n v="86200"/>
    <n v="3062697"/>
    <n v="277820487200"/>
    <n v="188919389"/>
    <n v="17531719299200"/>
  </r>
  <r>
    <s v="한화시스템"/>
    <x v="40"/>
    <n v="272210"/>
    <s v="KR7272210006"/>
    <x v="27"/>
    <s v="KOSPI"/>
    <n v="89000"/>
    <n v="1400"/>
    <n v="1.6"/>
    <n v="88400"/>
    <n v="89100"/>
    <n v="87000"/>
    <n v="1266337"/>
    <n v="111600502500"/>
    <n v="188919389"/>
    <n v="16813825621000"/>
  </r>
  <r>
    <s v="한화시스템"/>
    <x v="41"/>
    <n v="272210"/>
    <s v="KR7272210006"/>
    <x v="27"/>
    <s v="KOSPI"/>
    <n v="87600"/>
    <n v="-1200"/>
    <n v="-1.35"/>
    <n v="90100"/>
    <n v="90200"/>
    <n v="85700"/>
    <n v="1077595"/>
    <n v="94252659050"/>
    <n v="188919389"/>
    <n v="16549338476400"/>
  </r>
  <r>
    <s v="한화시스템"/>
    <x v="42"/>
    <n v="272210"/>
    <s v="KR7272210006"/>
    <x v="27"/>
    <s v="KOSPI"/>
    <n v="88800"/>
    <n v="-1600"/>
    <n v="-1.77"/>
    <n v="90800"/>
    <n v="90800"/>
    <n v="87600"/>
    <n v="1497315"/>
    <n v="133186082000"/>
    <n v="188919389"/>
    <n v="16776041743200"/>
  </r>
  <r>
    <s v="한화시스템"/>
    <x v="43"/>
    <n v="272210"/>
    <s v="KR7272210006"/>
    <x v="27"/>
    <s v="KOSPI"/>
    <n v="90400"/>
    <n v="2100"/>
    <n v="2.38"/>
    <n v="90000"/>
    <n v="94200"/>
    <n v="89400"/>
    <n v="2533737"/>
    <n v="231376760200"/>
    <n v="188919389"/>
    <n v="17078312765600"/>
  </r>
  <r>
    <s v="한화시스템"/>
    <x v="44"/>
    <n v="272210"/>
    <s v="KR7272210006"/>
    <x v="27"/>
    <s v="KOSPI"/>
    <n v="88300"/>
    <n v="-500"/>
    <n v="-0.56000000000000005"/>
    <n v="89200"/>
    <n v="90300"/>
    <n v="87200"/>
    <n v="1750507"/>
    <n v="155252093950"/>
    <n v="188919389"/>
    <n v="16681582048700"/>
  </r>
  <r>
    <s v="한화시스템"/>
    <x v="45"/>
    <n v="272210"/>
    <s v="KR7272210006"/>
    <x v="27"/>
    <s v="KOSPI"/>
    <n v="88800"/>
    <n v="-1700"/>
    <n v="-1.88"/>
    <n v="90200"/>
    <n v="90500"/>
    <n v="87000"/>
    <n v="2174761"/>
    <n v="192240876950"/>
    <n v="188919389"/>
    <n v="16776041743200"/>
  </r>
  <r>
    <s v="한화시스템"/>
    <x v="46"/>
    <n v="272210"/>
    <s v="KR7272210006"/>
    <x v="27"/>
    <s v="KOSPI"/>
    <n v="90500"/>
    <n v="-300"/>
    <n v="-0.33"/>
    <n v="89500"/>
    <n v="95300"/>
    <n v="89500"/>
    <n v="3518034"/>
    <n v="324799025500"/>
    <n v="188919389"/>
    <n v="17097204704500"/>
  </r>
  <r>
    <s v="한화시스템"/>
    <x v="47"/>
    <n v="272210"/>
    <s v="KR7272210006"/>
    <x v="27"/>
    <s v="KOSPI"/>
    <n v="90800"/>
    <n v="-100"/>
    <n v="-0.11"/>
    <n v="93800"/>
    <n v="94300"/>
    <n v="90800"/>
    <n v="2221542"/>
    <n v="204125242200"/>
    <n v="188919389"/>
    <n v="17153880521200"/>
  </r>
  <r>
    <s v="한화시스템"/>
    <x v="48"/>
    <n v="272210"/>
    <s v="KR7272210006"/>
    <x v="27"/>
    <s v="KOSPI"/>
    <n v="90900"/>
    <n v="-5600"/>
    <n v="-5.8"/>
    <n v="95200"/>
    <n v="96300"/>
    <n v="89400"/>
    <n v="3694449"/>
    <n v="337050188250"/>
    <n v="188919389"/>
    <n v="17172772460100"/>
  </r>
  <r>
    <s v="한화시스템"/>
    <x v="49"/>
    <n v="272210"/>
    <s v="KR7272210006"/>
    <x v="27"/>
    <s v="KOSPI"/>
    <n v="96500"/>
    <n v="8300"/>
    <n v="9.41"/>
    <n v="94900"/>
    <n v="99300"/>
    <n v="92300"/>
    <n v="6896728"/>
    <n v="659930416350"/>
    <n v="188919389"/>
    <n v="18230721038500"/>
  </r>
  <r>
    <s v="한화시스템"/>
    <x v="50"/>
    <n v="272210"/>
    <s v="KR7272210006"/>
    <x v="27"/>
    <s v="KOSPI"/>
    <n v="88200"/>
    <n v="-500"/>
    <n v="-0.56000000000000005"/>
    <n v="86500"/>
    <n v="92200"/>
    <n v="85500"/>
    <n v="5644565"/>
    <n v="501722835400"/>
    <n v="188919389"/>
    <n v="16662690109800"/>
  </r>
  <r>
    <s v="한화시스템"/>
    <x v="51"/>
    <n v="272210"/>
    <s v="KR7272210006"/>
    <x v="27"/>
    <s v="KOSPI"/>
    <n v="88700"/>
    <n v="11000"/>
    <n v="14.16"/>
    <n v="77400"/>
    <n v="91100"/>
    <n v="75300"/>
    <n v="14393649"/>
    <n v="1220949944400"/>
    <n v="188919389"/>
    <n v="16757149804300"/>
  </r>
  <r>
    <s v="한화시스템"/>
    <x v="52"/>
    <n v="272210"/>
    <s v="KR7272210006"/>
    <x v="27"/>
    <s v="KOSPI"/>
    <n v="77700"/>
    <n v="800"/>
    <n v="1.04"/>
    <n v="78300"/>
    <n v="79700"/>
    <n v="74900"/>
    <n v="6799053"/>
    <n v="528075256300"/>
    <n v="188919389"/>
    <n v="14679036525300"/>
  </r>
  <r>
    <s v="한화시스템"/>
    <x v="53"/>
    <n v="272210"/>
    <s v="KR7272210006"/>
    <x v="27"/>
    <s v="KOSPI"/>
    <n v="76900"/>
    <n v="16600"/>
    <n v="27.53"/>
    <n v="62300"/>
    <n v="77300"/>
    <n v="61700"/>
    <n v="21538879"/>
    <n v="1524651772600"/>
    <n v="188919389"/>
    <n v="14527901014100"/>
  </r>
  <r>
    <s v="한화시스템"/>
    <x v="54"/>
    <n v="272210"/>
    <s v="KR7272210006"/>
    <x v="27"/>
    <s v="KOSPI"/>
    <n v="60300"/>
    <n v="1800"/>
    <n v="3.08"/>
    <n v="59200"/>
    <n v="61500"/>
    <n v="58900"/>
    <n v="2319754"/>
    <n v="139544286250"/>
    <n v="188919389"/>
    <n v="11391839156700"/>
  </r>
  <r>
    <s v="한화시스템"/>
    <x v="55"/>
    <n v="272210"/>
    <s v="KR7272210006"/>
    <x v="27"/>
    <s v="KOSPI"/>
    <n v="58500"/>
    <n v="-1800"/>
    <n v="-2.99"/>
    <n v="59700"/>
    <n v="60300"/>
    <n v="57700"/>
    <n v="1302865"/>
    <n v="76531261000"/>
    <n v="188919389"/>
    <n v="11051784256500"/>
  </r>
  <r>
    <s v="한화시스템"/>
    <x v="56"/>
    <n v="272210"/>
    <s v="KR7272210006"/>
    <x v="27"/>
    <s v="KOSPI"/>
    <n v="60300"/>
    <n v="2300"/>
    <n v="3.97"/>
    <n v="57600"/>
    <n v="60400"/>
    <n v="57000"/>
    <n v="1982941"/>
    <n v="117716132950"/>
    <n v="188919389"/>
    <n v="11391839156700"/>
  </r>
  <r>
    <s v="한화시스템"/>
    <x v="57"/>
    <n v="272210"/>
    <s v="KR7272210006"/>
    <x v="27"/>
    <s v="KOSPI"/>
    <n v="58000"/>
    <n v="2700"/>
    <n v="4.88"/>
    <n v="56100"/>
    <n v="58000"/>
    <n v="55800"/>
    <n v="1239616"/>
    <n v="70658593950"/>
    <n v="188919389"/>
    <n v="10957324562000"/>
  </r>
  <r>
    <s v="한화시스템"/>
    <x v="58"/>
    <n v="272210"/>
    <s v="KR7272210006"/>
    <x v="27"/>
    <s v="KOSPI"/>
    <n v="55300"/>
    <n v="900"/>
    <n v="1.65"/>
    <n v="55100"/>
    <n v="56100"/>
    <n v="54400"/>
    <n v="689585"/>
    <n v="38165130250"/>
    <n v="188919389"/>
    <n v="10447242211700"/>
  </r>
  <r>
    <s v="한미반도체"/>
    <x v="0"/>
    <n v="42700"/>
    <s v="KR7042700005"/>
    <x v="28"/>
    <s v="KOSPI"/>
    <n v="251000"/>
    <n v="-9500"/>
    <n v="-3.65"/>
    <n v="251000"/>
    <n v="265000"/>
    <n v="242500"/>
    <n v="886467"/>
    <n v="223874159500"/>
    <n v="95312200"/>
    <n v="23923362200000"/>
  </r>
  <r>
    <s v="한미반도체"/>
    <x v="1"/>
    <n v="42700"/>
    <s v="KR7042700005"/>
    <x v="28"/>
    <s v="KOSPI"/>
    <n v="260500"/>
    <n v="-15000"/>
    <n v="-5.44"/>
    <n v="259500"/>
    <n v="264500"/>
    <n v="253500"/>
    <n v="596465"/>
    <n v="155002250500"/>
    <n v="95312200"/>
    <n v="24828828100000"/>
  </r>
  <r>
    <s v="한미반도체"/>
    <x v="2"/>
    <n v="42700"/>
    <s v="KR7042700005"/>
    <x v="28"/>
    <s v="KOSPI"/>
    <n v="275500"/>
    <n v="-2500"/>
    <n v="-0.9"/>
    <n v="269000"/>
    <n v="281000"/>
    <n v="257000"/>
    <n v="773071"/>
    <n v="207308154000"/>
    <n v="95312200"/>
    <n v="26258511100000"/>
  </r>
  <r>
    <s v="한미반도체"/>
    <x v="3"/>
    <n v="42700"/>
    <s v="KR7042700005"/>
    <x v="28"/>
    <s v="KOSPI"/>
    <n v="278000"/>
    <n v="-22000"/>
    <n v="-7.33"/>
    <n v="296000"/>
    <n v="298500"/>
    <n v="277000"/>
    <n v="650141"/>
    <n v="186464904250"/>
    <n v="95312200"/>
    <n v="26496791600000"/>
  </r>
  <r>
    <s v="한미반도체"/>
    <x v="4"/>
    <n v="42700"/>
    <s v="KR7042700005"/>
    <x v="28"/>
    <s v="KOSPI"/>
    <n v="300000"/>
    <n v="3500"/>
    <n v="1.18"/>
    <n v="300500"/>
    <n v="304000"/>
    <n v="296500"/>
    <n v="675633"/>
    <n v="202434619000"/>
    <n v="95312200"/>
    <n v="28593660000000"/>
  </r>
  <r>
    <s v="한미반도체"/>
    <x v="5"/>
    <n v="42700"/>
    <s v="KR7042700005"/>
    <x v="28"/>
    <s v="KOSPI"/>
    <n v="296500"/>
    <n v="-500"/>
    <n v="-0.17"/>
    <n v="309500"/>
    <n v="309500"/>
    <n v="286500"/>
    <n v="853963"/>
    <n v="252206607750"/>
    <n v="95312200"/>
    <n v="28260067300000"/>
  </r>
  <r>
    <s v="한미반도체"/>
    <x v="6"/>
    <n v="42700"/>
    <s v="KR7042700005"/>
    <x v="28"/>
    <s v="KOSPI"/>
    <n v="297000"/>
    <n v="-12500"/>
    <n v="-4.04"/>
    <n v="301500"/>
    <n v="313000"/>
    <n v="296000"/>
    <n v="788575"/>
    <n v="238288894250"/>
    <n v="95312200"/>
    <n v="28307723400000"/>
  </r>
  <r>
    <s v="한미반도체"/>
    <x v="7"/>
    <n v="42700"/>
    <s v="KR7042700005"/>
    <x v="28"/>
    <s v="KOSPI"/>
    <n v="309500"/>
    <n v="2500"/>
    <n v="0.81"/>
    <n v="310000"/>
    <n v="318500"/>
    <n v="307500"/>
    <n v="680315"/>
    <n v="211865963000"/>
    <n v="95312200"/>
    <n v="29499125900000"/>
  </r>
  <r>
    <s v="한미반도체"/>
    <x v="8"/>
    <n v="42700"/>
    <s v="KR7042700005"/>
    <x v="28"/>
    <s v="KOSPI"/>
    <n v="307000"/>
    <n v="-4000"/>
    <n v="-1.29"/>
    <n v="301000"/>
    <n v="313500"/>
    <n v="300000"/>
    <n v="788358"/>
    <n v="241554116500"/>
    <n v="95312200"/>
    <n v="29260845400000"/>
  </r>
  <r>
    <s v="한미반도체"/>
    <x v="9"/>
    <n v="42700"/>
    <s v="KR7042700005"/>
    <x v="28"/>
    <s v="KOSPI"/>
    <n v="311000"/>
    <n v="10000"/>
    <n v="3.32"/>
    <n v="308500"/>
    <n v="312500"/>
    <n v="302000"/>
    <n v="920505"/>
    <n v="281912393750"/>
    <n v="95312200"/>
    <n v="29642094200000"/>
  </r>
  <r>
    <s v="한미반도체"/>
    <x v="10"/>
    <n v="42700"/>
    <s v="KR7042700005"/>
    <x v="28"/>
    <s v="KOSPI"/>
    <n v="301000"/>
    <n v="1000"/>
    <n v="0.33"/>
    <n v="317500"/>
    <n v="318000"/>
    <n v="300000"/>
    <n v="656744"/>
    <n v="202333600750"/>
    <n v="95312200"/>
    <n v="28688972200000"/>
  </r>
  <r>
    <s v="한미반도체"/>
    <x v="11"/>
    <n v="42700"/>
    <s v="KR7042700005"/>
    <x v="28"/>
    <s v="KOSPI"/>
    <n v="300000"/>
    <n v="-5500"/>
    <n v="-1.8"/>
    <n v="304500"/>
    <n v="305000"/>
    <n v="290000"/>
    <n v="879249"/>
    <n v="261004674250"/>
    <n v="95312200"/>
    <n v="28593660000000"/>
  </r>
  <r>
    <s v="한미반도체"/>
    <x v="12"/>
    <n v="42700"/>
    <s v="KR7042700005"/>
    <x v="28"/>
    <s v="KOSPI"/>
    <n v="305500"/>
    <n v="-11500"/>
    <n v="-3.63"/>
    <n v="303000"/>
    <n v="313000"/>
    <n v="299000"/>
    <n v="830276"/>
    <n v="254567277000"/>
    <n v="95312200"/>
    <n v="29117877100000"/>
  </r>
  <r>
    <s v="한미반도체"/>
    <x v="13"/>
    <n v="42700"/>
    <s v="KR7042700005"/>
    <x v="28"/>
    <s v="KOSPI"/>
    <n v="317000"/>
    <n v="4500"/>
    <n v="1.44"/>
    <n v="305000"/>
    <n v="317000"/>
    <n v="303500"/>
    <n v="790870"/>
    <n v="244638264750"/>
    <n v="95312200"/>
    <n v="30213967400000"/>
  </r>
  <r>
    <s v="한미반도체"/>
    <x v="14"/>
    <n v="42700"/>
    <s v="KR7042700005"/>
    <x v="28"/>
    <s v="KOSPI"/>
    <n v="312500"/>
    <n v="-11500"/>
    <n v="-3.55"/>
    <n v="326500"/>
    <n v="327500"/>
    <n v="303500"/>
    <n v="1091554"/>
    <n v="346386109750"/>
    <n v="95312200"/>
    <n v="29785062500000"/>
  </r>
  <r>
    <s v="한미반도체"/>
    <x v="15"/>
    <n v="42700"/>
    <s v="KR7042700005"/>
    <x v="28"/>
    <s v="KOSPI"/>
    <n v="324000"/>
    <n v="19000"/>
    <n v="6.23"/>
    <n v="334500"/>
    <n v="335500"/>
    <n v="306500"/>
    <n v="1602070"/>
    <n v="517843671000"/>
    <n v="95312200"/>
    <n v="30881152800000"/>
  </r>
  <r>
    <s v="한미반도체"/>
    <x v="16"/>
    <n v="42700"/>
    <s v="KR7042700005"/>
    <x v="28"/>
    <s v="KOSPI"/>
    <n v="305000"/>
    <n v="-28500"/>
    <n v="-8.5500000000000007"/>
    <n v="303500"/>
    <n v="313500"/>
    <n v="293000"/>
    <n v="1519978"/>
    <n v="460941729250"/>
    <n v="95312200"/>
    <n v="29070221000000"/>
  </r>
  <r>
    <s v="한미반도체"/>
    <x v="17"/>
    <n v="42700"/>
    <s v="KR7042700005"/>
    <x v="28"/>
    <s v="KOSPI"/>
    <n v="333500"/>
    <n v="18500"/>
    <n v="5.87"/>
    <n v="326000"/>
    <n v="334000"/>
    <n v="305000"/>
    <n v="2232244"/>
    <n v="722956651500"/>
    <n v="95312200"/>
    <n v="31786618700000"/>
  </r>
  <r>
    <s v="한미반도체"/>
    <x v="18"/>
    <n v="42700"/>
    <s v="KR7042700005"/>
    <x v="28"/>
    <s v="KOSPI"/>
    <n v="315000"/>
    <n v="56000"/>
    <n v="21.62"/>
    <n v="302000"/>
    <n v="323000"/>
    <n v="301000"/>
    <n v="3089855"/>
    <n v="962077466000"/>
    <n v="95312200"/>
    <n v="30023343000000"/>
  </r>
  <r>
    <s v="한미반도체"/>
    <x v="19"/>
    <n v="42700"/>
    <s v="KR7042700005"/>
    <x v="28"/>
    <s v="KOSPI"/>
    <n v="259000"/>
    <n v="-23000"/>
    <n v="-8.16"/>
    <n v="261500"/>
    <n v="300000"/>
    <n v="251500"/>
    <n v="4796391"/>
    <n v="1334473976000"/>
    <n v="95312200"/>
    <n v="24685859800000"/>
  </r>
  <r>
    <s v="한미반도체"/>
    <x v="20"/>
    <n v="42700"/>
    <s v="KR7042700005"/>
    <x v="28"/>
    <s v="KOSPI"/>
    <n v="282000"/>
    <n v="-41500"/>
    <n v="-12.83"/>
    <n v="314000"/>
    <n v="319500"/>
    <n v="280000"/>
    <n v="2299627"/>
    <n v="687836752750"/>
    <n v="95312200"/>
    <n v="26878040400000"/>
  </r>
  <r>
    <s v="한미반도체"/>
    <x v="21"/>
    <n v="42700"/>
    <s v="KR7042700005"/>
    <x v="28"/>
    <s v="KOSPI"/>
    <n v="323500"/>
    <n v="48000"/>
    <n v="17.420000000000002"/>
    <n v="263500"/>
    <n v="332500"/>
    <n v="261500"/>
    <n v="6701641"/>
    <n v="2087100671250"/>
    <n v="95312200"/>
    <n v="30833496700000"/>
  </r>
  <r>
    <s v="한미반도체"/>
    <x v="22"/>
    <n v="42700"/>
    <s v="KR7042700005"/>
    <x v="28"/>
    <s v="KOSPI"/>
    <n v="275500"/>
    <n v="61000"/>
    <n v="28.44"/>
    <n v="233000"/>
    <n v="277500"/>
    <n v="228000"/>
    <n v="6002195"/>
    <n v="1541625933250"/>
    <n v="95312200"/>
    <n v="26258511100000"/>
  </r>
  <r>
    <s v="한미반도체"/>
    <x v="23"/>
    <n v="42700"/>
    <s v="KR7042700005"/>
    <x v="28"/>
    <s v="KOSPI"/>
    <n v="214500"/>
    <n v="4500"/>
    <n v="2.14"/>
    <n v="210500"/>
    <n v="215500"/>
    <n v="208000"/>
    <n v="1064978"/>
    <n v="226356293250"/>
    <n v="95312200"/>
    <n v="20444466900000"/>
  </r>
  <r>
    <s v="한미반도체"/>
    <x v="24"/>
    <n v="42700"/>
    <s v="KR7042700005"/>
    <x v="28"/>
    <s v="KOSPI"/>
    <n v="210000"/>
    <n v="6000"/>
    <n v="2.94"/>
    <n v="203500"/>
    <n v="214000"/>
    <n v="196800"/>
    <n v="1645860"/>
    <n v="338805820500"/>
    <n v="95312200"/>
    <n v="20015562000000"/>
  </r>
  <r>
    <s v="한미반도체"/>
    <x v="25"/>
    <n v="42700"/>
    <s v="KR7042700005"/>
    <x v="28"/>
    <s v="KOSPI"/>
    <n v="204000"/>
    <n v="3500"/>
    <n v="1.75"/>
    <n v="201500"/>
    <n v="208500"/>
    <n v="200500"/>
    <n v="939820"/>
    <n v="192071955500"/>
    <n v="95312200"/>
    <n v="19443688800000"/>
  </r>
  <r>
    <s v="한미반도체"/>
    <x v="26"/>
    <n v="42700"/>
    <s v="KR7042700005"/>
    <x v="28"/>
    <s v="KOSPI"/>
    <n v="200500"/>
    <n v="-1000"/>
    <n v="-0.5"/>
    <n v="200500"/>
    <n v="202000"/>
    <n v="197300"/>
    <n v="836127"/>
    <n v="166916510850"/>
    <n v="95312200"/>
    <n v="19110096100000"/>
  </r>
  <r>
    <s v="한미반도체"/>
    <x v="27"/>
    <n v="42700"/>
    <s v="KR7042700005"/>
    <x v="28"/>
    <s v="KOSPI"/>
    <n v="201500"/>
    <n v="-1000"/>
    <n v="-0.49"/>
    <n v="207000"/>
    <n v="207500"/>
    <n v="200000"/>
    <n v="817087"/>
    <n v="165139469250"/>
    <n v="95312200"/>
    <n v="19205408300000"/>
  </r>
  <r>
    <s v="한미반도체"/>
    <x v="28"/>
    <n v="42700"/>
    <s v="KR7042700005"/>
    <x v="28"/>
    <s v="KOSPI"/>
    <n v="202500"/>
    <n v="-7000"/>
    <n v="-3.34"/>
    <n v="205500"/>
    <n v="208500"/>
    <n v="200000"/>
    <n v="1093939"/>
    <n v="222660517250"/>
    <n v="95312200"/>
    <n v="19300720500000"/>
  </r>
  <r>
    <s v="한미반도체"/>
    <x v="29"/>
    <n v="42700"/>
    <s v="KR7042700005"/>
    <x v="28"/>
    <s v="KOSPI"/>
    <n v="209500"/>
    <n v="19000"/>
    <n v="9.9700000000000006"/>
    <n v="200500"/>
    <n v="224500"/>
    <n v="199400"/>
    <n v="5790612"/>
    <n v="1238347366850"/>
    <n v="95312200"/>
    <n v="19967905900000"/>
  </r>
  <r>
    <s v="한미반도체"/>
    <x v="30"/>
    <n v="42700"/>
    <s v="KR7042700005"/>
    <x v="28"/>
    <s v="KOSPI"/>
    <n v="190500"/>
    <n v="-4400"/>
    <n v="-2.2599999999999998"/>
    <n v="192700"/>
    <n v="193900"/>
    <n v="187500"/>
    <n v="670835"/>
    <n v="128158106650"/>
    <n v="95312200"/>
    <n v="18156974100000"/>
  </r>
  <r>
    <s v="한미반도체"/>
    <x v="31"/>
    <n v="42700"/>
    <s v="KR7042700005"/>
    <x v="28"/>
    <s v="KOSPI"/>
    <n v="194900"/>
    <n v="-2900"/>
    <n v="-1.47"/>
    <n v="197000"/>
    <n v="201000"/>
    <n v="194000"/>
    <n v="825009"/>
    <n v="162324617000"/>
    <n v="95312200"/>
    <n v="18576347780000"/>
  </r>
  <r>
    <s v="한미반도체"/>
    <x v="32"/>
    <n v="42700"/>
    <s v="KR7042700005"/>
    <x v="28"/>
    <s v="KOSPI"/>
    <n v="197800"/>
    <n v="1800"/>
    <n v="0.92"/>
    <n v="202500"/>
    <n v="203000"/>
    <n v="193700"/>
    <n v="1365865"/>
    <n v="270196183600"/>
    <n v="95312200"/>
    <n v="18852753160000"/>
  </r>
  <r>
    <s v="한미반도체"/>
    <x v="33"/>
    <n v="42700"/>
    <s v="KR7042700005"/>
    <x v="28"/>
    <s v="KOSPI"/>
    <n v="196000"/>
    <n v="2500"/>
    <n v="1.29"/>
    <n v="190800"/>
    <n v="199400"/>
    <n v="180400"/>
    <n v="1470302"/>
    <n v="281799635700"/>
    <n v="95312200"/>
    <n v="18681191200000"/>
  </r>
  <r>
    <s v="한미반도체"/>
    <x v="34"/>
    <n v="42700"/>
    <s v="KR7042700005"/>
    <x v="28"/>
    <s v="KOSPI"/>
    <n v="193500"/>
    <n v="-9000"/>
    <n v="-4.4400000000000004"/>
    <n v="197100"/>
    <n v="200500"/>
    <n v="191700"/>
    <n v="1211016"/>
    <n v="236812790150"/>
    <n v="95312200"/>
    <n v="18442910700000"/>
  </r>
  <r>
    <s v="한미반도체"/>
    <x v="35"/>
    <n v="42700"/>
    <s v="KR7042700005"/>
    <x v="28"/>
    <s v="KOSPI"/>
    <n v="202500"/>
    <n v="3200"/>
    <n v="1.61"/>
    <n v="194000"/>
    <n v="208000"/>
    <n v="191900"/>
    <n v="1487504"/>
    <n v="301188705050"/>
    <n v="95312200"/>
    <n v="19300720500000"/>
  </r>
  <r>
    <s v="한미반도체"/>
    <x v="36"/>
    <n v="42700"/>
    <s v="KR7042700005"/>
    <x v="28"/>
    <s v="KOSPI"/>
    <n v="199300"/>
    <n v="12200"/>
    <n v="6.52"/>
    <n v="197500"/>
    <n v="199300"/>
    <n v="191300"/>
    <n v="1841243"/>
    <n v="359129379400"/>
    <n v="95312200"/>
    <n v="18995721460000"/>
  </r>
  <r>
    <s v="한미반도체"/>
    <x v="37"/>
    <n v="42700"/>
    <s v="KR7042700005"/>
    <x v="28"/>
    <s v="KOSPI"/>
    <n v="187100"/>
    <n v="-23900"/>
    <n v="-11.33"/>
    <n v="205000"/>
    <n v="205000"/>
    <n v="186100"/>
    <n v="2807793"/>
    <n v="545943286250"/>
    <n v="95312200"/>
    <n v="17832912620000"/>
  </r>
  <r>
    <s v="한미반도체"/>
    <x v="38"/>
    <n v="42700"/>
    <s v="KR7042700005"/>
    <x v="28"/>
    <s v="KOSPI"/>
    <n v="211000"/>
    <n v="7500"/>
    <n v="3.69"/>
    <n v="199900"/>
    <n v="220000"/>
    <n v="198400"/>
    <n v="4364912"/>
    <n v="918293075000"/>
    <n v="95312200"/>
    <n v="20110874200000"/>
  </r>
  <r>
    <s v="한미반도체"/>
    <x v="39"/>
    <n v="42700"/>
    <s v="KR7042700005"/>
    <x v="28"/>
    <s v="KOSPI"/>
    <n v="203500"/>
    <n v="21500"/>
    <n v="11.81"/>
    <n v="198900"/>
    <n v="210000"/>
    <n v="189000"/>
    <n v="7160116"/>
    <n v="1436570584100"/>
    <n v="95312200"/>
    <n v="19396032700000"/>
  </r>
  <r>
    <s v="한미반도체"/>
    <x v="40"/>
    <n v="42700"/>
    <s v="KR7042700005"/>
    <x v="28"/>
    <s v="KOSPI"/>
    <n v="182000"/>
    <n v="7200"/>
    <n v="4.12"/>
    <n v="182000"/>
    <n v="184900"/>
    <n v="177600"/>
    <n v="2220792"/>
    <n v="401769928750"/>
    <n v="95312200"/>
    <n v="17346820400000"/>
  </r>
  <r>
    <s v="한미반도체"/>
    <x v="41"/>
    <n v="42700"/>
    <s v="KR7042700005"/>
    <x v="28"/>
    <s v="KOSPI"/>
    <n v="174800"/>
    <n v="5300"/>
    <n v="3.13"/>
    <n v="169800"/>
    <n v="175800"/>
    <n v="164700"/>
    <n v="1620819"/>
    <n v="277892450050"/>
    <n v="95312200"/>
    <n v="16660572560000"/>
  </r>
  <r>
    <s v="한미반도체"/>
    <x v="42"/>
    <n v="42700"/>
    <s v="KR7042700005"/>
    <x v="28"/>
    <s v="KOSPI"/>
    <n v="169500"/>
    <n v="-1600"/>
    <n v="-0.94"/>
    <n v="171200"/>
    <n v="171400"/>
    <n v="168400"/>
    <n v="753397"/>
    <n v="127660848950"/>
    <n v="95312200"/>
    <n v="16155417900000"/>
  </r>
  <r>
    <s v="한미반도체"/>
    <x v="43"/>
    <n v="42700"/>
    <s v="KR7042700005"/>
    <x v="28"/>
    <s v="KOSPI"/>
    <n v="171100"/>
    <n v="700"/>
    <n v="0.41"/>
    <n v="169800"/>
    <n v="173800"/>
    <n v="168900"/>
    <n v="644666"/>
    <n v="110314037800"/>
    <n v="95312200"/>
    <n v="16307917420000"/>
  </r>
  <r>
    <s v="한미반도체"/>
    <x v="44"/>
    <n v="42700"/>
    <s v="KR7042700005"/>
    <x v="28"/>
    <s v="KOSPI"/>
    <n v="170400"/>
    <n v="-1800"/>
    <n v="-1.05"/>
    <n v="178700"/>
    <n v="178800"/>
    <n v="169400"/>
    <n v="1034728"/>
    <n v="178488091050"/>
    <n v="95312200"/>
    <n v="16241198880000"/>
  </r>
  <r>
    <s v="한미반도체"/>
    <x v="45"/>
    <n v="42700"/>
    <s v="KR7042700005"/>
    <x v="28"/>
    <s v="KOSPI"/>
    <n v="172200"/>
    <n v="100"/>
    <n v="0.06"/>
    <n v="167400"/>
    <n v="173300"/>
    <n v="165500"/>
    <n v="1012880"/>
    <n v="171733550500"/>
    <n v="95312200"/>
    <n v="16412760840000"/>
  </r>
  <r>
    <s v="한미반도체"/>
    <x v="46"/>
    <n v="42700"/>
    <s v="KR7042700005"/>
    <x v="28"/>
    <s v="KOSPI"/>
    <n v="172100"/>
    <n v="-5400"/>
    <n v="-3.04"/>
    <n v="176400"/>
    <n v="176400"/>
    <n v="169600"/>
    <n v="974249"/>
    <n v="168359927500"/>
    <n v="95312200"/>
    <n v="16403229620000"/>
  </r>
  <r>
    <s v="한미반도체"/>
    <x v="47"/>
    <n v="42700"/>
    <s v="KR7042700005"/>
    <x v="28"/>
    <s v="KOSPI"/>
    <n v="177500"/>
    <n v="-1000"/>
    <n v="-0.56000000000000005"/>
    <n v="176500"/>
    <n v="180500"/>
    <n v="176000"/>
    <n v="968084"/>
    <n v="172895654500"/>
    <n v="95312200"/>
    <n v="16917915500000"/>
  </r>
  <r>
    <s v="한미반도체"/>
    <x v="48"/>
    <n v="42700"/>
    <s v="KR7042700005"/>
    <x v="28"/>
    <s v="KOSPI"/>
    <n v="178500"/>
    <n v="-1500"/>
    <n v="-0.83"/>
    <n v="185700"/>
    <n v="185700"/>
    <n v="176900"/>
    <n v="1282769"/>
    <n v="231460797800"/>
    <n v="95312200"/>
    <n v="17013227700000"/>
  </r>
  <r>
    <s v="한미반도체"/>
    <x v="49"/>
    <n v="42700"/>
    <s v="KR7042700005"/>
    <x v="28"/>
    <s v="KOSPI"/>
    <n v="180000"/>
    <n v="2200"/>
    <n v="1.24"/>
    <n v="173500"/>
    <n v="180000"/>
    <n v="173000"/>
    <n v="1266591"/>
    <n v="224639250400"/>
    <n v="95312200"/>
    <n v="17156196000000"/>
  </r>
  <r>
    <s v="한미반도체"/>
    <x v="50"/>
    <n v="42700"/>
    <s v="KR7042700005"/>
    <x v="28"/>
    <s v="KOSPI"/>
    <n v="177800"/>
    <n v="4600"/>
    <n v="2.66"/>
    <n v="177800"/>
    <n v="185900"/>
    <n v="175200"/>
    <n v="3285414"/>
    <n v="593141393050"/>
    <n v="95312200"/>
    <n v="16946509160000"/>
  </r>
  <r>
    <s v="한미반도체"/>
    <x v="51"/>
    <n v="42700"/>
    <s v="KR7042700005"/>
    <x v="28"/>
    <s v="KOSPI"/>
    <n v="173200"/>
    <n v="5600"/>
    <n v="3.34"/>
    <n v="171600"/>
    <n v="174000"/>
    <n v="168900"/>
    <n v="1392596"/>
    <n v="239030688700"/>
    <n v="95312200"/>
    <n v="16508073040000"/>
  </r>
  <r>
    <s v="한미반도체"/>
    <x v="52"/>
    <n v="42700"/>
    <s v="KR7042700005"/>
    <x v="28"/>
    <s v="KOSPI"/>
    <n v="167600"/>
    <n v="-8700"/>
    <n v="-4.93"/>
    <n v="177200"/>
    <n v="179000"/>
    <n v="164800"/>
    <n v="2436807"/>
    <n v="414554169750"/>
    <n v="95312200"/>
    <n v="15974324720000"/>
  </r>
  <r>
    <s v="한미반도체"/>
    <x v="53"/>
    <n v="42700"/>
    <s v="KR7042700005"/>
    <x v="28"/>
    <s v="KOSPI"/>
    <n v="176300"/>
    <n v="-9400"/>
    <n v="-5.0599999999999996"/>
    <n v="181900"/>
    <n v="182400"/>
    <n v="173500"/>
    <n v="2622280"/>
    <n v="463165602050"/>
    <n v="95312200"/>
    <n v="16803540860000"/>
  </r>
  <r>
    <s v="한미반도체"/>
    <x v="54"/>
    <n v="42700"/>
    <s v="KR7042700005"/>
    <x v="28"/>
    <s v="KOSPI"/>
    <n v="185700"/>
    <n v="-800"/>
    <n v="-0.43"/>
    <n v="182700"/>
    <n v="201000"/>
    <n v="181800"/>
    <n v="5532705"/>
    <n v="1057302127000"/>
    <n v="95312200"/>
    <n v="17699475540000"/>
  </r>
  <r>
    <s v="한미반도체"/>
    <x v="55"/>
    <n v="42700"/>
    <s v="KR7042700005"/>
    <x v="28"/>
    <s v="KOSPI"/>
    <n v="186500"/>
    <n v="2800"/>
    <n v="1.52"/>
    <n v="194300"/>
    <n v="197100"/>
    <n v="180500"/>
    <n v="4801481"/>
    <n v="905928532800"/>
    <n v="95312200"/>
    <n v="17775725300000"/>
  </r>
  <r>
    <s v="한미반도체"/>
    <x v="56"/>
    <n v="42700"/>
    <s v="KR7042700005"/>
    <x v="28"/>
    <s v="KOSPI"/>
    <n v="183700"/>
    <n v="16400"/>
    <n v="9.8000000000000007"/>
    <n v="169000"/>
    <n v="183700"/>
    <n v="167300"/>
    <n v="6073528"/>
    <n v="1071236133500"/>
    <n v="95312200"/>
    <n v="17508851140000"/>
  </r>
  <r>
    <s v="한미반도체"/>
    <x v="57"/>
    <n v="42700"/>
    <s v="KR7042700005"/>
    <x v="28"/>
    <s v="KOSPI"/>
    <n v="167300"/>
    <n v="22800"/>
    <n v="15.78"/>
    <n v="154900"/>
    <n v="168400"/>
    <n v="153200"/>
    <n v="6479709"/>
    <n v="1039853037050"/>
    <n v="95312200"/>
    <n v="15945731060000"/>
  </r>
  <r>
    <s v="한미반도체"/>
    <x v="58"/>
    <n v="42700"/>
    <s v="KR7042700005"/>
    <x v="28"/>
    <s v="KOSPI"/>
    <n v="144500"/>
    <n v="17100"/>
    <n v="13.42"/>
    <n v="127600"/>
    <n v="144700"/>
    <n v="127600"/>
    <n v="3357195"/>
    <n v="469801983250"/>
    <n v="95312200"/>
    <n v="13772612900000"/>
  </r>
  <r>
    <s v="삼성중공업"/>
    <x v="0"/>
    <n v="10140"/>
    <s v="KR7010140002"/>
    <x v="29"/>
    <s v="KOSPI"/>
    <n v="24450"/>
    <n v="-50"/>
    <n v="-0.2"/>
    <n v="24650"/>
    <n v="25400"/>
    <n v="24200"/>
    <n v="6237363"/>
    <n v="154280519625"/>
    <n v="880000000"/>
    <n v="21516000000000"/>
  </r>
  <r>
    <s v="삼성중공업"/>
    <x v="1"/>
    <n v="10140"/>
    <s v="KR7010140002"/>
    <x v="29"/>
    <s v="KOSPI"/>
    <n v="24500"/>
    <n v="-1500"/>
    <n v="-5.77"/>
    <n v="24550"/>
    <n v="24900"/>
    <n v="24200"/>
    <n v="6468387"/>
    <n v="158417141075"/>
    <n v="880000000"/>
    <n v="21560000000000"/>
  </r>
  <r>
    <s v="삼성중공업"/>
    <x v="2"/>
    <n v="10140"/>
    <s v="KR7010140002"/>
    <x v="29"/>
    <s v="KOSPI"/>
    <n v="26000"/>
    <n v="-350"/>
    <n v="-1.33"/>
    <n v="25700"/>
    <n v="26150"/>
    <n v="25000"/>
    <n v="3215404"/>
    <n v="82223057550"/>
    <n v="880000000"/>
    <n v="22880000000000"/>
  </r>
  <r>
    <s v="삼성중공업"/>
    <x v="3"/>
    <n v="10140"/>
    <s v="KR7010140002"/>
    <x v="29"/>
    <s v="KOSPI"/>
    <n v="26350"/>
    <n v="-500"/>
    <n v="-1.86"/>
    <n v="27350"/>
    <n v="27500"/>
    <n v="26300"/>
    <n v="2633814"/>
    <n v="70583876750"/>
    <n v="880000000"/>
    <n v="23188000000000"/>
  </r>
  <r>
    <s v="삼성중공업"/>
    <x v="4"/>
    <n v="10140"/>
    <s v="KR7010140002"/>
    <x v="29"/>
    <s v="KOSPI"/>
    <n v="26850"/>
    <n v="450"/>
    <n v="1.7"/>
    <n v="27100"/>
    <n v="27250"/>
    <n v="26250"/>
    <n v="3901636"/>
    <n v="104022176975"/>
    <n v="880000000"/>
    <n v="23628000000000"/>
  </r>
  <r>
    <s v="삼성중공업"/>
    <x v="5"/>
    <n v="10140"/>
    <s v="KR7010140002"/>
    <x v="29"/>
    <s v="KOSPI"/>
    <n v="26400"/>
    <n v="400"/>
    <n v="1.54"/>
    <n v="27300"/>
    <n v="27350"/>
    <n v="25600"/>
    <n v="3598063"/>
    <n v="95012711925"/>
    <n v="880000000"/>
    <n v="23232000000000"/>
  </r>
  <r>
    <s v="삼성중공업"/>
    <x v="6"/>
    <n v="10140"/>
    <s v="KR7010140002"/>
    <x v="29"/>
    <s v="KOSPI"/>
    <n v="26000"/>
    <n v="-2550"/>
    <n v="-8.93"/>
    <n v="27600"/>
    <n v="27650"/>
    <n v="26000"/>
    <n v="7716407"/>
    <n v="204694410300"/>
    <n v="880000000"/>
    <n v="22880000000000"/>
  </r>
  <r>
    <s v="삼성중공업"/>
    <x v="7"/>
    <n v="10140"/>
    <s v="KR7010140002"/>
    <x v="29"/>
    <s v="KOSPI"/>
    <n v="28550"/>
    <n v="50"/>
    <n v="0.18"/>
    <n v="28750"/>
    <n v="29950"/>
    <n v="28150"/>
    <n v="5947337"/>
    <n v="172198368450"/>
    <n v="880000000"/>
    <n v="25124000000000"/>
  </r>
  <r>
    <s v="삼성중공업"/>
    <x v="8"/>
    <n v="10140"/>
    <s v="KR7010140002"/>
    <x v="29"/>
    <s v="KOSPI"/>
    <n v="28500"/>
    <n v="-600"/>
    <n v="-2.06"/>
    <n v="28700"/>
    <n v="28950"/>
    <n v="28500"/>
    <n v="2252176"/>
    <n v="64595648625"/>
    <n v="880000000"/>
    <n v="25080000000000"/>
  </r>
  <r>
    <s v="삼성중공업"/>
    <x v="9"/>
    <n v="10140"/>
    <s v="KR7010140002"/>
    <x v="29"/>
    <s v="KOSPI"/>
    <n v="29100"/>
    <n v="-50"/>
    <n v="-0.17"/>
    <n v="29350"/>
    <n v="29600"/>
    <n v="28700"/>
    <n v="4223905"/>
    <n v="123119557925"/>
    <n v="880000000"/>
    <n v="25608000000000"/>
  </r>
  <r>
    <s v="삼성중공업"/>
    <x v="10"/>
    <n v="10140"/>
    <s v="KR7010140002"/>
    <x v="29"/>
    <s v="KOSPI"/>
    <n v="29150"/>
    <n v="400"/>
    <n v="1.39"/>
    <n v="29300"/>
    <n v="30100"/>
    <n v="28600"/>
    <n v="5136148"/>
    <n v="150811340775"/>
    <n v="880000000"/>
    <n v="25652000000000"/>
  </r>
  <r>
    <s v="삼성중공업"/>
    <x v="11"/>
    <n v="10140"/>
    <s v="KR7010140002"/>
    <x v="29"/>
    <s v="KOSPI"/>
    <n v="28750"/>
    <n v="-1950"/>
    <n v="-6.35"/>
    <n v="30500"/>
    <n v="30500"/>
    <n v="28550"/>
    <n v="7119239"/>
    <n v="207743900725"/>
    <n v="880000000"/>
    <n v="25300000000000"/>
  </r>
  <r>
    <s v="삼성중공업"/>
    <x v="12"/>
    <n v="10140"/>
    <s v="KR7010140002"/>
    <x v="29"/>
    <s v="KOSPI"/>
    <n v="30700"/>
    <n v="-150"/>
    <n v="-0.49"/>
    <n v="31200"/>
    <n v="31450"/>
    <n v="29950"/>
    <n v="10586604"/>
    <n v="325353341975"/>
    <n v="880000000"/>
    <n v="27016000000000"/>
  </r>
  <r>
    <s v="삼성중공업"/>
    <x v="13"/>
    <n v="10140"/>
    <s v="KR7010140002"/>
    <x v="29"/>
    <s v="KOSPI"/>
    <n v="30850"/>
    <n v="2050"/>
    <n v="7.12"/>
    <n v="28900"/>
    <n v="30950"/>
    <n v="28700"/>
    <n v="16051728"/>
    <n v="488546727800"/>
    <n v="880000000"/>
    <n v="27148000000000"/>
  </r>
  <r>
    <s v="삼성중공업"/>
    <x v="14"/>
    <n v="10140"/>
    <s v="KR7010140002"/>
    <x v="29"/>
    <s v="KOSPI"/>
    <n v="28800"/>
    <n v="950"/>
    <n v="3.41"/>
    <n v="28400"/>
    <n v="29750"/>
    <n v="28300"/>
    <n v="8783284"/>
    <n v="256386620400"/>
    <n v="880000000"/>
    <n v="25344000000000"/>
  </r>
  <r>
    <s v="삼성중공업"/>
    <x v="15"/>
    <n v="10140"/>
    <s v="KR7010140002"/>
    <x v="29"/>
    <s v="KOSPI"/>
    <n v="27850"/>
    <n v="-700"/>
    <n v="-2.4500000000000002"/>
    <n v="29000"/>
    <n v="29100"/>
    <n v="27050"/>
    <n v="6007838"/>
    <n v="167453921850"/>
    <n v="880000000"/>
    <n v="24508000000000"/>
  </r>
  <r>
    <s v="삼성중공업"/>
    <x v="16"/>
    <n v="10140"/>
    <s v="KR7010140002"/>
    <x v="29"/>
    <s v="KOSPI"/>
    <n v="28550"/>
    <n v="950"/>
    <n v="3.44"/>
    <n v="26600"/>
    <n v="29250"/>
    <n v="26300"/>
    <n v="9475420"/>
    <n v="267048988825"/>
    <n v="880000000"/>
    <n v="25124000000000"/>
  </r>
  <r>
    <s v="삼성중공업"/>
    <x v="17"/>
    <n v="10140"/>
    <s v="KR7010140002"/>
    <x v="29"/>
    <s v="KOSPI"/>
    <n v="27600"/>
    <n v="400"/>
    <n v="1.47"/>
    <n v="26450"/>
    <n v="27800"/>
    <n v="26350"/>
    <n v="4474681"/>
    <n v="121865449025"/>
    <n v="880000000"/>
    <n v="24288000000000"/>
  </r>
  <r>
    <s v="삼성중공업"/>
    <x v="18"/>
    <n v="10140"/>
    <s v="KR7010140002"/>
    <x v="29"/>
    <s v="KOSPI"/>
    <n v="27200"/>
    <n v="3700"/>
    <n v="15.74"/>
    <n v="27000"/>
    <n v="27600"/>
    <n v="25850"/>
    <n v="7460215"/>
    <n v="200855600500"/>
    <n v="880000000"/>
    <n v="23936000000000"/>
  </r>
  <r>
    <s v="삼성중공업"/>
    <x v="19"/>
    <n v="10140"/>
    <s v="KR7010140002"/>
    <x v="29"/>
    <s v="KOSPI"/>
    <n v="23500"/>
    <n v="-4500"/>
    <n v="-16.07"/>
    <n v="26450"/>
    <n v="27000"/>
    <n v="23000"/>
    <n v="9682363"/>
    <n v="240685356400"/>
    <n v="880000000"/>
    <n v="20680000000000"/>
  </r>
  <r>
    <s v="삼성중공업"/>
    <x v="20"/>
    <n v="10140"/>
    <s v="KR7010140002"/>
    <x v="29"/>
    <s v="KOSPI"/>
    <n v="28000"/>
    <n v="-950"/>
    <n v="-3.28"/>
    <n v="29000"/>
    <n v="29850"/>
    <n v="27800"/>
    <n v="8079601"/>
    <n v="233327656550"/>
    <n v="880000000"/>
    <n v="24640000000000"/>
  </r>
  <r>
    <s v="삼성중공업"/>
    <x v="21"/>
    <n v="10140"/>
    <s v="KR7010140002"/>
    <x v="29"/>
    <s v="KOSPI"/>
    <n v="28950"/>
    <n v="250"/>
    <n v="0.87"/>
    <n v="28950"/>
    <n v="29500"/>
    <n v="28850"/>
    <n v="5960960"/>
    <n v="173530005200"/>
    <n v="880000000"/>
    <n v="25476000000000"/>
  </r>
  <r>
    <s v="삼성중공업"/>
    <x v="22"/>
    <n v="10140"/>
    <s v="KR7010140002"/>
    <x v="29"/>
    <s v="KOSPI"/>
    <n v="28700"/>
    <n v="-250"/>
    <n v="-0.86"/>
    <n v="29000"/>
    <n v="29000"/>
    <n v="28300"/>
    <n v="3985120"/>
    <n v="113981518275"/>
    <n v="880000000"/>
    <n v="25256000000000"/>
  </r>
  <r>
    <s v="삼성중공업"/>
    <x v="23"/>
    <n v="10140"/>
    <s v="KR7010140002"/>
    <x v="29"/>
    <s v="KOSPI"/>
    <n v="28950"/>
    <n v="-50"/>
    <n v="-0.17"/>
    <n v="29300"/>
    <n v="29300"/>
    <n v="28800"/>
    <n v="3242793"/>
    <n v="94130520225"/>
    <n v="880000000"/>
    <n v="25476000000000"/>
  </r>
  <r>
    <s v="삼성중공업"/>
    <x v="24"/>
    <n v="10140"/>
    <s v="KR7010140002"/>
    <x v="29"/>
    <s v="KOSPI"/>
    <n v="29000"/>
    <n v="-250"/>
    <n v="-0.85"/>
    <n v="28950"/>
    <n v="29000"/>
    <n v="28350"/>
    <n v="3285653"/>
    <n v="94565953950"/>
    <n v="880000000"/>
    <n v="25520000000000"/>
  </r>
  <r>
    <s v="삼성중공업"/>
    <x v="25"/>
    <n v="10140"/>
    <s v="KR7010140002"/>
    <x v="29"/>
    <s v="KOSPI"/>
    <n v="29250"/>
    <n v="-250"/>
    <n v="-0.85"/>
    <n v="29800"/>
    <n v="29850"/>
    <n v="29000"/>
    <n v="3901161"/>
    <n v="114230929550"/>
    <n v="880000000"/>
    <n v="25740000000000"/>
  </r>
  <r>
    <s v="삼성중공업"/>
    <x v="26"/>
    <n v="10140"/>
    <s v="KR7010140002"/>
    <x v="29"/>
    <s v="KOSPI"/>
    <n v="29500"/>
    <n v="600"/>
    <n v="2.08"/>
    <n v="29250"/>
    <n v="29550"/>
    <n v="28650"/>
    <n v="4746560"/>
    <n v="138548342700"/>
    <n v="880000000"/>
    <n v="25960000000000"/>
  </r>
  <r>
    <s v="삼성중공업"/>
    <x v="27"/>
    <n v="10140"/>
    <s v="KR7010140002"/>
    <x v="29"/>
    <s v="KOSPI"/>
    <n v="28900"/>
    <n v="1200"/>
    <n v="4.33"/>
    <n v="28350"/>
    <n v="29050"/>
    <n v="28300"/>
    <n v="4320725"/>
    <n v="124642674925"/>
    <n v="880000000"/>
    <n v="25432000000000"/>
  </r>
  <r>
    <s v="삼성중공업"/>
    <x v="28"/>
    <n v="10140"/>
    <s v="KR7010140002"/>
    <x v="29"/>
    <s v="KOSPI"/>
    <n v="27700"/>
    <n v="-450"/>
    <n v="-1.6"/>
    <n v="27750"/>
    <n v="28000"/>
    <n v="27450"/>
    <n v="4016587"/>
    <n v="111443380700"/>
    <n v="880000000"/>
    <n v="24376000000000"/>
  </r>
  <r>
    <s v="삼성중공업"/>
    <x v="29"/>
    <n v="10140"/>
    <s v="KR7010140002"/>
    <x v="29"/>
    <s v="KOSPI"/>
    <n v="28150"/>
    <n v="150"/>
    <n v="0.54"/>
    <n v="28150"/>
    <n v="28200"/>
    <n v="27800"/>
    <n v="3276405"/>
    <n v="91933636675"/>
    <n v="880000000"/>
    <n v="24772000000000"/>
  </r>
  <r>
    <s v="삼성중공업"/>
    <x v="30"/>
    <n v="10140"/>
    <s v="KR7010140002"/>
    <x v="29"/>
    <s v="KOSPI"/>
    <n v="28000"/>
    <n v="150"/>
    <n v="0.54"/>
    <n v="28050"/>
    <n v="28300"/>
    <n v="27500"/>
    <n v="3056046"/>
    <n v="85623702375"/>
    <n v="880000000"/>
    <n v="24640000000000"/>
  </r>
  <r>
    <s v="삼성중공업"/>
    <x v="31"/>
    <n v="10140"/>
    <s v="KR7010140002"/>
    <x v="29"/>
    <s v="KOSPI"/>
    <n v="27850"/>
    <n v="-100"/>
    <n v="-0.36"/>
    <n v="28450"/>
    <n v="28750"/>
    <n v="27800"/>
    <n v="3195433"/>
    <n v="89706687725"/>
    <n v="880000000"/>
    <n v="24508000000000"/>
  </r>
  <r>
    <s v="삼성중공업"/>
    <x v="32"/>
    <n v="10140"/>
    <s v="KR7010140002"/>
    <x v="29"/>
    <s v="KOSPI"/>
    <n v="27950"/>
    <n v="450"/>
    <n v="1.64"/>
    <n v="28450"/>
    <n v="28450"/>
    <n v="27550"/>
    <n v="3048535"/>
    <n v="85367215375"/>
    <n v="880000000"/>
    <n v="24596000000000"/>
  </r>
  <r>
    <s v="삼성중공업"/>
    <x v="33"/>
    <n v="10140"/>
    <s v="KR7010140002"/>
    <x v="29"/>
    <s v="KOSPI"/>
    <n v="27500"/>
    <n v="-600"/>
    <n v="-2.14"/>
    <n v="27200"/>
    <n v="27800"/>
    <n v="26500"/>
    <n v="4132311"/>
    <n v="112379745375"/>
    <n v="880000000"/>
    <n v="24200000000000"/>
  </r>
  <r>
    <s v="삼성중공업"/>
    <x v="34"/>
    <n v="10140"/>
    <s v="KR7010140002"/>
    <x v="29"/>
    <s v="KOSPI"/>
    <n v="28100"/>
    <n v="-1150"/>
    <n v="-3.93"/>
    <n v="28950"/>
    <n v="29500"/>
    <n v="28000"/>
    <n v="4561981"/>
    <n v="129872157225"/>
    <n v="880000000"/>
    <n v="24728000000000"/>
  </r>
  <r>
    <s v="삼성중공업"/>
    <x v="35"/>
    <n v="10140"/>
    <s v="KR7010140002"/>
    <x v="29"/>
    <s v="KOSPI"/>
    <n v="29250"/>
    <n v="600"/>
    <n v="2.09"/>
    <n v="28950"/>
    <n v="29400"/>
    <n v="28650"/>
    <n v="3808979"/>
    <n v="110825297425"/>
    <n v="880000000"/>
    <n v="25740000000000"/>
  </r>
  <r>
    <s v="삼성중공업"/>
    <x v="36"/>
    <n v="10140"/>
    <s v="KR7010140002"/>
    <x v="29"/>
    <s v="KOSPI"/>
    <n v="28650"/>
    <n v="1250"/>
    <n v="4.5599999999999996"/>
    <n v="28250"/>
    <n v="28650"/>
    <n v="27550"/>
    <n v="4349684"/>
    <n v="122737982226"/>
    <n v="880000000"/>
    <n v="25212000000000"/>
  </r>
  <r>
    <s v="삼성중공업"/>
    <x v="37"/>
    <n v="10140"/>
    <s v="KR7010140002"/>
    <x v="29"/>
    <s v="KOSPI"/>
    <n v="27400"/>
    <n v="-2050"/>
    <n v="-6.96"/>
    <n v="29000"/>
    <n v="29050"/>
    <n v="27050"/>
    <n v="7867505"/>
    <n v="219948810825"/>
    <n v="880000000"/>
    <n v="24112000000000"/>
  </r>
  <r>
    <s v="삼성중공업"/>
    <x v="38"/>
    <n v="10140"/>
    <s v="KR7010140002"/>
    <x v="29"/>
    <s v="KOSPI"/>
    <n v="29450"/>
    <n v="-350"/>
    <n v="-1.17"/>
    <n v="29950"/>
    <n v="30050"/>
    <n v="29300"/>
    <n v="4581402"/>
    <n v="135293615900"/>
    <n v="880000000"/>
    <n v="25916000000000"/>
  </r>
  <r>
    <s v="삼성중공업"/>
    <x v="39"/>
    <n v="10140"/>
    <s v="KR7010140002"/>
    <x v="29"/>
    <s v="KOSPI"/>
    <n v="29800"/>
    <n v="-400"/>
    <n v="-1.32"/>
    <n v="30050"/>
    <n v="30050"/>
    <n v="29100"/>
    <n v="5954094"/>
    <n v="175910406575"/>
    <n v="880000000"/>
    <n v="26224000000000"/>
  </r>
  <r>
    <s v="삼성중공업"/>
    <x v="40"/>
    <n v="10140"/>
    <s v="KR7010140002"/>
    <x v="29"/>
    <s v="KOSPI"/>
    <n v="30200"/>
    <n v="-100"/>
    <n v="-0.33"/>
    <n v="30250"/>
    <n v="30450"/>
    <n v="29700"/>
    <n v="5186699"/>
    <n v="155814865625"/>
    <n v="880000000"/>
    <n v="26576000000000"/>
  </r>
  <r>
    <s v="삼성중공업"/>
    <x v="41"/>
    <n v="10140"/>
    <s v="KR7010140002"/>
    <x v="29"/>
    <s v="KOSPI"/>
    <n v="30300"/>
    <n v="400"/>
    <n v="1.34"/>
    <n v="30350"/>
    <n v="30650"/>
    <n v="29550"/>
    <n v="5506371"/>
    <n v="166142071775"/>
    <n v="880000000"/>
    <n v="26664000000000"/>
  </r>
  <r>
    <s v="삼성중공업"/>
    <x v="42"/>
    <n v="10140"/>
    <s v="KR7010140002"/>
    <x v="29"/>
    <s v="KOSPI"/>
    <n v="29900"/>
    <n v="-500"/>
    <n v="-1.64"/>
    <n v="30650"/>
    <n v="30750"/>
    <n v="29850"/>
    <n v="4473843"/>
    <n v="134748794475"/>
    <n v="880000000"/>
    <n v="26312000000000"/>
  </r>
  <r>
    <s v="삼성중공업"/>
    <x v="43"/>
    <n v="10140"/>
    <s v="KR7010140002"/>
    <x v="29"/>
    <s v="KOSPI"/>
    <n v="30400"/>
    <n v="300"/>
    <n v="1"/>
    <n v="30250"/>
    <n v="31000"/>
    <n v="30100"/>
    <n v="5169454"/>
    <n v="157815500139"/>
    <n v="880000000"/>
    <n v="26752000000000"/>
  </r>
  <r>
    <s v="삼성중공업"/>
    <x v="44"/>
    <n v="10140"/>
    <s v="KR7010140002"/>
    <x v="29"/>
    <s v="KOSPI"/>
    <n v="30100"/>
    <n v="-450"/>
    <n v="-1.47"/>
    <n v="31200"/>
    <n v="31250"/>
    <n v="29850"/>
    <n v="6333894"/>
    <n v="191838253625"/>
    <n v="880000000"/>
    <n v="26488000000000"/>
  </r>
  <r>
    <s v="삼성중공업"/>
    <x v="45"/>
    <n v="10140"/>
    <s v="KR7010140002"/>
    <x v="29"/>
    <s v="KOSPI"/>
    <n v="30550"/>
    <n v="-300"/>
    <n v="-0.97"/>
    <n v="29750"/>
    <n v="31050"/>
    <n v="29750"/>
    <n v="6837329"/>
    <n v="208321633375"/>
    <n v="880000000"/>
    <n v="26884000000000"/>
  </r>
  <r>
    <s v="삼성중공업"/>
    <x v="46"/>
    <n v="10140"/>
    <s v="KR7010140002"/>
    <x v="29"/>
    <s v="KOSPI"/>
    <n v="30850"/>
    <n v="-1000"/>
    <n v="-3.14"/>
    <n v="31400"/>
    <n v="31750"/>
    <n v="30450"/>
    <n v="7879206"/>
    <n v="243867953500"/>
    <n v="880000000"/>
    <n v="27148000000000"/>
  </r>
  <r>
    <s v="삼성중공업"/>
    <x v="47"/>
    <n v="10140"/>
    <s v="KR7010140002"/>
    <x v="29"/>
    <s v="KOSPI"/>
    <n v="31850"/>
    <n v="2100"/>
    <n v="7.06"/>
    <n v="30200"/>
    <n v="32000"/>
    <n v="30000"/>
    <n v="13986259"/>
    <n v="438676060200"/>
    <n v="880000000"/>
    <n v="28028000000000"/>
  </r>
  <r>
    <s v="삼성중공업"/>
    <x v="48"/>
    <n v="10140"/>
    <s v="KR7010140002"/>
    <x v="29"/>
    <s v="KOSPI"/>
    <n v="29750"/>
    <n v="-400"/>
    <n v="-1.33"/>
    <n v="30350"/>
    <n v="30400"/>
    <n v="29350"/>
    <n v="7707931"/>
    <n v="228730774125"/>
    <n v="880000000"/>
    <n v="26180000000000"/>
  </r>
  <r>
    <s v="삼성중공업"/>
    <x v="49"/>
    <n v="10140"/>
    <s v="KR7010140002"/>
    <x v="29"/>
    <s v="KOSPI"/>
    <n v="30150"/>
    <n v="1800"/>
    <n v="6.35"/>
    <n v="28700"/>
    <n v="30350"/>
    <n v="28200"/>
    <n v="14217617"/>
    <n v="423947939775"/>
    <n v="880000000"/>
    <n v="26532000000000"/>
  </r>
  <r>
    <s v="삼성중공업"/>
    <x v="50"/>
    <n v="10140"/>
    <s v="KR7010140002"/>
    <x v="29"/>
    <s v="KOSPI"/>
    <n v="28350"/>
    <n v="-600"/>
    <n v="-2.0699999999999998"/>
    <n v="28800"/>
    <n v="29800"/>
    <n v="28100"/>
    <n v="7752081"/>
    <n v="222692197100"/>
    <n v="880000000"/>
    <n v="24948000000000"/>
  </r>
  <r>
    <s v="삼성중공업"/>
    <x v="51"/>
    <n v="10140"/>
    <s v="KR7010140002"/>
    <x v="29"/>
    <s v="KOSPI"/>
    <n v="28950"/>
    <n v="800"/>
    <n v="2.84"/>
    <n v="28350"/>
    <n v="29100"/>
    <n v="28050"/>
    <n v="7973542"/>
    <n v="228114556275"/>
    <n v="880000000"/>
    <n v="25476000000000"/>
  </r>
  <r>
    <s v="삼성중공업"/>
    <x v="52"/>
    <n v="10140"/>
    <s v="KR7010140002"/>
    <x v="29"/>
    <s v="KOSPI"/>
    <n v="28150"/>
    <n v="-500"/>
    <n v="-1.75"/>
    <n v="28500"/>
    <n v="28500"/>
    <n v="27700"/>
    <n v="8383206"/>
    <n v="235487399150"/>
    <n v="880000000"/>
    <n v="24772000000000"/>
  </r>
  <r>
    <s v="삼성중공업"/>
    <x v="53"/>
    <n v="10140"/>
    <s v="KR7010140002"/>
    <x v="29"/>
    <s v="KOSPI"/>
    <n v="28650"/>
    <n v="2300"/>
    <n v="8.73"/>
    <n v="26700"/>
    <n v="28650"/>
    <n v="26350"/>
    <n v="17655455"/>
    <n v="493077046550"/>
    <n v="880000000"/>
    <n v="25212000000000"/>
  </r>
  <r>
    <s v="삼성중공업"/>
    <x v="54"/>
    <n v="10140"/>
    <s v="KR7010140002"/>
    <x v="29"/>
    <s v="KOSPI"/>
    <n v="26350"/>
    <n v="1000"/>
    <n v="3.94"/>
    <n v="25500"/>
    <n v="26600"/>
    <n v="25300"/>
    <n v="10106706"/>
    <n v="265873919700"/>
    <n v="880000000"/>
    <n v="23188000000000"/>
  </r>
  <r>
    <s v="삼성중공업"/>
    <x v="55"/>
    <n v="10140"/>
    <s v="KR7010140002"/>
    <x v="29"/>
    <s v="KOSPI"/>
    <n v="25350"/>
    <n v="550"/>
    <n v="2.2200000000000002"/>
    <n v="24850"/>
    <n v="26250"/>
    <n v="24700"/>
    <n v="9461120"/>
    <n v="241956181925"/>
    <n v="880000000"/>
    <n v="22308000000000"/>
  </r>
  <r>
    <s v="삼성중공업"/>
    <x v="56"/>
    <n v="10140"/>
    <s v="KR7010140002"/>
    <x v="29"/>
    <s v="KOSPI"/>
    <n v="24800"/>
    <n v="350"/>
    <n v="1.43"/>
    <n v="24600"/>
    <n v="24900"/>
    <n v="24250"/>
    <n v="4174024"/>
    <n v="102949638775"/>
    <n v="880000000"/>
    <n v="21824000000000"/>
  </r>
  <r>
    <s v="삼성중공업"/>
    <x v="57"/>
    <n v="10140"/>
    <s v="KR7010140002"/>
    <x v="29"/>
    <s v="KOSPI"/>
    <n v="24450"/>
    <n v="300"/>
    <n v="1.24"/>
    <n v="24000"/>
    <n v="24600"/>
    <n v="23850"/>
    <n v="4850792"/>
    <n v="117910973800"/>
    <n v="880000000"/>
    <n v="21516000000000"/>
  </r>
  <r>
    <s v="삼성중공업"/>
    <x v="58"/>
    <n v="10140"/>
    <s v="KR7010140002"/>
    <x v="29"/>
    <s v="KOSPI"/>
    <n v="24150"/>
    <n v="50"/>
    <n v="0.21"/>
    <n v="24200"/>
    <n v="24300"/>
    <n v="23700"/>
    <n v="3718965"/>
    <n v="89069844875"/>
    <n v="880000000"/>
    <n v="21252000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A7E2B-61CD-472A-B3A2-85F155A5AAC3}" name="피벗 테이블1" cacheId="0" applyNumberFormats="0" applyBorderFormats="0" applyFontFormats="0" applyPatternFormats="0" applyAlignmentFormats="0" applyWidthHeightFormats="1" dataCaption="값" updatedVersion="8" minRefreshableVersion="3" useAutoFormatting="1" rowGrandTotals="0" colGrandTotals="0" itemPrintTitles="1" createdVersion="8" indent="0" outline="1" outlineData="1" multipleFieldFilters="0">
  <location ref="A3:BH34" firstHeaderRow="1" firstDataRow="2" firstDataCol="1"/>
  <pivotFields count="16">
    <pivotField showAll="0"/>
    <pivotField axis="axisCol" showAll="0">
      <items count="60"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axis="axisRow" showAll="0">
      <items count="31">
        <item x="25"/>
        <item x="20"/>
        <item x="10"/>
        <item x="9"/>
        <item x="3"/>
        <item x="21"/>
        <item x="24"/>
        <item x="6"/>
        <item x="1"/>
        <item x="22"/>
        <item x="8"/>
        <item x="7"/>
        <item x="18"/>
        <item x="16"/>
        <item x="14"/>
        <item x="5"/>
        <item x="12"/>
        <item x="19"/>
        <item x="0"/>
        <item x="29"/>
        <item x="11"/>
        <item x="13"/>
        <item x="23"/>
        <item x="26"/>
        <item x="28"/>
        <item x="27"/>
        <item x="4"/>
        <item x="15"/>
        <item x="17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rowItems>
  <colFields count="1">
    <field x="1"/>
  </colFields>
  <col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</colItems>
  <dataFields count="1">
    <dataField name="합계 : clpr" fld="6" baseField="0" baseItem="0" numFmtId="177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D0480-6804-47ED-95E7-BA36BE34B38B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AF64" firstHeaderRow="1" firstDataRow="2" firstDataCol="1"/>
  <pivotFields count="16">
    <pivotField showAll="0"/>
    <pivotField axis="axisRow" showAll="0">
      <items count="60"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axis="axisCol" showAll="0">
      <items count="31">
        <item x="25"/>
        <item x="20"/>
        <item x="10"/>
        <item x="9"/>
        <item x="3"/>
        <item x="21"/>
        <item x="24"/>
        <item x="6"/>
        <item x="1"/>
        <item x="22"/>
        <item x="8"/>
        <item x="7"/>
        <item x="18"/>
        <item x="16"/>
        <item x="14"/>
        <item x="5"/>
        <item x="12"/>
        <item x="19"/>
        <item x="0"/>
        <item x="29"/>
        <item x="11"/>
        <item x="13"/>
        <item x="23"/>
        <item x="26"/>
        <item x="28"/>
        <item x="27"/>
        <item x="4"/>
        <item x="15"/>
        <item x="17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1">
    <field x="4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dataFields count="1">
    <dataField name="합계 : clpr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BD3C096-5FD2-43F2-9DCE-C473F59FFAB2}" autoFormatId="16" applyNumberFormats="0" applyBorderFormats="0" applyFontFormats="0" applyPatternFormats="0" applyAlignmentFormats="0" applyWidthHeightFormats="0">
  <queryTableRefresh nextId="17">
    <queryTableFields count="16">
      <queryTableField id="1" name="열1" tableColumnId="1"/>
      <queryTableField id="2" name="basDt" tableColumnId="2"/>
      <queryTableField id="3" name="srtnCd" tableColumnId="3"/>
      <queryTableField id="4" name="isinCd" tableColumnId="4"/>
      <queryTableField id="5" name="itmsNm" tableColumnId="5"/>
      <queryTableField id="6" name="mrktCtg" tableColumnId="6"/>
      <queryTableField id="7" name="clpr" tableColumnId="7"/>
      <queryTableField id="8" name="vs" tableColumnId="8"/>
      <queryTableField id="9" name="fltRt" tableColumnId="9"/>
      <queryTableField id="10" name="mkp" tableColumnId="10"/>
      <queryTableField id="11" name="hipr" tableColumnId="11"/>
      <queryTableField id="12" name="lopr" tableColumnId="12"/>
      <queryTableField id="13" name="trqu" tableColumnId="13"/>
      <queryTableField id="14" name="trPrc" tableColumnId="14"/>
      <queryTableField id="15" name="lstgStCnt" tableColumnId="15"/>
      <queryTableField id="16" name="mrktTotAmt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493D031-5E00-4577-B1EF-E072D68D3CC7}" autoFormatId="16" applyNumberFormats="0" applyBorderFormats="0" applyFontFormats="0" applyPatternFormats="0" applyAlignmentFormats="0" applyWidthHeightFormats="0">
  <queryTableRefresh nextId="22">
    <queryTableFields count="21">
      <queryTableField id="1" name="basDt" tableColumnId="1"/>
      <queryTableField id="2" name="idxNm" tableColumnId="2"/>
      <queryTableField id="3" name="idxCsf" tableColumnId="3"/>
      <queryTableField id="4" name="epyItmsCnt" tableColumnId="4"/>
      <queryTableField id="5" name="clpr" tableColumnId="5"/>
      <queryTableField id="6" name="vs" tableColumnId="6"/>
      <queryTableField id="7" name="fltRt" tableColumnId="7"/>
      <queryTableField id="8" name="mkp" tableColumnId="8"/>
      <queryTableField id="9" name="hipr" tableColumnId="9"/>
      <queryTableField id="10" name="lopr" tableColumnId="10"/>
      <queryTableField id="11" name="trqu" tableColumnId="11"/>
      <queryTableField id="12" name="trPrc" tableColumnId="12"/>
      <queryTableField id="13" name="lstgMrktTotAmt" tableColumnId="13"/>
      <queryTableField id="14" name="lsYrEdVsFltRg" tableColumnId="14"/>
      <queryTableField id="15" name="lsYrEdVsFltRt" tableColumnId="15"/>
      <queryTableField id="16" name="yrWRcrdHgst" tableColumnId="16"/>
      <queryTableField id="17" name="yrWRcrdHgstDt" tableColumnId="17"/>
      <queryTableField id="18" name="yrWRcrdLwst" tableColumnId="18"/>
      <queryTableField id="19" name="yrWRcrdLwstDt" tableColumnId="19"/>
      <queryTableField id="20" name="basPntm" tableColumnId="20"/>
      <queryTableField id="21" name="basIdx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4C98A9-9A7A-4A55-AA2A-8D6851C17161}" name="테이블" displayName="테이블" ref="A1:P1861" tableType="queryTable" totalsRowShown="0">
  <autoFilter ref="A1:P1861" xr:uid="{714C98A9-9A7A-4A55-AA2A-8D6851C17161}"/>
  <tableColumns count="16">
    <tableColumn id="1" xr3:uid="{9FEDA7F9-67D6-481A-94FF-A57C04647BEF}" uniqueName="1" name="열1" queryTableFieldId="1" dataDxfId="3"/>
    <tableColumn id="2" xr3:uid="{EB73B847-2B55-4F23-9D12-0355E665D7DE}" uniqueName="2" name="basDt" queryTableFieldId="2"/>
    <tableColumn id="3" xr3:uid="{B5134B4F-22AF-4B58-A99B-DC3D2C00FDD5}" uniqueName="3" name="srtnCd" queryTableFieldId="3"/>
    <tableColumn id="4" xr3:uid="{A1968E8A-4FE3-4E61-89B9-AABCFDAEC724}" uniqueName="4" name="isinCd" queryTableFieldId="4"/>
    <tableColumn id="5" xr3:uid="{C794A36B-C053-49D5-BCF8-E30838A2A006}" uniqueName="5" name="itmsNm" queryTableFieldId="5"/>
    <tableColumn id="6" xr3:uid="{52D6EC1E-C9EA-41CB-908C-2D08A60552B6}" uniqueName="6" name="mrktCtg" queryTableFieldId="6"/>
    <tableColumn id="7" xr3:uid="{8340AE72-16CA-4C0E-AF24-12AC48393F03}" uniqueName="7" name="clpr" queryTableFieldId="7"/>
    <tableColumn id="8" xr3:uid="{0BB2EE78-1FA1-499B-987C-600DA50BEF0A}" uniqueName="8" name="vs" queryTableFieldId="8"/>
    <tableColumn id="9" xr3:uid="{35477195-2E61-4288-896E-72D4EEA98059}" uniqueName="9" name="fltRt" queryTableFieldId="9"/>
    <tableColumn id="10" xr3:uid="{9E17FD94-0B9F-48C3-B9E1-BCA349108B56}" uniqueName="10" name="mkp" queryTableFieldId="10"/>
    <tableColumn id="11" xr3:uid="{76F3F839-BC03-42A8-8625-450B695425BD}" uniqueName="11" name="hipr" queryTableFieldId="11"/>
    <tableColumn id="12" xr3:uid="{8A353BCD-DBB0-4655-A4CA-5207F5DBCA02}" uniqueName="12" name="lopr" queryTableFieldId="12"/>
    <tableColumn id="13" xr3:uid="{96AD5B08-ED3B-4BA2-946B-7D480B1837C0}" uniqueName="13" name="trqu" queryTableFieldId="13"/>
    <tableColumn id="14" xr3:uid="{CCB61A2C-0278-4A16-A6A8-31FF6370B3D5}" uniqueName="14" name="trPrc" queryTableFieldId="14"/>
    <tableColumn id="15" xr3:uid="{76925BD8-79F9-4B18-AE7B-06176B6D54AE}" uniqueName="15" name="lstgStCnt" queryTableFieldId="15"/>
    <tableColumn id="16" xr3:uid="{133F89E6-DFB9-4F21-B6F2-082545E962EC}" uniqueName="16" name="mrktTotAmt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5791BB-55DE-4F0C-865F-E4006D77F3F9}" name="표_body__2" displayName="표_body__2" ref="A1:U63" tableType="queryTable" totalsRowShown="0">
  <autoFilter ref="A1:U63" xr:uid="{0E5791BB-55DE-4F0C-865F-E4006D77F3F9}"/>
  <tableColumns count="21">
    <tableColumn id="1" xr3:uid="{4A28296A-339A-48EA-9D09-53FFA0F216FB}" uniqueName="1" name="basDt" queryTableFieldId="1"/>
    <tableColumn id="2" xr3:uid="{1D382055-CA05-4581-9F36-09A76A080369}" uniqueName="2" name="idxNm" queryTableFieldId="2" dataDxfId="1"/>
    <tableColumn id="3" xr3:uid="{2C8D5131-B9EF-45C1-92B6-D10B812056C9}" uniqueName="3" name="idxCsf" queryTableFieldId="3" dataDxfId="0"/>
    <tableColumn id="4" xr3:uid="{76A3B3F1-015D-4600-8E16-C797F5587D23}" uniqueName="4" name="epyItmsCnt" queryTableFieldId="4"/>
    <tableColumn id="5" xr3:uid="{E215B655-7B8E-4C14-A01C-7816244E2F15}" uniqueName="5" name="clpr" queryTableFieldId="5"/>
    <tableColumn id="6" xr3:uid="{364DF031-6F14-4BE3-9258-8A796A5A4D5C}" uniqueName="6" name="vs" queryTableFieldId="6"/>
    <tableColumn id="7" xr3:uid="{CB26D1FE-64D8-4B03-90ED-B12669CDB670}" uniqueName="7" name="fltRt" queryTableFieldId="7"/>
    <tableColumn id="8" xr3:uid="{1123F2AF-66EB-43B8-8F16-FEAC65B70678}" uniqueName="8" name="mkp" queryTableFieldId="8"/>
    <tableColumn id="9" xr3:uid="{704809F6-6ABE-485B-913B-76FEB77C637E}" uniqueName="9" name="hipr" queryTableFieldId="9"/>
    <tableColumn id="10" xr3:uid="{F89C0F72-0B7F-4D11-B67F-56B746C01248}" uniqueName="10" name="lopr" queryTableFieldId="10"/>
    <tableColumn id="11" xr3:uid="{088BCEB9-2F04-42BF-835D-1D077710AD44}" uniqueName="11" name="trqu" queryTableFieldId="11"/>
    <tableColumn id="12" xr3:uid="{E65DCAAB-AA14-4723-85F0-D34DEB0C31A2}" uniqueName="12" name="trPrc" queryTableFieldId="12"/>
    <tableColumn id="13" xr3:uid="{7334FE91-7D22-4371-88EA-E4CC6764FE77}" uniqueName="13" name="lstgMrktTotAmt" queryTableFieldId="13"/>
    <tableColumn id="14" xr3:uid="{081A2BF2-8436-41D0-B904-7C7ECB6BF19B}" uniqueName="14" name="lsYrEdVsFltRg" queryTableFieldId="14"/>
    <tableColumn id="15" xr3:uid="{8276C448-E0B0-41B2-B5B6-CF74F54817BF}" uniqueName="15" name="lsYrEdVsFltRt" queryTableFieldId="15"/>
    <tableColumn id="16" xr3:uid="{3E8CF7D9-A09C-4CCB-AEE8-6C7414CE7211}" uniqueName="16" name="yrWRcrdHgst" queryTableFieldId="16"/>
    <tableColumn id="17" xr3:uid="{167F43E0-886F-4869-9FC1-AD19392FBFE2}" uniqueName="17" name="yrWRcrdHgstDt" queryTableFieldId="17"/>
    <tableColumn id="18" xr3:uid="{84A33D25-E89E-403B-BBDD-336D55246150}" uniqueName="18" name="yrWRcrdLwst" queryTableFieldId="18"/>
    <tableColumn id="19" xr3:uid="{3F33A42D-EFA3-4C5D-8BDE-1BBE908A7301}" uniqueName="19" name="yrWRcrdLwstDt" queryTableFieldId="19"/>
    <tableColumn id="20" xr3:uid="{0B8E09B1-76C7-4448-B011-CB315A45E419}" uniqueName="20" name="basPntm" queryTableFieldId="20"/>
    <tableColumn id="21" xr3:uid="{8FF870B9-CDE2-46E5-BBFB-C91A4629F999}" uniqueName="21" name="basIdx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9150-DD30-419B-BDA6-8924E21B1330}">
  <dimension ref="A1:P1861"/>
  <sheetViews>
    <sheetView workbookViewId="0">
      <selection activeCell="J16" sqref="J16"/>
    </sheetView>
  </sheetViews>
  <sheetFormatPr baseColWidth="10" defaultColWidth="8.83203125" defaultRowHeight="17"/>
  <cols>
    <col min="1" max="1" width="18.33203125" bestFit="1" customWidth="1"/>
    <col min="2" max="2" width="9.33203125" bestFit="1" customWidth="1"/>
    <col min="3" max="3" width="8.83203125" bestFit="1" customWidth="1"/>
    <col min="4" max="4" width="13.83203125" bestFit="1" customWidth="1"/>
    <col min="5" max="5" width="18.33203125" bestFit="1" customWidth="1"/>
    <col min="6" max="6" width="10.33203125" bestFit="1" customWidth="1"/>
    <col min="7" max="7" width="8.33203125" bestFit="1" customWidth="1"/>
    <col min="8" max="8" width="8.1640625" bestFit="1" customWidth="1"/>
    <col min="9" max="9" width="7.1640625" bestFit="1" customWidth="1"/>
    <col min="10" max="12" width="8.33203125" bestFit="1" customWidth="1"/>
    <col min="13" max="13" width="9.33203125" bestFit="1" customWidth="1"/>
    <col min="14" max="14" width="12.83203125" bestFit="1" customWidth="1"/>
    <col min="15" max="15" width="11.5" bestFit="1" customWidth="1"/>
    <col min="16" max="16" width="14.1640625" bestFit="1" customWidth="1"/>
  </cols>
  <sheetData>
    <row r="1" spans="1:16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16</v>
      </c>
      <c r="B2">
        <v>20260403</v>
      </c>
      <c r="C2">
        <v>5930</v>
      </c>
      <c r="D2" t="s">
        <v>15</v>
      </c>
      <c r="E2" t="s">
        <v>16</v>
      </c>
      <c r="F2" t="s">
        <v>17</v>
      </c>
      <c r="G2">
        <v>186200</v>
      </c>
      <c r="H2">
        <v>7800</v>
      </c>
      <c r="I2">
        <v>4.37</v>
      </c>
      <c r="J2">
        <v>184200</v>
      </c>
      <c r="K2">
        <v>187200</v>
      </c>
      <c r="L2">
        <v>182700</v>
      </c>
      <c r="M2">
        <v>20194447</v>
      </c>
      <c r="N2">
        <v>3744696012200</v>
      </c>
      <c r="O2">
        <v>5919637922</v>
      </c>
      <c r="P2">
        <v>1102236581076400</v>
      </c>
    </row>
    <row r="3" spans="1:16">
      <c r="A3" t="s">
        <v>16</v>
      </c>
      <c r="B3">
        <v>20260402</v>
      </c>
      <c r="C3">
        <v>5930</v>
      </c>
      <c r="D3" t="s">
        <v>15</v>
      </c>
      <c r="E3" t="s">
        <v>16</v>
      </c>
      <c r="F3" t="s">
        <v>17</v>
      </c>
      <c r="G3">
        <v>178400</v>
      </c>
      <c r="H3">
        <v>-11200</v>
      </c>
      <c r="I3">
        <v>-5.91</v>
      </c>
      <c r="J3">
        <v>192600</v>
      </c>
      <c r="K3">
        <v>193600</v>
      </c>
      <c r="L3">
        <v>175000</v>
      </c>
      <c r="M3">
        <v>38615231</v>
      </c>
      <c r="N3">
        <v>7050417527620</v>
      </c>
      <c r="O3">
        <v>5919637922</v>
      </c>
      <c r="P3">
        <v>1056063405284800</v>
      </c>
    </row>
    <row r="4" spans="1:16">
      <c r="A4" t="s">
        <v>16</v>
      </c>
      <c r="B4">
        <v>20260401</v>
      </c>
      <c r="C4">
        <v>5930</v>
      </c>
      <c r="D4" t="s">
        <v>15</v>
      </c>
      <c r="E4" t="s">
        <v>16</v>
      </c>
      <c r="F4" t="s">
        <v>17</v>
      </c>
      <c r="G4">
        <v>189600</v>
      </c>
      <c r="H4">
        <v>22400</v>
      </c>
      <c r="I4">
        <v>13.4</v>
      </c>
      <c r="J4">
        <v>179000</v>
      </c>
      <c r="K4">
        <v>190800</v>
      </c>
      <c r="L4">
        <v>178000</v>
      </c>
      <c r="M4">
        <v>32390251</v>
      </c>
      <c r="N4">
        <v>5977939247100</v>
      </c>
      <c r="O4">
        <v>5919637922</v>
      </c>
      <c r="P4">
        <v>1122363350011200</v>
      </c>
    </row>
    <row r="5" spans="1:16">
      <c r="A5" t="s">
        <v>16</v>
      </c>
      <c r="B5">
        <v>20260331</v>
      </c>
      <c r="C5">
        <v>5930</v>
      </c>
      <c r="D5" t="s">
        <v>15</v>
      </c>
      <c r="E5" t="s">
        <v>16</v>
      </c>
      <c r="F5" t="s">
        <v>17</v>
      </c>
      <c r="G5">
        <v>167200</v>
      </c>
      <c r="H5">
        <v>-9100</v>
      </c>
      <c r="I5">
        <v>-5.16</v>
      </c>
      <c r="J5">
        <v>170000</v>
      </c>
      <c r="K5">
        <v>174700</v>
      </c>
      <c r="L5">
        <v>167000</v>
      </c>
      <c r="M5">
        <v>38659593</v>
      </c>
      <c r="N5">
        <v>6548712356756</v>
      </c>
      <c r="O5">
        <v>5919637922</v>
      </c>
      <c r="P5">
        <v>989763460558400</v>
      </c>
    </row>
    <row r="6" spans="1:16">
      <c r="A6" t="s">
        <v>16</v>
      </c>
      <c r="B6">
        <v>20260330</v>
      </c>
      <c r="C6">
        <v>5930</v>
      </c>
      <c r="D6" t="s">
        <v>15</v>
      </c>
      <c r="E6" t="s">
        <v>16</v>
      </c>
      <c r="F6" t="s">
        <v>17</v>
      </c>
      <c r="G6">
        <v>176300</v>
      </c>
      <c r="H6">
        <v>-3400</v>
      </c>
      <c r="I6">
        <v>-1.89</v>
      </c>
      <c r="J6">
        <v>171000</v>
      </c>
      <c r="K6">
        <v>176650</v>
      </c>
      <c r="L6">
        <v>170600</v>
      </c>
      <c r="M6">
        <v>22269147</v>
      </c>
      <c r="N6">
        <v>3880271308850</v>
      </c>
      <c r="O6">
        <v>5919637922</v>
      </c>
      <c r="P6">
        <v>1043632165648600</v>
      </c>
    </row>
    <row r="7" spans="1:16">
      <c r="A7" t="s">
        <v>16</v>
      </c>
      <c r="B7">
        <v>20260327</v>
      </c>
      <c r="C7">
        <v>5930</v>
      </c>
      <c r="D7" t="s">
        <v>15</v>
      </c>
      <c r="E7" t="s">
        <v>16</v>
      </c>
      <c r="F7" t="s">
        <v>17</v>
      </c>
      <c r="G7">
        <v>179700</v>
      </c>
      <c r="H7">
        <v>-400</v>
      </c>
      <c r="I7">
        <v>-0.22</v>
      </c>
      <c r="J7">
        <v>172100</v>
      </c>
      <c r="K7">
        <v>181700</v>
      </c>
      <c r="L7">
        <v>172000</v>
      </c>
      <c r="M7">
        <v>29138966</v>
      </c>
      <c r="N7">
        <v>5118700219500</v>
      </c>
      <c r="O7">
        <v>5919637922</v>
      </c>
      <c r="P7">
        <v>1063758934583400</v>
      </c>
    </row>
    <row r="8" spans="1:16">
      <c r="A8" t="s">
        <v>16</v>
      </c>
      <c r="B8">
        <v>20260326</v>
      </c>
      <c r="C8">
        <v>5930</v>
      </c>
      <c r="D8" t="s">
        <v>15</v>
      </c>
      <c r="E8" t="s">
        <v>16</v>
      </c>
      <c r="F8" t="s">
        <v>17</v>
      </c>
      <c r="G8">
        <v>180100</v>
      </c>
      <c r="H8">
        <v>-8900</v>
      </c>
      <c r="I8">
        <v>-4.71</v>
      </c>
      <c r="J8">
        <v>185500</v>
      </c>
      <c r="K8">
        <v>185900</v>
      </c>
      <c r="L8">
        <v>178900</v>
      </c>
      <c r="M8">
        <v>32074131</v>
      </c>
      <c r="N8">
        <v>5841688287442</v>
      </c>
      <c r="O8">
        <v>5919637922</v>
      </c>
      <c r="P8">
        <v>1066126789752200</v>
      </c>
    </row>
    <row r="9" spans="1:16">
      <c r="A9" t="s">
        <v>16</v>
      </c>
      <c r="B9">
        <v>20260325</v>
      </c>
      <c r="C9">
        <v>5930</v>
      </c>
      <c r="D9" t="s">
        <v>15</v>
      </c>
      <c r="E9" t="s">
        <v>16</v>
      </c>
      <c r="F9" t="s">
        <v>17</v>
      </c>
      <c r="G9">
        <v>189000</v>
      </c>
      <c r="H9">
        <v>-700</v>
      </c>
      <c r="I9">
        <v>-0.37</v>
      </c>
      <c r="J9">
        <v>193700</v>
      </c>
      <c r="K9">
        <v>196400</v>
      </c>
      <c r="L9">
        <v>189000</v>
      </c>
      <c r="M9">
        <v>22995904</v>
      </c>
      <c r="N9">
        <v>4435819603528</v>
      </c>
      <c r="O9">
        <v>5919637922</v>
      </c>
      <c r="P9">
        <v>1118811567258000</v>
      </c>
    </row>
    <row r="10" spans="1:16">
      <c r="A10" t="s">
        <v>16</v>
      </c>
      <c r="B10">
        <v>20260324</v>
      </c>
      <c r="C10">
        <v>5930</v>
      </c>
      <c r="D10" t="s">
        <v>15</v>
      </c>
      <c r="E10" t="s">
        <v>16</v>
      </c>
      <c r="F10" t="s">
        <v>17</v>
      </c>
      <c r="G10">
        <v>189700</v>
      </c>
      <c r="H10">
        <v>3400</v>
      </c>
      <c r="I10">
        <v>1.83</v>
      </c>
      <c r="J10">
        <v>195500</v>
      </c>
      <c r="K10">
        <v>196000</v>
      </c>
      <c r="L10">
        <v>185500</v>
      </c>
      <c r="M10">
        <v>25458914</v>
      </c>
      <c r="N10">
        <v>4835356609343</v>
      </c>
      <c r="O10">
        <v>5919637922</v>
      </c>
      <c r="P10">
        <v>1122955313803400</v>
      </c>
    </row>
    <row r="11" spans="1:16">
      <c r="A11" t="s">
        <v>16</v>
      </c>
      <c r="B11">
        <v>20260323</v>
      </c>
      <c r="C11">
        <v>5930</v>
      </c>
      <c r="D11" t="s">
        <v>15</v>
      </c>
      <c r="E11" t="s">
        <v>16</v>
      </c>
      <c r="F11" t="s">
        <v>17</v>
      </c>
      <c r="G11">
        <v>186300</v>
      </c>
      <c r="H11">
        <v>-13100</v>
      </c>
      <c r="I11">
        <v>-6.57</v>
      </c>
      <c r="J11">
        <v>190500</v>
      </c>
      <c r="K11">
        <v>191200</v>
      </c>
      <c r="L11">
        <v>186300</v>
      </c>
      <c r="M11">
        <v>30268173</v>
      </c>
      <c r="N11">
        <v>5706605720650</v>
      </c>
      <c r="O11">
        <v>5919637922</v>
      </c>
      <c r="P11">
        <v>1102828544868600</v>
      </c>
    </row>
    <row r="12" spans="1:16">
      <c r="A12" t="s">
        <v>16</v>
      </c>
      <c r="B12">
        <v>20260320</v>
      </c>
      <c r="C12">
        <v>5930</v>
      </c>
      <c r="D12" t="s">
        <v>15</v>
      </c>
      <c r="E12" t="s">
        <v>16</v>
      </c>
      <c r="F12" t="s">
        <v>17</v>
      </c>
      <c r="G12">
        <v>199400</v>
      </c>
      <c r="H12">
        <v>-1100</v>
      </c>
      <c r="I12">
        <v>-0.55000000000000004</v>
      </c>
      <c r="J12">
        <v>202000</v>
      </c>
      <c r="K12">
        <v>202500</v>
      </c>
      <c r="L12">
        <v>199000</v>
      </c>
      <c r="M12">
        <v>35279762</v>
      </c>
      <c r="N12">
        <v>7019725077866</v>
      </c>
      <c r="O12">
        <v>5919637922</v>
      </c>
      <c r="P12">
        <v>1180375801646800</v>
      </c>
    </row>
    <row r="13" spans="1:16">
      <c r="A13" t="s">
        <v>16</v>
      </c>
      <c r="B13">
        <v>20260319</v>
      </c>
      <c r="C13">
        <v>5930</v>
      </c>
      <c r="D13" t="s">
        <v>15</v>
      </c>
      <c r="E13" t="s">
        <v>16</v>
      </c>
      <c r="F13" t="s">
        <v>17</v>
      </c>
      <c r="G13">
        <v>200500</v>
      </c>
      <c r="H13">
        <v>-8000</v>
      </c>
      <c r="I13">
        <v>-3.84</v>
      </c>
      <c r="J13">
        <v>199900</v>
      </c>
      <c r="K13">
        <v>205000</v>
      </c>
      <c r="L13">
        <v>199600</v>
      </c>
      <c r="M13">
        <v>19884483</v>
      </c>
      <c r="N13">
        <v>4004086336015</v>
      </c>
      <c r="O13">
        <v>5919637922</v>
      </c>
      <c r="P13">
        <v>1186887403361000</v>
      </c>
    </row>
    <row r="14" spans="1:16">
      <c r="A14" t="s">
        <v>16</v>
      </c>
      <c r="B14">
        <v>20260318</v>
      </c>
      <c r="C14">
        <v>5930</v>
      </c>
      <c r="D14" t="s">
        <v>15</v>
      </c>
      <c r="E14" t="s">
        <v>16</v>
      </c>
      <c r="F14" t="s">
        <v>17</v>
      </c>
      <c r="G14">
        <v>208500</v>
      </c>
      <c r="H14">
        <v>14600</v>
      </c>
      <c r="I14">
        <v>7.53</v>
      </c>
      <c r="J14">
        <v>200500</v>
      </c>
      <c r="K14">
        <v>209000</v>
      </c>
      <c r="L14">
        <v>199700</v>
      </c>
      <c r="M14">
        <v>25148481</v>
      </c>
      <c r="N14">
        <v>5153010769813</v>
      </c>
      <c r="O14">
        <v>5919637922</v>
      </c>
      <c r="P14">
        <v>1234244506737000</v>
      </c>
    </row>
    <row r="15" spans="1:16">
      <c r="A15" t="s">
        <v>16</v>
      </c>
      <c r="B15">
        <v>20260317</v>
      </c>
      <c r="C15">
        <v>5930</v>
      </c>
      <c r="D15" t="s">
        <v>15</v>
      </c>
      <c r="E15" t="s">
        <v>16</v>
      </c>
      <c r="F15" t="s">
        <v>17</v>
      </c>
      <c r="G15">
        <v>193900</v>
      </c>
      <c r="H15">
        <v>5200</v>
      </c>
      <c r="I15">
        <v>2.76</v>
      </c>
      <c r="J15">
        <v>198000</v>
      </c>
      <c r="K15">
        <v>198000</v>
      </c>
      <c r="L15">
        <v>193100</v>
      </c>
      <c r="M15">
        <v>20300082</v>
      </c>
      <c r="N15">
        <v>3978920227090</v>
      </c>
      <c r="O15">
        <v>5919637922</v>
      </c>
      <c r="P15">
        <v>1147817793075800</v>
      </c>
    </row>
    <row r="16" spans="1:16">
      <c r="A16" t="s">
        <v>16</v>
      </c>
      <c r="B16">
        <v>20260316</v>
      </c>
      <c r="C16">
        <v>5930</v>
      </c>
      <c r="D16" t="s">
        <v>15</v>
      </c>
      <c r="E16" t="s">
        <v>16</v>
      </c>
      <c r="F16" t="s">
        <v>17</v>
      </c>
      <c r="G16">
        <v>188700</v>
      </c>
      <c r="H16">
        <v>5200</v>
      </c>
      <c r="I16">
        <v>2.83</v>
      </c>
      <c r="J16">
        <v>184600</v>
      </c>
      <c r="K16">
        <v>189000</v>
      </c>
      <c r="L16">
        <v>183600</v>
      </c>
      <c r="M16">
        <v>19747901</v>
      </c>
      <c r="N16">
        <v>3683740429900</v>
      </c>
      <c r="O16">
        <v>5919637922</v>
      </c>
      <c r="P16">
        <v>1117035675881400</v>
      </c>
    </row>
    <row r="17" spans="1:16">
      <c r="A17" t="s">
        <v>16</v>
      </c>
      <c r="B17">
        <v>20260313</v>
      </c>
      <c r="C17">
        <v>5930</v>
      </c>
      <c r="D17" t="s">
        <v>15</v>
      </c>
      <c r="E17" t="s">
        <v>16</v>
      </c>
      <c r="F17" t="s">
        <v>17</v>
      </c>
      <c r="G17">
        <v>183500</v>
      </c>
      <c r="H17">
        <v>-4400</v>
      </c>
      <c r="I17">
        <v>-2.34</v>
      </c>
      <c r="J17">
        <v>180000</v>
      </c>
      <c r="K17">
        <v>186200</v>
      </c>
      <c r="L17">
        <v>179900</v>
      </c>
      <c r="M17">
        <v>19566331</v>
      </c>
      <c r="N17">
        <v>3585430274050</v>
      </c>
      <c r="O17">
        <v>5919637922</v>
      </c>
      <c r="P17">
        <v>1086253558687000</v>
      </c>
    </row>
    <row r="18" spans="1:16">
      <c r="A18" t="s">
        <v>16</v>
      </c>
      <c r="B18">
        <v>20260312</v>
      </c>
      <c r="C18">
        <v>5930</v>
      </c>
      <c r="D18" t="s">
        <v>15</v>
      </c>
      <c r="E18" t="s">
        <v>16</v>
      </c>
      <c r="F18" t="s">
        <v>17</v>
      </c>
      <c r="G18">
        <v>187900</v>
      </c>
      <c r="H18">
        <v>-2100</v>
      </c>
      <c r="I18">
        <v>-1.1100000000000001</v>
      </c>
      <c r="J18">
        <v>186600</v>
      </c>
      <c r="K18">
        <v>190000</v>
      </c>
      <c r="L18">
        <v>185900</v>
      </c>
      <c r="M18">
        <v>20440753</v>
      </c>
      <c r="N18">
        <v>3832551376350</v>
      </c>
      <c r="O18">
        <v>5919637922</v>
      </c>
      <c r="P18">
        <v>1112299965543800</v>
      </c>
    </row>
    <row r="19" spans="1:16">
      <c r="A19" t="s">
        <v>16</v>
      </c>
      <c r="B19">
        <v>20260311</v>
      </c>
      <c r="C19">
        <v>5930</v>
      </c>
      <c r="D19" t="s">
        <v>15</v>
      </c>
      <c r="E19" t="s">
        <v>16</v>
      </c>
      <c r="F19" t="s">
        <v>17</v>
      </c>
      <c r="G19">
        <v>190000</v>
      </c>
      <c r="H19">
        <v>2100</v>
      </c>
      <c r="I19">
        <v>1.1200000000000001</v>
      </c>
      <c r="J19">
        <v>193000</v>
      </c>
      <c r="K19">
        <v>194800</v>
      </c>
      <c r="L19">
        <v>187700</v>
      </c>
      <c r="M19">
        <v>24311356</v>
      </c>
      <c r="N19">
        <v>4666941226006</v>
      </c>
      <c r="O19">
        <v>5919637922</v>
      </c>
      <c r="P19">
        <v>1124731205180000</v>
      </c>
    </row>
    <row r="20" spans="1:16">
      <c r="A20" t="s">
        <v>16</v>
      </c>
      <c r="B20">
        <v>20260310</v>
      </c>
      <c r="C20">
        <v>5930</v>
      </c>
      <c r="D20" t="s">
        <v>15</v>
      </c>
      <c r="E20" t="s">
        <v>16</v>
      </c>
      <c r="F20" t="s">
        <v>17</v>
      </c>
      <c r="G20">
        <v>187900</v>
      </c>
      <c r="H20">
        <v>14400</v>
      </c>
      <c r="I20">
        <v>8.3000000000000007</v>
      </c>
      <c r="J20">
        <v>187600</v>
      </c>
      <c r="K20">
        <v>191500</v>
      </c>
      <c r="L20">
        <v>184300</v>
      </c>
      <c r="M20">
        <v>33530170</v>
      </c>
      <c r="N20">
        <v>6302732324178</v>
      </c>
      <c r="O20">
        <v>5919637922</v>
      </c>
      <c r="P20">
        <v>1112299965543800</v>
      </c>
    </row>
    <row r="21" spans="1:16">
      <c r="A21" t="s">
        <v>16</v>
      </c>
      <c r="B21">
        <v>20260309</v>
      </c>
      <c r="C21">
        <v>5930</v>
      </c>
      <c r="D21" t="s">
        <v>15</v>
      </c>
      <c r="E21" t="s">
        <v>16</v>
      </c>
      <c r="F21" t="s">
        <v>17</v>
      </c>
      <c r="G21">
        <v>173500</v>
      </c>
      <c r="H21">
        <v>-14700</v>
      </c>
      <c r="I21">
        <v>-7.81</v>
      </c>
      <c r="J21">
        <v>173500</v>
      </c>
      <c r="K21">
        <v>175500</v>
      </c>
      <c r="L21">
        <v>167300</v>
      </c>
      <c r="M21">
        <v>43066020</v>
      </c>
      <c r="N21">
        <v>7376525851300</v>
      </c>
      <c r="O21">
        <v>5919637922</v>
      </c>
      <c r="P21">
        <v>1027057179467000</v>
      </c>
    </row>
    <row r="22" spans="1:16">
      <c r="A22" t="s">
        <v>16</v>
      </c>
      <c r="B22">
        <v>20260306</v>
      </c>
      <c r="C22">
        <v>5930</v>
      </c>
      <c r="D22" t="s">
        <v>15</v>
      </c>
      <c r="E22" t="s">
        <v>16</v>
      </c>
      <c r="F22" t="s">
        <v>17</v>
      </c>
      <c r="G22">
        <v>188200</v>
      </c>
      <c r="H22">
        <v>-3400</v>
      </c>
      <c r="I22">
        <v>-1.77</v>
      </c>
      <c r="J22">
        <v>186100</v>
      </c>
      <c r="K22">
        <v>189700</v>
      </c>
      <c r="L22">
        <v>181000</v>
      </c>
      <c r="M22">
        <v>29522650</v>
      </c>
      <c r="N22">
        <v>5496089060945</v>
      </c>
      <c r="O22">
        <v>5919637922</v>
      </c>
      <c r="P22">
        <v>1114075856920400</v>
      </c>
    </row>
    <row r="23" spans="1:16">
      <c r="A23" t="s">
        <v>16</v>
      </c>
      <c r="B23">
        <v>20260305</v>
      </c>
      <c r="C23">
        <v>5930</v>
      </c>
      <c r="D23" t="s">
        <v>15</v>
      </c>
      <c r="E23" t="s">
        <v>16</v>
      </c>
      <c r="F23" t="s">
        <v>17</v>
      </c>
      <c r="G23">
        <v>191600</v>
      </c>
      <c r="H23">
        <v>19400</v>
      </c>
      <c r="I23">
        <v>11.27</v>
      </c>
      <c r="J23">
        <v>195000</v>
      </c>
      <c r="K23">
        <v>199700</v>
      </c>
      <c r="L23">
        <v>188100</v>
      </c>
      <c r="M23">
        <v>53959129</v>
      </c>
      <c r="N23">
        <v>10462445865266</v>
      </c>
      <c r="O23">
        <v>5919637922</v>
      </c>
      <c r="P23">
        <v>1134202625855200</v>
      </c>
    </row>
    <row r="24" spans="1:16">
      <c r="A24" t="s">
        <v>16</v>
      </c>
      <c r="B24">
        <v>20260304</v>
      </c>
      <c r="C24">
        <v>5930</v>
      </c>
      <c r="D24" t="s">
        <v>15</v>
      </c>
      <c r="E24" t="s">
        <v>16</v>
      </c>
      <c r="F24" t="s">
        <v>17</v>
      </c>
      <c r="G24">
        <v>172200</v>
      </c>
      <c r="H24">
        <v>-22900</v>
      </c>
      <c r="I24">
        <v>-11.74</v>
      </c>
      <c r="J24">
        <v>184200</v>
      </c>
      <c r="K24">
        <v>195900</v>
      </c>
      <c r="L24">
        <v>171900</v>
      </c>
      <c r="M24">
        <v>89427954</v>
      </c>
      <c r="N24">
        <v>16229744915194</v>
      </c>
      <c r="O24">
        <v>5919637922</v>
      </c>
      <c r="P24">
        <v>1019361650168400</v>
      </c>
    </row>
    <row r="25" spans="1:16">
      <c r="A25" t="s">
        <v>16</v>
      </c>
      <c r="B25">
        <v>20260303</v>
      </c>
      <c r="C25">
        <v>5930</v>
      </c>
      <c r="D25" t="s">
        <v>15</v>
      </c>
      <c r="E25" t="s">
        <v>16</v>
      </c>
      <c r="F25" t="s">
        <v>17</v>
      </c>
      <c r="G25">
        <v>195100</v>
      </c>
      <c r="H25">
        <v>-21400</v>
      </c>
      <c r="I25">
        <v>-9.8800000000000008</v>
      </c>
      <c r="J25">
        <v>209500</v>
      </c>
      <c r="K25">
        <v>212500</v>
      </c>
      <c r="L25">
        <v>195100</v>
      </c>
      <c r="M25">
        <v>54879010</v>
      </c>
      <c r="N25">
        <v>11170451485750</v>
      </c>
      <c r="O25">
        <v>5919637922</v>
      </c>
      <c r="P25">
        <v>1154921358582200</v>
      </c>
    </row>
    <row r="26" spans="1:16">
      <c r="A26" t="s">
        <v>16</v>
      </c>
      <c r="B26">
        <v>20260227</v>
      </c>
      <c r="C26">
        <v>5930</v>
      </c>
      <c r="D26" t="s">
        <v>15</v>
      </c>
      <c r="E26" t="s">
        <v>16</v>
      </c>
      <c r="F26" t="s">
        <v>17</v>
      </c>
      <c r="G26">
        <v>216500</v>
      </c>
      <c r="H26">
        <v>-1500</v>
      </c>
      <c r="I26">
        <v>-0.69</v>
      </c>
      <c r="J26">
        <v>210000</v>
      </c>
      <c r="K26">
        <v>223000</v>
      </c>
      <c r="L26">
        <v>210000</v>
      </c>
      <c r="M26">
        <v>51774768</v>
      </c>
      <c r="N26">
        <v>11194972800735</v>
      </c>
      <c r="O26">
        <v>5919637922</v>
      </c>
      <c r="P26">
        <v>1281601610113000</v>
      </c>
    </row>
    <row r="27" spans="1:16">
      <c r="A27" t="s">
        <v>16</v>
      </c>
      <c r="B27">
        <v>20260226</v>
      </c>
      <c r="C27">
        <v>5930</v>
      </c>
      <c r="D27" t="s">
        <v>15</v>
      </c>
      <c r="E27" t="s">
        <v>16</v>
      </c>
      <c r="F27" t="s">
        <v>17</v>
      </c>
      <c r="G27">
        <v>218000</v>
      </c>
      <c r="H27">
        <v>14500</v>
      </c>
      <c r="I27">
        <v>7.13</v>
      </c>
      <c r="J27">
        <v>206500</v>
      </c>
      <c r="K27">
        <v>219000</v>
      </c>
      <c r="L27">
        <v>206000</v>
      </c>
      <c r="M27">
        <v>30095763</v>
      </c>
      <c r="N27">
        <v>6451865963088</v>
      </c>
      <c r="O27">
        <v>5919637922</v>
      </c>
      <c r="P27">
        <v>1290481066996000</v>
      </c>
    </row>
    <row r="28" spans="1:16">
      <c r="A28" t="s">
        <v>16</v>
      </c>
      <c r="B28">
        <v>20260225</v>
      </c>
      <c r="C28">
        <v>5930</v>
      </c>
      <c r="D28" t="s">
        <v>15</v>
      </c>
      <c r="E28" t="s">
        <v>16</v>
      </c>
      <c r="F28" t="s">
        <v>17</v>
      </c>
      <c r="G28">
        <v>203500</v>
      </c>
      <c r="H28">
        <v>3500</v>
      </c>
      <c r="I28">
        <v>1.75</v>
      </c>
      <c r="J28">
        <v>202500</v>
      </c>
      <c r="K28">
        <v>206000</v>
      </c>
      <c r="L28">
        <v>201000</v>
      </c>
      <c r="M28">
        <v>26987996</v>
      </c>
      <c r="N28">
        <v>5474225346566</v>
      </c>
      <c r="O28">
        <v>5919637922</v>
      </c>
      <c r="P28">
        <v>1204646317127000</v>
      </c>
    </row>
    <row r="29" spans="1:16">
      <c r="A29" t="s">
        <v>16</v>
      </c>
      <c r="B29">
        <v>20260224</v>
      </c>
      <c r="C29">
        <v>5930</v>
      </c>
      <c r="D29" t="s">
        <v>15</v>
      </c>
      <c r="E29" t="s">
        <v>16</v>
      </c>
      <c r="F29" t="s">
        <v>17</v>
      </c>
      <c r="G29">
        <v>200000</v>
      </c>
      <c r="H29">
        <v>7000</v>
      </c>
      <c r="I29">
        <v>3.63</v>
      </c>
      <c r="J29">
        <v>193000</v>
      </c>
      <c r="K29">
        <v>200000</v>
      </c>
      <c r="L29">
        <v>192000</v>
      </c>
      <c r="M29">
        <v>28060617</v>
      </c>
      <c r="N29">
        <v>5538097526208</v>
      </c>
      <c r="O29">
        <v>5919637922</v>
      </c>
      <c r="P29">
        <v>1183927584400000</v>
      </c>
    </row>
    <row r="30" spans="1:16">
      <c r="A30" t="s">
        <v>16</v>
      </c>
      <c r="B30">
        <v>20260223</v>
      </c>
      <c r="C30">
        <v>5930</v>
      </c>
      <c r="D30" t="s">
        <v>15</v>
      </c>
      <c r="E30" t="s">
        <v>16</v>
      </c>
      <c r="F30" t="s">
        <v>17</v>
      </c>
      <c r="G30">
        <v>193000</v>
      </c>
      <c r="H30">
        <v>2900</v>
      </c>
      <c r="I30">
        <v>1.53</v>
      </c>
      <c r="J30">
        <v>194400</v>
      </c>
      <c r="K30">
        <v>197600</v>
      </c>
      <c r="L30">
        <v>190500</v>
      </c>
      <c r="M30">
        <v>26364684</v>
      </c>
      <c r="N30">
        <v>5107749420482</v>
      </c>
      <c r="O30">
        <v>5919637922</v>
      </c>
      <c r="P30">
        <v>1142490118946000</v>
      </c>
    </row>
    <row r="31" spans="1:16">
      <c r="A31" t="s">
        <v>16</v>
      </c>
      <c r="B31">
        <v>20260220</v>
      </c>
      <c r="C31">
        <v>5930</v>
      </c>
      <c r="D31" t="s">
        <v>15</v>
      </c>
      <c r="E31" t="s">
        <v>16</v>
      </c>
      <c r="F31" t="s">
        <v>17</v>
      </c>
      <c r="G31">
        <v>190100</v>
      </c>
      <c r="H31">
        <v>100</v>
      </c>
      <c r="I31">
        <v>0.05</v>
      </c>
      <c r="J31">
        <v>190000</v>
      </c>
      <c r="K31">
        <v>190300</v>
      </c>
      <c r="L31">
        <v>188600</v>
      </c>
      <c r="M31">
        <v>24213880</v>
      </c>
      <c r="N31">
        <v>4591033033030</v>
      </c>
      <c r="O31">
        <v>5919637922</v>
      </c>
      <c r="P31">
        <v>1125323168972200</v>
      </c>
    </row>
    <row r="32" spans="1:16">
      <c r="A32" t="s">
        <v>16</v>
      </c>
      <c r="B32">
        <v>20260219</v>
      </c>
      <c r="C32">
        <v>5930</v>
      </c>
      <c r="D32" t="s">
        <v>15</v>
      </c>
      <c r="E32" t="s">
        <v>16</v>
      </c>
      <c r="F32" t="s">
        <v>17</v>
      </c>
      <c r="G32">
        <v>190000</v>
      </c>
      <c r="H32">
        <v>8800</v>
      </c>
      <c r="I32">
        <v>4.8600000000000003</v>
      </c>
      <c r="J32">
        <v>188000</v>
      </c>
      <c r="K32">
        <v>190900</v>
      </c>
      <c r="L32">
        <v>187100</v>
      </c>
      <c r="M32">
        <v>27049388</v>
      </c>
      <c r="N32">
        <v>5113213353551</v>
      </c>
      <c r="O32">
        <v>5919637922</v>
      </c>
      <c r="P32">
        <v>1124731205180000</v>
      </c>
    </row>
    <row r="33" spans="1:16">
      <c r="A33" t="s">
        <v>16</v>
      </c>
      <c r="B33">
        <v>20260213</v>
      </c>
      <c r="C33">
        <v>5930</v>
      </c>
      <c r="D33" t="s">
        <v>15</v>
      </c>
      <c r="E33" t="s">
        <v>16</v>
      </c>
      <c r="F33" t="s">
        <v>17</v>
      </c>
      <c r="G33">
        <v>181200</v>
      </c>
      <c r="H33">
        <v>2600</v>
      </c>
      <c r="I33">
        <v>1.46</v>
      </c>
      <c r="J33">
        <v>179500</v>
      </c>
      <c r="K33">
        <v>184400</v>
      </c>
      <c r="L33">
        <v>178900</v>
      </c>
      <c r="M33">
        <v>34454192</v>
      </c>
      <c r="N33">
        <v>6257951155967</v>
      </c>
      <c r="O33">
        <v>5919637922</v>
      </c>
      <c r="P33">
        <v>1072638391466400</v>
      </c>
    </row>
    <row r="34" spans="1:16">
      <c r="A34" t="s">
        <v>16</v>
      </c>
      <c r="B34">
        <v>20260212</v>
      </c>
      <c r="C34">
        <v>5930</v>
      </c>
      <c r="D34" t="s">
        <v>15</v>
      </c>
      <c r="E34" t="s">
        <v>16</v>
      </c>
      <c r="F34" t="s">
        <v>17</v>
      </c>
      <c r="G34">
        <v>178600</v>
      </c>
      <c r="H34">
        <v>10800</v>
      </c>
      <c r="I34">
        <v>6.44</v>
      </c>
      <c r="J34">
        <v>171200</v>
      </c>
      <c r="K34">
        <v>179600</v>
      </c>
      <c r="L34">
        <v>170100</v>
      </c>
      <c r="M34">
        <v>41296011</v>
      </c>
      <c r="N34">
        <v>7278300418200</v>
      </c>
      <c r="O34">
        <v>5919637922</v>
      </c>
      <c r="P34">
        <v>1057247332869200</v>
      </c>
    </row>
    <row r="35" spans="1:16">
      <c r="A35" t="s">
        <v>16</v>
      </c>
      <c r="B35">
        <v>20260211</v>
      </c>
      <c r="C35">
        <v>5930</v>
      </c>
      <c r="D35" t="s">
        <v>15</v>
      </c>
      <c r="E35" t="s">
        <v>16</v>
      </c>
      <c r="F35" t="s">
        <v>17</v>
      </c>
      <c r="G35">
        <v>167800</v>
      </c>
      <c r="H35">
        <v>2000</v>
      </c>
      <c r="I35">
        <v>1.21</v>
      </c>
      <c r="J35">
        <v>164000</v>
      </c>
      <c r="K35">
        <v>168600</v>
      </c>
      <c r="L35">
        <v>162000</v>
      </c>
      <c r="M35">
        <v>22760242</v>
      </c>
      <c r="N35">
        <v>3780778982422</v>
      </c>
      <c r="O35">
        <v>5919637922</v>
      </c>
      <c r="P35">
        <v>993315243311600</v>
      </c>
    </row>
    <row r="36" spans="1:16">
      <c r="A36" t="s">
        <v>16</v>
      </c>
      <c r="B36">
        <v>20260210</v>
      </c>
      <c r="C36">
        <v>5930</v>
      </c>
      <c r="D36" t="s">
        <v>15</v>
      </c>
      <c r="E36" t="s">
        <v>16</v>
      </c>
      <c r="F36" t="s">
        <v>17</v>
      </c>
      <c r="G36">
        <v>165800</v>
      </c>
      <c r="H36">
        <v>-600</v>
      </c>
      <c r="I36">
        <v>-0.36</v>
      </c>
      <c r="J36">
        <v>167400</v>
      </c>
      <c r="K36">
        <v>168100</v>
      </c>
      <c r="L36">
        <v>165500</v>
      </c>
      <c r="M36">
        <v>19369566</v>
      </c>
      <c r="N36">
        <v>3230969169642</v>
      </c>
      <c r="O36">
        <v>5919637922</v>
      </c>
      <c r="P36">
        <v>981475967467600</v>
      </c>
    </row>
    <row r="37" spans="1:16">
      <c r="A37" t="s">
        <v>16</v>
      </c>
      <c r="B37">
        <v>20260209</v>
      </c>
      <c r="C37">
        <v>5930</v>
      </c>
      <c r="D37" t="s">
        <v>15</v>
      </c>
      <c r="E37" t="s">
        <v>16</v>
      </c>
      <c r="F37" t="s">
        <v>17</v>
      </c>
      <c r="G37">
        <v>166400</v>
      </c>
      <c r="H37">
        <v>7800</v>
      </c>
      <c r="I37">
        <v>4.92</v>
      </c>
      <c r="J37">
        <v>168600</v>
      </c>
      <c r="K37">
        <v>168700</v>
      </c>
      <c r="L37">
        <v>165000</v>
      </c>
      <c r="M37">
        <v>25098971</v>
      </c>
      <c r="N37">
        <v>4192595399422</v>
      </c>
      <c r="O37">
        <v>5919637922</v>
      </c>
      <c r="P37">
        <v>985027750220800</v>
      </c>
    </row>
    <row r="38" spans="1:16">
      <c r="A38" t="s">
        <v>16</v>
      </c>
      <c r="B38">
        <v>20260206</v>
      </c>
      <c r="C38">
        <v>5930</v>
      </c>
      <c r="D38" t="s">
        <v>15</v>
      </c>
      <c r="E38" t="s">
        <v>16</v>
      </c>
      <c r="F38" t="s">
        <v>17</v>
      </c>
      <c r="G38">
        <v>158600</v>
      </c>
      <c r="H38">
        <v>-700</v>
      </c>
      <c r="I38">
        <v>-0.44</v>
      </c>
      <c r="J38">
        <v>154100</v>
      </c>
      <c r="K38">
        <v>160300</v>
      </c>
      <c r="L38">
        <v>151600</v>
      </c>
      <c r="M38">
        <v>36358081</v>
      </c>
      <c r="N38">
        <v>5664674804196</v>
      </c>
      <c r="O38">
        <v>5919637922</v>
      </c>
      <c r="P38">
        <v>938854574429200</v>
      </c>
    </row>
    <row r="39" spans="1:16">
      <c r="A39" t="s">
        <v>16</v>
      </c>
      <c r="B39">
        <v>20260205</v>
      </c>
      <c r="C39">
        <v>5930</v>
      </c>
      <c r="D39" t="s">
        <v>15</v>
      </c>
      <c r="E39" t="s">
        <v>16</v>
      </c>
      <c r="F39" t="s">
        <v>17</v>
      </c>
      <c r="G39">
        <v>159300</v>
      </c>
      <c r="H39">
        <v>-9800</v>
      </c>
      <c r="I39">
        <v>-5.8</v>
      </c>
      <c r="J39">
        <v>162000</v>
      </c>
      <c r="K39">
        <v>164000</v>
      </c>
      <c r="L39">
        <v>158500</v>
      </c>
      <c r="M39">
        <v>38435228</v>
      </c>
      <c r="N39">
        <v>6197185062736</v>
      </c>
      <c r="O39">
        <v>5919637922</v>
      </c>
      <c r="P39">
        <v>942998320974600</v>
      </c>
    </row>
    <row r="40" spans="1:16">
      <c r="A40" t="s">
        <v>16</v>
      </c>
      <c r="B40">
        <v>20260204</v>
      </c>
      <c r="C40">
        <v>5930</v>
      </c>
      <c r="D40" t="s">
        <v>15</v>
      </c>
      <c r="E40" t="s">
        <v>16</v>
      </c>
      <c r="F40" t="s">
        <v>17</v>
      </c>
      <c r="G40">
        <v>169100</v>
      </c>
      <c r="H40">
        <v>1600</v>
      </c>
      <c r="I40">
        <v>0.96</v>
      </c>
      <c r="J40">
        <v>163500</v>
      </c>
      <c r="K40">
        <v>169400</v>
      </c>
      <c r="L40">
        <v>163100</v>
      </c>
      <c r="M40">
        <v>29943042</v>
      </c>
      <c r="N40">
        <v>4988144010160</v>
      </c>
      <c r="O40">
        <v>5919637922</v>
      </c>
      <c r="P40">
        <v>1001010772610200</v>
      </c>
    </row>
    <row r="41" spans="1:16">
      <c r="A41" t="s">
        <v>16</v>
      </c>
      <c r="B41">
        <v>20260203</v>
      </c>
      <c r="C41">
        <v>5930</v>
      </c>
      <c r="D41" t="s">
        <v>15</v>
      </c>
      <c r="E41" t="s">
        <v>16</v>
      </c>
      <c r="F41" t="s">
        <v>17</v>
      </c>
      <c r="G41">
        <v>167500</v>
      </c>
      <c r="H41">
        <v>17100</v>
      </c>
      <c r="I41">
        <v>11.37</v>
      </c>
      <c r="J41">
        <v>157900</v>
      </c>
      <c r="K41">
        <v>167500</v>
      </c>
      <c r="L41">
        <v>157200</v>
      </c>
      <c r="M41">
        <v>36529813</v>
      </c>
      <c r="N41">
        <v>5927187709457</v>
      </c>
      <c r="O41">
        <v>5919637922</v>
      </c>
      <c r="P41">
        <v>991539351935000</v>
      </c>
    </row>
    <row r="42" spans="1:16">
      <c r="A42" t="s">
        <v>16</v>
      </c>
      <c r="B42">
        <v>20260202</v>
      </c>
      <c r="C42">
        <v>5930</v>
      </c>
      <c r="D42" t="s">
        <v>15</v>
      </c>
      <c r="E42" t="s">
        <v>16</v>
      </c>
      <c r="F42" t="s">
        <v>17</v>
      </c>
      <c r="G42">
        <v>150400</v>
      </c>
      <c r="H42">
        <v>-10100</v>
      </c>
      <c r="I42">
        <v>-6.29</v>
      </c>
      <c r="J42">
        <v>155700</v>
      </c>
      <c r="K42">
        <v>159600</v>
      </c>
      <c r="L42">
        <v>150400</v>
      </c>
      <c r="M42">
        <v>39748369</v>
      </c>
      <c r="N42">
        <v>6135993983450</v>
      </c>
      <c r="O42">
        <v>5919637922</v>
      </c>
      <c r="P42">
        <v>890313543468800</v>
      </c>
    </row>
    <row r="43" spans="1:16">
      <c r="A43" t="s">
        <v>16</v>
      </c>
      <c r="B43">
        <v>20260130</v>
      </c>
      <c r="C43">
        <v>5930</v>
      </c>
      <c r="D43" t="s">
        <v>15</v>
      </c>
      <c r="E43" t="s">
        <v>16</v>
      </c>
      <c r="F43" t="s">
        <v>17</v>
      </c>
      <c r="G43">
        <v>160500</v>
      </c>
      <c r="H43">
        <v>-200</v>
      </c>
      <c r="I43">
        <v>-0.12</v>
      </c>
      <c r="J43">
        <v>160100</v>
      </c>
      <c r="K43">
        <v>166500</v>
      </c>
      <c r="L43">
        <v>160100</v>
      </c>
      <c r="M43">
        <v>40557267</v>
      </c>
      <c r="N43">
        <v>6593450199492</v>
      </c>
      <c r="O43">
        <v>5919637922</v>
      </c>
      <c r="P43">
        <v>950101886481000</v>
      </c>
    </row>
    <row r="44" spans="1:16">
      <c r="A44" t="s">
        <v>16</v>
      </c>
      <c r="B44">
        <v>20260129</v>
      </c>
      <c r="C44">
        <v>5930</v>
      </c>
      <c r="D44" t="s">
        <v>15</v>
      </c>
      <c r="E44" t="s">
        <v>16</v>
      </c>
      <c r="F44" t="s">
        <v>17</v>
      </c>
      <c r="G44">
        <v>160700</v>
      </c>
      <c r="H44">
        <v>-1700</v>
      </c>
      <c r="I44">
        <v>-1.05</v>
      </c>
      <c r="J44">
        <v>166200</v>
      </c>
      <c r="K44">
        <v>166600</v>
      </c>
      <c r="L44">
        <v>157100</v>
      </c>
      <c r="M44">
        <v>36087223</v>
      </c>
      <c r="N44">
        <v>5826870231490</v>
      </c>
      <c r="O44">
        <v>5919637922</v>
      </c>
      <c r="P44">
        <v>951285814065400</v>
      </c>
    </row>
    <row r="45" spans="1:16">
      <c r="A45" t="s">
        <v>16</v>
      </c>
      <c r="B45">
        <v>20260128</v>
      </c>
      <c r="C45">
        <v>5930</v>
      </c>
      <c r="D45" t="s">
        <v>15</v>
      </c>
      <c r="E45" t="s">
        <v>16</v>
      </c>
      <c r="F45" t="s">
        <v>17</v>
      </c>
      <c r="G45">
        <v>162400</v>
      </c>
      <c r="H45">
        <v>2900</v>
      </c>
      <c r="I45">
        <v>1.82</v>
      </c>
      <c r="J45">
        <v>162600</v>
      </c>
      <c r="K45">
        <v>163300</v>
      </c>
      <c r="L45">
        <v>160200</v>
      </c>
      <c r="M45">
        <v>29456431</v>
      </c>
      <c r="N45">
        <v>4772986696538</v>
      </c>
      <c r="O45">
        <v>5919637922</v>
      </c>
      <c r="P45">
        <v>961349198532800</v>
      </c>
    </row>
    <row r="46" spans="1:16">
      <c r="A46" t="s">
        <v>16</v>
      </c>
      <c r="B46">
        <v>20260127</v>
      </c>
      <c r="C46">
        <v>5930</v>
      </c>
      <c r="D46" t="s">
        <v>15</v>
      </c>
      <c r="E46" t="s">
        <v>16</v>
      </c>
      <c r="F46" t="s">
        <v>17</v>
      </c>
      <c r="G46">
        <v>159500</v>
      </c>
      <c r="H46">
        <v>7400</v>
      </c>
      <c r="I46">
        <v>4.87</v>
      </c>
      <c r="J46">
        <v>150500</v>
      </c>
      <c r="K46">
        <v>159500</v>
      </c>
      <c r="L46">
        <v>149200</v>
      </c>
      <c r="M46">
        <v>29423670</v>
      </c>
      <c r="N46">
        <v>4565457606491</v>
      </c>
      <c r="O46">
        <v>5919637922</v>
      </c>
      <c r="P46">
        <v>944182248559000</v>
      </c>
    </row>
    <row r="47" spans="1:16">
      <c r="A47" t="s">
        <v>16</v>
      </c>
      <c r="B47">
        <v>20260126</v>
      </c>
      <c r="C47">
        <v>5930</v>
      </c>
      <c r="D47" t="s">
        <v>15</v>
      </c>
      <c r="E47" t="s">
        <v>16</v>
      </c>
      <c r="F47" t="s">
        <v>17</v>
      </c>
      <c r="G47">
        <v>152100</v>
      </c>
      <c r="H47">
        <v>0</v>
      </c>
      <c r="I47">
        <v>0</v>
      </c>
      <c r="J47">
        <v>154900</v>
      </c>
      <c r="K47">
        <v>156400</v>
      </c>
      <c r="L47">
        <v>151500</v>
      </c>
      <c r="M47">
        <v>20561689</v>
      </c>
      <c r="N47">
        <v>3148408004773</v>
      </c>
      <c r="O47">
        <v>5919637922</v>
      </c>
      <c r="P47">
        <v>900376927936200</v>
      </c>
    </row>
    <row r="48" spans="1:16">
      <c r="A48" t="s">
        <v>16</v>
      </c>
      <c r="B48">
        <v>20260123</v>
      </c>
      <c r="C48">
        <v>5930</v>
      </c>
      <c r="D48" t="s">
        <v>15</v>
      </c>
      <c r="E48" t="s">
        <v>16</v>
      </c>
      <c r="F48" t="s">
        <v>17</v>
      </c>
      <c r="G48">
        <v>152100</v>
      </c>
      <c r="H48">
        <v>-200</v>
      </c>
      <c r="I48">
        <v>-0.13</v>
      </c>
      <c r="J48">
        <v>154700</v>
      </c>
      <c r="K48">
        <v>156000</v>
      </c>
      <c r="L48">
        <v>150100</v>
      </c>
      <c r="M48">
        <v>25407497</v>
      </c>
      <c r="N48">
        <v>3899973965409</v>
      </c>
      <c r="O48">
        <v>5919637922</v>
      </c>
      <c r="P48">
        <v>900376927936200</v>
      </c>
    </row>
    <row r="49" spans="1:16">
      <c r="A49" t="s">
        <v>16</v>
      </c>
      <c r="B49">
        <v>20260122</v>
      </c>
      <c r="C49">
        <v>5930</v>
      </c>
      <c r="D49" t="s">
        <v>15</v>
      </c>
      <c r="E49" t="s">
        <v>16</v>
      </c>
      <c r="F49" t="s">
        <v>17</v>
      </c>
      <c r="G49">
        <v>152300</v>
      </c>
      <c r="H49">
        <v>2800</v>
      </c>
      <c r="I49">
        <v>1.87</v>
      </c>
      <c r="J49">
        <v>155000</v>
      </c>
      <c r="K49">
        <v>157000</v>
      </c>
      <c r="L49">
        <v>150800</v>
      </c>
      <c r="M49">
        <v>32073624</v>
      </c>
      <c r="N49">
        <v>4953546934392</v>
      </c>
      <c r="O49">
        <v>5919637922</v>
      </c>
      <c r="P49">
        <v>901560855520600</v>
      </c>
    </row>
    <row r="50" spans="1:16">
      <c r="A50" t="s">
        <v>16</v>
      </c>
      <c r="B50">
        <v>20260121</v>
      </c>
      <c r="C50">
        <v>5930</v>
      </c>
      <c r="D50" t="s">
        <v>15</v>
      </c>
      <c r="E50" t="s">
        <v>16</v>
      </c>
      <c r="F50" t="s">
        <v>17</v>
      </c>
      <c r="G50">
        <v>149500</v>
      </c>
      <c r="H50">
        <v>4300</v>
      </c>
      <c r="I50">
        <v>2.96</v>
      </c>
      <c r="J50">
        <v>141900</v>
      </c>
      <c r="K50">
        <v>149800</v>
      </c>
      <c r="L50">
        <v>141800</v>
      </c>
      <c r="M50">
        <v>31703610</v>
      </c>
      <c r="N50">
        <v>4679612359030</v>
      </c>
      <c r="O50">
        <v>5919637922</v>
      </c>
      <c r="P50">
        <v>884985869339000</v>
      </c>
    </row>
    <row r="51" spans="1:16">
      <c r="A51" t="s">
        <v>16</v>
      </c>
      <c r="B51">
        <v>20260120</v>
      </c>
      <c r="C51">
        <v>5930</v>
      </c>
      <c r="D51" t="s">
        <v>15</v>
      </c>
      <c r="E51" t="s">
        <v>16</v>
      </c>
      <c r="F51" t="s">
        <v>17</v>
      </c>
      <c r="G51">
        <v>145200</v>
      </c>
      <c r="H51">
        <v>-4100</v>
      </c>
      <c r="I51">
        <v>-2.75</v>
      </c>
      <c r="J51">
        <v>148500</v>
      </c>
      <c r="K51">
        <v>149300</v>
      </c>
      <c r="L51">
        <v>143900</v>
      </c>
      <c r="M51">
        <v>24059218</v>
      </c>
      <c r="N51">
        <v>3512770941586</v>
      </c>
      <c r="O51">
        <v>5919637922</v>
      </c>
      <c r="P51">
        <v>859531426274400</v>
      </c>
    </row>
    <row r="52" spans="1:16">
      <c r="A52" t="s">
        <v>16</v>
      </c>
      <c r="B52">
        <v>20260119</v>
      </c>
      <c r="C52">
        <v>5930</v>
      </c>
      <c r="D52" t="s">
        <v>15</v>
      </c>
      <c r="E52" t="s">
        <v>16</v>
      </c>
      <c r="F52" t="s">
        <v>17</v>
      </c>
      <c r="G52">
        <v>149300</v>
      </c>
      <c r="H52">
        <v>400</v>
      </c>
      <c r="I52">
        <v>0.27</v>
      </c>
      <c r="J52">
        <v>147200</v>
      </c>
      <c r="K52">
        <v>150600</v>
      </c>
      <c r="L52">
        <v>146600</v>
      </c>
      <c r="M52">
        <v>22762497</v>
      </c>
      <c r="N52">
        <v>3381546209135</v>
      </c>
      <c r="O52">
        <v>5919637922</v>
      </c>
      <c r="P52">
        <v>883801941754600</v>
      </c>
    </row>
    <row r="53" spans="1:16">
      <c r="A53" t="s">
        <v>16</v>
      </c>
      <c r="B53">
        <v>20260116</v>
      </c>
      <c r="C53">
        <v>5930</v>
      </c>
      <c r="D53" t="s">
        <v>15</v>
      </c>
      <c r="E53" t="s">
        <v>16</v>
      </c>
      <c r="F53" t="s">
        <v>17</v>
      </c>
      <c r="G53">
        <v>148900</v>
      </c>
      <c r="H53">
        <v>5000</v>
      </c>
      <c r="I53">
        <v>3.47</v>
      </c>
      <c r="J53">
        <v>145300</v>
      </c>
      <c r="K53">
        <v>149500</v>
      </c>
      <c r="L53">
        <v>144300</v>
      </c>
      <c r="M53">
        <v>30000219</v>
      </c>
      <c r="N53">
        <v>4435943361334</v>
      </c>
      <c r="O53">
        <v>5919637922</v>
      </c>
      <c r="P53">
        <v>881434086585800</v>
      </c>
    </row>
    <row r="54" spans="1:16">
      <c r="A54" t="s">
        <v>16</v>
      </c>
      <c r="B54">
        <v>20260115</v>
      </c>
      <c r="C54">
        <v>5930</v>
      </c>
      <c r="D54" t="s">
        <v>15</v>
      </c>
      <c r="E54" t="s">
        <v>16</v>
      </c>
      <c r="F54" t="s">
        <v>17</v>
      </c>
      <c r="G54">
        <v>143900</v>
      </c>
      <c r="H54">
        <v>3600</v>
      </c>
      <c r="I54">
        <v>2.57</v>
      </c>
      <c r="J54">
        <v>139000</v>
      </c>
      <c r="K54">
        <v>144000</v>
      </c>
      <c r="L54">
        <v>138300</v>
      </c>
      <c r="M54">
        <v>24701126</v>
      </c>
      <c r="N54">
        <v>3498249940400</v>
      </c>
      <c r="O54">
        <v>5919637922</v>
      </c>
      <c r="P54">
        <v>851835896975800</v>
      </c>
    </row>
    <row r="55" spans="1:16">
      <c r="A55" t="s">
        <v>16</v>
      </c>
      <c r="B55">
        <v>20260114</v>
      </c>
      <c r="C55">
        <v>5930</v>
      </c>
      <c r="D55" t="s">
        <v>15</v>
      </c>
      <c r="E55" t="s">
        <v>16</v>
      </c>
      <c r="F55" t="s">
        <v>17</v>
      </c>
      <c r="G55">
        <v>140300</v>
      </c>
      <c r="H55">
        <v>2700</v>
      </c>
      <c r="I55">
        <v>1.96</v>
      </c>
      <c r="J55">
        <v>137000</v>
      </c>
      <c r="K55">
        <v>140300</v>
      </c>
      <c r="L55">
        <v>136800</v>
      </c>
      <c r="M55">
        <v>18444394</v>
      </c>
      <c r="N55">
        <v>2569043127288</v>
      </c>
      <c r="O55">
        <v>5919637922</v>
      </c>
      <c r="P55">
        <v>830525200456600</v>
      </c>
    </row>
    <row r="56" spans="1:16">
      <c r="A56" t="s">
        <v>16</v>
      </c>
      <c r="B56">
        <v>20260113</v>
      </c>
      <c r="C56">
        <v>5930</v>
      </c>
      <c r="D56" t="s">
        <v>15</v>
      </c>
      <c r="E56" t="s">
        <v>16</v>
      </c>
      <c r="F56" t="s">
        <v>17</v>
      </c>
      <c r="G56">
        <v>137600</v>
      </c>
      <c r="H56">
        <v>-1200</v>
      </c>
      <c r="I56">
        <v>-0.86</v>
      </c>
      <c r="J56">
        <v>139800</v>
      </c>
      <c r="K56">
        <v>140200</v>
      </c>
      <c r="L56">
        <v>136900</v>
      </c>
      <c r="M56">
        <v>22384699</v>
      </c>
      <c r="N56">
        <v>3095245609050</v>
      </c>
      <c r="O56">
        <v>5919637922</v>
      </c>
      <c r="P56">
        <v>814542178067200</v>
      </c>
    </row>
    <row r="57" spans="1:16">
      <c r="A57" t="s">
        <v>16</v>
      </c>
      <c r="B57">
        <v>20260112</v>
      </c>
      <c r="C57">
        <v>5930</v>
      </c>
      <c r="D57" t="s">
        <v>15</v>
      </c>
      <c r="E57" t="s">
        <v>16</v>
      </c>
      <c r="F57" t="s">
        <v>17</v>
      </c>
      <c r="G57">
        <v>138800</v>
      </c>
      <c r="H57">
        <v>-200</v>
      </c>
      <c r="I57">
        <v>-0.14000000000000001</v>
      </c>
      <c r="J57">
        <v>141000</v>
      </c>
      <c r="K57">
        <v>142000</v>
      </c>
      <c r="L57">
        <v>136900</v>
      </c>
      <c r="M57">
        <v>26271134</v>
      </c>
      <c r="N57">
        <v>3666689780452</v>
      </c>
      <c r="O57">
        <v>5919637922</v>
      </c>
      <c r="P57">
        <v>821645743573600</v>
      </c>
    </row>
    <row r="58" spans="1:16">
      <c r="A58" t="s">
        <v>16</v>
      </c>
      <c r="B58">
        <v>20260109</v>
      </c>
      <c r="C58">
        <v>5930</v>
      </c>
      <c r="D58" t="s">
        <v>15</v>
      </c>
      <c r="E58" t="s">
        <v>16</v>
      </c>
      <c r="F58" t="s">
        <v>17</v>
      </c>
      <c r="G58">
        <v>139000</v>
      </c>
      <c r="H58">
        <v>200</v>
      </c>
      <c r="I58">
        <v>0.14000000000000001</v>
      </c>
      <c r="J58">
        <v>136000</v>
      </c>
      <c r="K58">
        <v>140700</v>
      </c>
      <c r="L58">
        <v>135200</v>
      </c>
      <c r="M58">
        <v>29520566</v>
      </c>
      <c r="N58">
        <v>4069184694850</v>
      </c>
      <c r="O58">
        <v>5919637922</v>
      </c>
      <c r="P58">
        <v>822829671158000</v>
      </c>
    </row>
    <row r="59" spans="1:16">
      <c r="A59" t="s">
        <v>16</v>
      </c>
      <c r="B59">
        <v>20260108</v>
      </c>
      <c r="C59">
        <v>5930</v>
      </c>
      <c r="D59" t="s">
        <v>15</v>
      </c>
      <c r="E59" t="s">
        <v>16</v>
      </c>
      <c r="F59" t="s">
        <v>17</v>
      </c>
      <c r="G59">
        <v>138800</v>
      </c>
      <c r="H59">
        <v>-2200</v>
      </c>
      <c r="I59">
        <v>-1.56</v>
      </c>
      <c r="J59">
        <v>138300</v>
      </c>
      <c r="K59">
        <v>144500</v>
      </c>
      <c r="L59">
        <v>138300</v>
      </c>
      <c r="M59">
        <v>41449329</v>
      </c>
      <c r="N59">
        <v>5840279078975</v>
      </c>
      <c r="O59">
        <v>5919637922</v>
      </c>
      <c r="P59">
        <v>821645743573600</v>
      </c>
    </row>
    <row r="60" spans="1:16">
      <c r="A60" t="s">
        <v>16</v>
      </c>
      <c r="B60">
        <v>20260107</v>
      </c>
      <c r="C60">
        <v>5930</v>
      </c>
      <c r="D60" t="s">
        <v>15</v>
      </c>
      <c r="E60" t="s">
        <v>16</v>
      </c>
      <c r="F60" t="s">
        <v>17</v>
      </c>
      <c r="G60">
        <v>141000</v>
      </c>
      <c r="H60">
        <v>2100</v>
      </c>
      <c r="I60">
        <v>1.51</v>
      </c>
      <c r="J60">
        <v>143500</v>
      </c>
      <c r="K60">
        <v>144400</v>
      </c>
      <c r="L60">
        <v>137600</v>
      </c>
      <c r="M60">
        <v>46317413</v>
      </c>
      <c r="N60">
        <v>6545096281338</v>
      </c>
      <c r="O60">
        <v>5919637922</v>
      </c>
      <c r="P60">
        <v>834668947002000</v>
      </c>
    </row>
    <row r="61" spans="1:16">
      <c r="A61" t="s">
        <v>16</v>
      </c>
      <c r="B61">
        <v>20260106</v>
      </c>
      <c r="C61">
        <v>5930</v>
      </c>
      <c r="D61" t="s">
        <v>15</v>
      </c>
      <c r="E61" t="s">
        <v>16</v>
      </c>
      <c r="F61" t="s">
        <v>17</v>
      </c>
      <c r="G61">
        <v>138900</v>
      </c>
      <c r="H61">
        <v>800</v>
      </c>
      <c r="I61">
        <v>0.57999999999999996</v>
      </c>
      <c r="J61">
        <v>135300</v>
      </c>
      <c r="K61">
        <v>139300</v>
      </c>
      <c r="L61">
        <v>132700</v>
      </c>
      <c r="M61">
        <v>45321341</v>
      </c>
      <c r="N61">
        <v>6156416508326</v>
      </c>
      <c r="O61">
        <v>5919637922</v>
      </c>
      <c r="P61">
        <v>822237707365800</v>
      </c>
    </row>
    <row r="62" spans="1:16">
      <c r="A62" t="s">
        <v>16</v>
      </c>
      <c r="B62">
        <v>20260105</v>
      </c>
      <c r="C62">
        <v>5930</v>
      </c>
      <c r="D62" t="s">
        <v>15</v>
      </c>
      <c r="E62" t="s">
        <v>16</v>
      </c>
      <c r="F62" t="s">
        <v>17</v>
      </c>
      <c r="G62">
        <v>138100</v>
      </c>
      <c r="H62">
        <v>9600</v>
      </c>
      <c r="I62">
        <v>7.47</v>
      </c>
      <c r="J62">
        <v>134600</v>
      </c>
      <c r="K62">
        <v>138600</v>
      </c>
      <c r="L62">
        <v>133600</v>
      </c>
      <c r="M62">
        <v>42863376</v>
      </c>
      <c r="N62">
        <v>5837009498150</v>
      </c>
      <c r="O62">
        <v>5919637922</v>
      </c>
      <c r="P62">
        <v>817501997028200</v>
      </c>
    </row>
    <row r="63" spans="1:16">
      <c r="A63" t="s">
        <v>16</v>
      </c>
      <c r="B63">
        <v>20260102</v>
      </c>
      <c r="C63">
        <v>5930</v>
      </c>
      <c r="D63" t="s">
        <v>15</v>
      </c>
      <c r="E63" t="s">
        <v>16</v>
      </c>
      <c r="F63" t="s">
        <v>17</v>
      </c>
      <c r="G63">
        <v>128500</v>
      </c>
      <c r="H63">
        <v>8600</v>
      </c>
      <c r="I63">
        <v>7.17</v>
      </c>
      <c r="J63">
        <v>120200</v>
      </c>
      <c r="K63">
        <v>128500</v>
      </c>
      <c r="L63">
        <v>120200</v>
      </c>
      <c r="M63">
        <v>30463279</v>
      </c>
      <c r="N63">
        <v>3805940517494</v>
      </c>
      <c r="O63">
        <v>5919637922</v>
      </c>
      <c r="P63">
        <v>760673472977000</v>
      </c>
    </row>
    <row r="64" spans="1:16">
      <c r="A64" t="s">
        <v>19</v>
      </c>
      <c r="B64">
        <v>20260403</v>
      </c>
      <c r="C64">
        <v>660</v>
      </c>
      <c r="D64" t="s">
        <v>20</v>
      </c>
      <c r="E64" t="s">
        <v>19</v>
      </c>
      <c r="F64" t="s">
        <v>17</v>
      </c>
      <c r="G64">
        <v>876000</v>
      </c>
      <c r="H64">
        <v>46000</v>
      </c>
      <c r="I64">
        <v>5.54</v>
      </c>
      <c r="J64">
        <v>867000</v>
      </c>
      <c r="K64">
        <v>886000</v>
      </c>
      <c r="L64">
        <v>860000</v>
      </c>
      <c r="M64">
        <v>2927164</v>
      </c>
      <c r="N64">
        <v>2564699182000</v>
      </c>
      <c r="O64">
        <v>712702365</v>
      </c>
      <c r="P64">
        <v>624327271740000</v>
      </c>
    </row>
    <row r="65" spans="1:16">
      <c r="A65" t="s">
        <v>19</v>
      </c>
      <c r="B65">
        <v>20260402</v>
      </c>
      <c r="C65">
        <v>660</v>
      </c>
      <c r="D65" t="s">
        <v>20</v>
      </c>
      <c r="E65" t="s">
        <v>19</v>
      </c>
      <c r="F65" t="s">
        <v>17</v>
      </c>
      <c r="G65">
        <v>830000</v>
      </c>
      <c r="H65">
        <v>-63000</v>
      </c>
      <c r="I65">
        <v>-7.05</v>
      </c>
      <c r="J65">
        <v>912000</v>
      </c>
      <c r="K65">
        <v>914000</v>
      </c>
      <c r="L65">
        <v>818000</v>
      </c>
      <c r="M65">
        <v>6127534</v>
      </c>
      <c r="N65">
        <v>5258223773100</v>
      </c>
      <c r="O65">
        <v>712702365</v>
      </c>
      <c r="P65">
        <v>591542962950000</v>
      </c>
    </row>
    <row r="66" spans="1:16">
      <c r="A66" t="s">
        <v>19</v>
      </c>
      <c r="B66">
        <v>20260401</v>
      </c>
      <c r="C66">
        <v>660</v>
      </c>
      <c r="D66" t="s">
        <v>20</v>
      </c>
      <c r="E66" t="s">
        <v>19</v>
      </c>
      <c r="F66" t="s">
        <v>17</v>
      </c>
      <c r="G66">
        <v>893000</v>
      </c>
      <c r="H66">
        <v>86000</v>
      </c>
      <c r="I66">
        <v>10.66</v>
      </c>
      <c r="J66">
        <v>884000</v>
      </c>
      <c r="K66">
        <v>905000</v>
      </c>
      <c r="L66">
        <v>858000</v>
      </c>
      <c r="M66">
        <v>6255058</v>
      </c>
      <c r="N66">
        <v>5505302416615</v>
      </c>
      <c r="O66">
        <v>712702365</v>
      </c>
      <c r="P66">
        <v>636443211945000</v>
      </c>
    </row>
    <row r="67" spans="1:16">
      <c r="A67" t="s">
        <v>19</v>
      </c>
      <c r="B67">
        <v>20260331</v>
      </c>
      <c r="C67">
        <v>660</v>
      </c>
      <c r="D67" t="s">
        <v>20</v>
      </c>
      <c r="E67" t="s">
        <v>19</v>
      </c>
      <c r="F67" t="s">
        <v>17</v>
      </c>
      <c r="G67">
        <v>807000</v>
      </c>
      <c r="H67">
        <v>-66000</v>
      </c>
      <c r="I67">
        <v>-7.56</v>
      </c>
      <c r="J67">
        <v>817000</v>
      </c>
      <c r="K67">
        <v>852000</v>
      </c>
      <c r="L67">
        <v>806000</v>
      </c>
      <c r="M67">
        <v>7194351</v>
      </c>
      <c r="N67">
        <v>5910765746420</v>
      </c>
      <c r="O67">
        <v>712702365</v>
      </c>
      <c r="P67">
        <v>575150808555000</v>
      </c>
    </row>
    <row r="68" spans="1:16">
      <c r="A68" t="s">
        <v>19</v>
      </c>
      <c r="B68">
        <v>20260330</v>
      </c>
      <c r="C68">
        <v>660</v>
      </c>
      <c r="D68" t="s">
        <v>20</v>
      </c>
      <c r="E68" t="s">
        <v>19</v>
      </c>
      <c r="F68" t="s">
        <v>17</v>
      </c>
      <c r="G68">
        <v>873000</v>
      </c>
      <c r="H68">
        <v>-49000</v>
      </c>
      <c r="I68">
        <v>-5.31</v>
      </c>
      <c r="J68">
        <v>867000</v>
      </c>
      <c r="K68">
        <v>884000</v>
      </c>
      <c r="L68">
        <v>862000</v>
      </c>
      <c r="M68">
        <v>4498502</v>
      </c>
      <c r="N68">
        <v>3927069575600</v>
      </c>
      <c r="O68">
        <v>712702365</v>
      </c>
      <c r="P68">
        <v>622189164645000</v>
      </c>
    </row>
    <row r="69" spans="1:16">
      <c r="A69" t="s">
        <v>19</v>
      </c>
      <c r="B69">
        <v>20260327</v>
      </c>
      <c r="C69">
        <v>660</v>
      </c>
      <c r="D69" t="s">
        <v>20</v>
      </c>
      <c r="E69" t="s">
        <v>19</v>
      </c>
      <c r="F69" t="s">
        <v>17</v>
      </c>
      <c r="G69">
        <v>922000</v>
      </c>
      <c r="H69">
        <v>-11000</v>
      </c>
      <c r="I69">
        <v>-1.18</v>
      </c>
      <c r="J69">
        <v>890000</v>
      </c>
      <c r="K69">
        <v>934000</v>
      </c>
      <c r="L69">
        <v>880000</v>
      </c>
      <c r="M69">
        <v>4520942</v>
      </c>
      <c r="N69">
        <v>4088912609600</v>
      </c>
      <c r="O69">
        <v>712702365</v>
      </c>
      <c r="P69">
        <v>657111580530000</v>
      </c>
    </row>
    <row r="70" spans="1:16">
      <c r="A70" t="s">
        <v>19</v>
      </c>
      <c r="B70">
        <v>20260326</v>
      </c>
      <c r="C70">
        <v>660</v>
      </c>
      <c r="D70" t="s">
        <v>20</v>
      </c>
      <c r="E70" t="s">
        <v>19</v>
      </c>
      <c r="F70" t="s">
        <v>17</v>
      </c>
      <c r="G70">
        <v>933000</v>
      </c>
      <c r="H70">
        <v>-62000</v>
      </c>
      <c r="I70">
        <v>-6.23</v>
      </c>
      <c r="J70">
        <v>965000</v>
      </c>
      <c r="K70">
        <v>973000</v>
      </c>
      <c r="L70">
        <v>931000</v>
      </c>
      <c r="M70">
        <v>4660620</v>
      </c>
      <c r="N70">
        <v>4413300987791</v>
      </c>
      <c r="O70">
        <v>712702365</v>
      </c>
      <c r="P70">
        <v>664951306545000</v>
      </c>
    </row>
    <row r="71" spans="1:16">
      <c r="A71" t="s">
        <v>19</v>
      </c>
      <c r="B71">
        <v>20260325</v>
      </c>
      <c r="C71">
        <v>660</v>
      </c>
      <c r="D71" t="s">
        <v>20</v>
      </c>
      <c r="E71" t="s">
        <v>19</v>
      </c>
      <c r="F71" t="s">
        <v>17</v>
      </c>
      <c r="G71">
        <v>995000</v>
      </c>
      <c r="H71">
        <v>9000</v>
      </c>
      <c r="I71">
        <v>0.91</v>
      </c>
      <c r="J71">
        <v>1016000</v>
      </c>
      <c r="K71">
        <v>1042000</v>
      </c>
      <c r="L71">
        <v>988000</v>
      </c>
      <c r="M71">
        <v>4463869</v>
      </c>
      <c r="N71">
        <v>4531384355000</v>
      </c>
      <c r="O71">
        <v>712702365</v>
      </c>
      <c r="P71">
        <v>709138853175000</v>
      </c>
    </row>
    <row r="72" spans="1:16">
      <c r="A72" t="s">
        <v>19</v>
      </c>
      <c r="B72">
        <v>20260324</v>
      </c>
      <c r="C72">
        <v>660</v>
      </c>
      <c r="D72" t="s">
        <v>20</v>
      </c>
      <c r="E72" t="s">
        <v>19</v>
      </c>
      <c r="F72" t="s">
        <v>17</v>
      </c>
      <c r="G72">
        <v>986000</v>
      </c>
      <c r="H72">
        <v>53000</v>
      </c>
      <c r="I72">
        <v>5.68</v>
      </c>
      <c r="J72">
        <v>993000</v>
      </c>
      <c r="K72">
        <v>994000</v>
      </c>
      <c r="L72">
        <v>938000</v>
      </c>
      <c r="M72">
        <v>4352152</v>
      </c>
      <c r="N72">
        <v>4237489914994</v>
      </c>
      <c r="O72">
        <v>712702365</v>
      </c>
      <c r="P72">
        <v>702724531890000</v>
      </c>
    </row>
    <row r="73" spans="1:16">
      <c r="A73" t="s">
        <v>19</v>
      </c>
      <c r="B73">
        <v>20260323</v>
      </c>
      <c r="C73">
        <v>660</v>
      </c>
      <c r="D73" t="s">
        <v>20</v>
      </c>
      <c r="E73" t="s">
        <v>19</v>
      </c>
      <c r="F73" t="s">
        <v>17</v>
      </c>
      <c r="G73">
        <v>933000</v>
      </c>
      <c r="H73">
        <v>-74000</v>
      </c>
      <c r="I73">
        <v>-7.35</v>
      </c>
      <c r="J73">
        <v>952000</v>
      </c>
      <c r="K73">
        <v>963000</v>
      </c>
      <c r="L73">
        <v>927000</v>
      </c>
      <c r="M73">
        <v>3911813</v>
      </c>
      <c r="N73">
        <v>3682788964415</v>
      </c>
      <c r="O73">
        <v>712702365</v>
      </c>
      <c r="P73">
        <v>664951306545000</v>
      </c>
    </row>
    <row r="74" spans="1:16">
      <c r="A74" t="s">
        <v>19</v>
      </c>
      <c r="B74">
        <v>20260320</v>
      </c>
      <c r="C74">
        <v>660</v>
      </c>
      <c r="D74" t="s">
        <v>20</v>
      </c>
      <c r="E74" t="s">
        <v>19</v>
      </c>
      <c r="F74" t="s">
        <v>17</v>
      </c>
      <c r="G74">
        <v>1007000</v>
      </c>
      <c r="H74">
        <v>-6000</v>
      </c>
      <c r="I74">
        <v>-0.59</v>
      </c>
      <c r="J74">
        <v>1023000</v>
      </c>
      <c r="K74">
        <v>1026000</v>
      </c>
      <c r="L74">
        <v>1002000</v>
      </c>
      <c r="M74">
        <v>3426646</v>
      </c>
      <c r="N74">
        <v>3465653176172</v>
      </c>
      <c r="O74">
        <v>712702365</v>
      </c>
      <c r="P74">
        <v>717691281555000</v>
      </c>
    </row>
    <row r="75" spans="1:16">
      <c r="A75" t="s">
        <v>19</v>
      </c>
      <c r="B75">
        <v>20260319</v>
      </c>
      <c r="C75">
        <v>660</v>
      </c>
      <c r="D75" t="s">
        <v>20</v>
      </c>
      <c r="E75" t="s">
        <v>19</v>
      </c>
      <c r="F75" t="s">
        <v>17</v>
      </c>
      <c r="G75">
        <v>1013000</v>
      </c>
      <c r="H75">
        <v>-43000</v>
      </c>
      <c r="I75">
        <v>-4.07</v>
      </c>
      <c r="J75">
        <v>1008000</v>
      </c>
      <c r="K75">
        <v>1043000</v>
      </c>
      <c r="L75">
        <v>1003000</v>
      </c>
      <c r="M75">
        <v>3347483</v>
      </c>
      <c r="N75">
        <v>3403635143500</v>
      </c>
      <c r="O75">
        <v>712702365</v>
      </c>
      <c r="P75">
        <v>721967495745000</v>
      </c>
    </row>
    <row r="76" spans="1:16">
      <c r="A76" t="s">
        <v>19</v>
      </c>
      <c r="B76">
        <v>20260318</v>
      </c>
      <c r="C76">
        <v>660</v>
      </c>
      <c r="D76" t="s">
        <v>20</v>
      </c>
      <c r="E76" t="s">
        <v>19</v>
      </c>
      <c r="F76" t="s">
        <v>17</v>
      </c>
      <c r="G76">
        <v>1056000</v>
      </c>
      <c r="H76">
        <v>86000</v>
      </c>
      <c r="I76">
        <v>8.8699999999999992</v>
      </c>
      <c r="J76">
        <v>1000000</v>
      </c>
      <c r="K76">
        <v>1060000</v>
      </c>
      <c r="L76">
        <v>999000</v>
      </c>
      <c r="M76">
        <v>4347884</v>
      </c>
      <c r="N76">
        <v>4446872252315</v>
      </c>
      <c r="O76">
        <v>712702365</v>
      </c>
      <c r="P76">
        <v>752613697440000</v>
      </c>
    </row>
    <row r="77" spans="1:16">
      <c r="A77" t="s">
        <v>19</v>
      </c>
      <c r="B77">
        <v>20260317</v>
      </c>
      <c r="C77">
        <v>660</v>
      </c>
      <c r="D77" t="s">
        <v>20</v>
      </c>
      <c r="E77" t="s">
        <v>19</v>
      </c>
      <c r="F77" t="s">
        <v>17</v>
      </c>
      <c r="G77">
        <v>970000</v>
      </c>
      <c r="H77">
        <v>-4000</v>
      </c>
      <c r="I77">
        <v>-0.41</v>
      </c>
      <c r="J77">
        <v>1009000</v>
      </c>
      <c r="K77">
        <v>1010000</v>
      </c>
      <c r="L77">
        <v>969000</v>
      </c>
      <c r="M77">
        <v>3326240</v>
      </c>
      <c r="N77">
        <v>3299876889400</v>
      </c>
      <c r="O77">
        <v>712702365</v>
      </c>
      <c r="P77">
        <v>691321294050000</v>
      </c>
    </row>
    <row r="78" spans="1:16">
      <c r="A78" t="s">
        <v>19</v>
      </c>
      <c r="B78">
        <v>20260316</v>
      </c>
      <c r="C78">
        <v>660</v>
      </c>
      <c r="D78" t="s">
        <v>20</v>
      </c>
      <c r="E78" t="s">
        <v>19</v>
      </c>
      <c r="F78" t="s">
        <v>17</v>
      </c>
      <c r="G78">
        <v>974000</v>
      </c>
      <c r="H78">
        <v>64000</v>
      </c>
      <c r="I78">
        <v>7.03</v>
      </c>
      <c r="J78">
        <v>925000</v>
      </c>
      <c r="K78">
        <v>975000</v>
      </c>
      <c r="L78">
        <v>924000</v>
      </c>
      <c r="M78">
        <v>3829496</v>
      </c>
      <c r="N78">
        <v>3626471054520</v>
      </c>
      <c r="O78">
        <v>712702365</v>
      </c>
      <c r="P78">
        <v>694172103510000</v>
      </c>
    </row>
    <row r="79" spans="1:16">
      <c r="A79" t="s">
        <v>19</v>
      </c>
      <c r="B79">
        <v>20260313</v>
      </c>
      <c r="C79">
        <v>660</v>
      </c>
      <c r="D79" t="s">
        <v>20</v>
      </c>
      <c r="E79" t="s">
        <v>19</v>
      </c>
      <c r="F79" t="s">
        <v>17</v>
      </c>
      <c r="G79">
        <v>910000</v>
      </c>
      <c r="H79">
        <v>-20000</v>
      </c>
      <c r="I79">
        <v>-2.15</v>
      </c>
      <c r="J79">
        <v>891000</v>
      </c>
      <c r="K79">
        <v>929000</v>
      </c>
      <c r="L79">
        <v>884000</v>
      </c>
      <c r="M79">
        <v>3645102</v>
      </c>
      <c r="N79">
        <v>3305800535625</v>
      </c>
      <c r="O79">
        <v>712702365</v>
      </c>
      <c r="P79">
        <v>648559152150000</v>
      </c>
    </row>
    <row r="80" spans="1:16">
      <c r="A80" t="s">
        <v>19</v>
      </c>
      <c r="B80">
        <v>20260312</v>
      </c>
      <c r="C80">
        <v>660</v>
      </c>
      <c r="D80" t="s">
        <v>20</v>
      </c>
      <c r="E80" t="s">
        <v>19</v>
      </c>
      <c r="F80" t="s">
        <v>17</v>
      </c>
      <c r="G80">
        <v>930000</v>
      </c>
      <c r="H80">
        <v>-25000</v>
      </c>
      <c r="I80">
        <v>-2.62</v>
      </c>
      <c r="J80">
        <v>938000</v>
      </c>
      <c r="K80">
        <v>963000</v>
      </c>
      <c r="L80">
        <v>928000</v>
      </c>
      <c r="M80">
        <v>3711742</v>
      </c>
      <c r="N80">
        <v>3478000276288</v>
      </c>
      <c r="O80">
        <v>712702365</v>
      </c>
      <c r="P80">
        <v>662813199450000</v>
      </c>
    </row>
    <row r="81" spans="1:16">
      <c r="A81" t="s">
        <v>19</v>
      </c>
      <c r="B81">
        <v>20260311</v>
      </c>
      <c r="C81">
        <v>660</v>
      </c>
      <c r="D81" t="s">
        <v>20</v>
      </c>
      <c r="E81" t="s">
        <v>19</v>
      </c>
      <c r="F81" t="s">
        <v>17</v>
      </c>
      <c r="G81">
        <v>955000</v>
      </c>
      <c r="H81">
        <v>17000</v>
      </c>
      <c r="I81">
        <v>1.81</v>
      </c>
      <c r="J81">
        <v>954000</v>
      </c>
      <c r="K81">
        <v>985000</v>
      </c>
      <c r="L81">
        <v>941000</v>
      </c>
      <c r="M81">
        <v>3916098</v>
      </c>
      <c r="N81">
        <v>3774551780246</v>
      </c>
      <c r="O81">
        <v>712702365</v>
      </c>
      <c r="P81">
        <v>680630758575000</v>
      </c>
    </row>
    <row r="82" spans="1:16">
      <c r="A82" t="s">
        <v>19</v>
      </c>
      <c r="B82">
        <v>20260310</v>
      </c>
      <c r="C82">
        <v>660</v>
      </c>
      <c r="D82" t="s">
        <v>20</v>
      </c>
      <c r="E82" t="s">
        <v>19</v>
      </c>
      <c r="F82" t="s">
        <v>17</v>
      </c>
      <c r="G82">
        <v>938000</v>
      </c>
      <c r="H82">
        <v>102000</v>
      </c>
      <c r="I82">
        <v>12.2</v>
      </c>
      <c r="J82">
        <v>915000</v>
      </c>
      <c r="K82">
        <v>950000</v>
      </c>
      <c r="L82">
        <v>899000</v>
      </c>
      <c r="M82">
        <v>5304897</v>
      </c>
      <c r="N82">
        <v>4926971087500</v>
      </c>
      <c r="O82">
        <v>712702365</v>
      </c>
      <c r="P82">
        <v>668514818370000</v>
      </c>
    </row>
    <row r="83" spans="1:16">
      <c r="A83" t="s">
        <v>19</v>
      </c>
      <c r="B83">
        <v>20260309</v>
      </c>
      <c r="C83">
        <v>660</v>
      </c>
      <c r="D83" t="s">
        <v>20</v>
      </c>
      <c r="E83" t="s">
        <v>19</v>
      </c>
      <c r="F83" t="s">
        <v>17</v>
      </c>
      <c r="G83">
        <v>836000</v>
      </c>
      <c r="H83">
        <v>-88000</v>
      </c>
      <c r="I83">
        <v>-9.52</v>
      </c>
      <c r="J83">
        <v>851000</v>
      </c>
      <c r="K83">
        <v>864000</v>
      </c>
      <c r="L83">
        <v>808000</v>
      </c>
      <c r="M83">
        <v>7253621</v>
      </c>
      <c r="N83">
        <v>6026259948840</v>
      </c>
      <c r="O83">
        <v>712702365</v>
      </c>
      <c r="P83">
        <v>595819177140000</v>
      </c>
    </row>
    <row r="84" spans="1:16">
      <c r="A84" t="s">
        <v>19</v>
      </c>
      <c r="B84">
        <v>20260306</v>
      </c>
      <c r="C84">
        <v>660</v>
      </c>
      <c r="D84" t="s">
        <v>20</v>
      </c>
      <c r="E84" t="s">
        <v>19</v>
      </c>
      <c r="F84" t="s">
        <v>17</v>
      </c>
      <c r="G84">
        <v>924000</v>
      </c>
      <c r="H84">
        <v>-17000</v>
      </c>
      <c r="I84">
        <v>-1.81</v>
      </c>
      <c r="J84">
        <v>912000</v>
      </c>
      <c r="K84">
        <v>938000</v>
      </c>
      <c r="L84">
        <v>885000</v>
      </c>
      <c r="M84">
        <v>3744322</v>
      </c>
      <c r="N84">
        <v>3422798358084</v>
      </c>
      <c r="O84">
        <v>712702365</v>
      </c>
      <c r="P84">
        <v>658536985260000</v>
      </c>
    </row>
    <row r="85" spans="1:16">
      <c r="A85" t="s">
        <v>19</v>
      </c>
      <c r="B85">
        <v>20260305</v>
      </c>
      <c r="C85">
        <v>660</v>
      </c>
      <c r="D85" t="s">
        <v>20</v>
      </c>
      <c r="E85" t="s">
        <v>19</v>
      </c>
      <c r="F85" t="s">
        <v>17</v>
      </c>
      <c r="G85">
        <v>941000</v>
      </c>
      <c r="H85">
        <v>92000</v>
      </c>
      <c r="I85">
        <v>10.84</v>
      </c>
      <c r="J85">
        <v>976000</v>
      </c>
      <c r="K85">
        <v>992000</v>
      </c>
      <c r="L85">
        <v>927000</v>
      </c>
      <c r="M85">
        <v>6442459</v>
      </c>
      <c r="N85">
        <v>6193801312000</v>
      </c>
      <c r="O85">
        <v>712702365</v>
      </c>
      <c r="P85">
        <v>670652925465000</v>
      </c>
    </row>
    <row r="86" spans="1:16">
      <c r="A86" t="s">
        <v>19</v>
      </c>
      <c r="B86">
        <v>20260304</v>
      </c>
      <c r="C86">
        <v>660</v>
      </c>
      <c r="D86" t="s">
        <v>20</v>
      </c>
      <c r="E86" t="s">
        <v>19</v>
      </c>
      <c r="F86" t="s">
        <v>17</v>
      </c>
      <c r="G86">
        <v>849000</v>
      </c>
      <c r="H86">
        <v>-90000</v>
      </c>
      <c r="I86">
        <v>-9.58</v>
      </c>
      <c r="J86">
        <v>894000</v>
      </c>
      <c r="K86">
        <v>954000</v>
      </c>
      <c r="L86">
        <v>846000</v>
      </c>
      <c r="M86">
        <v>9253420</v>
      </c>
      <c r="N86">
        <v>8247744051500</v>
      </c>
      <c r="O86">
        <v>712702365</v>
      </c>
      <c r="P86">
        <v>605084307885000</v>
      </c>
    </row>
    <row r="87" spans="1:16">
      <c r="A87" t="s">
        <v>19</v>
      </c>
      <c r="B87">
        <v>20260303</v>
      </c>
      <c r="C87">
        <v>660</v>
      </c>
      <c r="D87" t="s">
        <v>20</v>
      </c>
      <c r="E87" t="s">
        <v>19</v>
      </c>
      <c r="F87" t="s">
        <v>17</v>
      </c>
      <c r="G87">
        <v>939000</v>
      </c>
      <c r="H87">
        <v>-122000</v>
      </c>
      <c r="I87">
        <v>-11.5</v>
      </c>
      <c r="J87">
        <v>1022000</v>
      </c>
      <c r="K87">
        <v>1040000</v>
      </c>
      <c r="L87">
        <v>939000</v>
      </c>
      <c r="M87">
        <v>6818327</v>
      </c>
      <c r="N87">
        <v>6769961591097</v>
      </c>
      <c r="O87">
        <v>712702365</v>
      </c>
      <c r="P87">
        <v>669227520735000</v>
      </c>
    </row>
    <row r="88" spans="1:16">
      <c r="A88" t="s">
        <v>19</v>
      </c>
      <c r="B88">
        <v>20260227</v>
      </c>
      <c r="C88">
        <v>660</v>
      </c>
      <c r="D88" t="s">
        <v>20</v>
      </c>
      <c r="E88" t="s">
        <v>19</v>
      </c>
      <c r="F88" t="s">
        <v>17</v>
      </c>
      <c r="G88">
        <v>1061000</v>
      </c>
      <c r="H88">
        <v>-38000</v>
      </c>
      <c r="I88">
        <v>-3.46</v>
      </c>
      <c r="J88">
        <v>1050000</v>
      </c>
      <c r="K88">
        <v>1096000</v>
      </c>
      <c r="L88">
        <v>1048000</v>
      </c>
      <c r="M88">
        <v>6453062</v>
      </c>
      <c r="N88">
        <v>6889357629920</v>
      </c>
      <c r="O88">
        <v>712702365</v>
      </c>
      <c r="P88">
        <v>756177209265000</v>
      </c>
    </row>
    <row r="89" spans="1:16">
      <c r="A89" t="s">
        <v>19</v>
      </c>
      <c r="B89">
        <v>20260226</v>
      </c>
      <c r="C89">
        <v>660</v>
      </c>
      <c r="D89" t="s">
        <v>20</v>
      </c>
      <c r="E89" t="s">
        <v>19</v>
      </c>
      <c r="F89" t="s">
        <v>17</v>
      </c>
      <c r="G89">
        <v>1099000</v>
      </c>
      <c r="H89">
        <v>81000</v>
      </c>
      <c r="I89">
        <v>7.96</v>
      </c>
      <c r="J89">
        <v>1024000</v>
      </c>
      <c r="K89">
        <v>1099000</v>
      </c>
      <c r="L89">
        <v>1023000</v>
      </c>
      <c r="M89">
        <v>4461976</v>
      </c>
      <c r="N89">
        <v>4692062202704</v>
      </c>
      <c r="O89">
        <v>712702365</v>
      </c>
      <c r="P89">
        <v>783259899135000</v>
      </c>
    </row>
    <row r="90" spans="1:16">
      <c r="A90" t="s">
        <v>19</v>
      </c>
      <c r="B90">
        <v>20260225</v>
      </c>
      <c r="C90">
        <v>660</v>
      </c>
      <c r="D90" t="s">
        <v>20</v>
      </c>
      <c r="E90" t="s">
        <v>19</v>
      </c>
      <c r="F90" t="s">
        <v>17</v>
      </c>
      <c r="G90">
        <v>1018000</v>
      </c>
      <c r="H90">
        <v>13000</v>
      </c>
      <c r="I90">
        <v>1.29</v>
      </c>
      <c r="J90">
        <v>1012000</v>
      </c>
      <c r="K90">
        <v>1038000</v>
      </c>
      <c r="L90">
        <v>1004000</v>
      </c>
      <c r="M90">
        <v>3462525</v>
      </c>
      <c r="N90">
        <v>3532466059787</v>
      </c>
      <c r="O90">
        <v>712702365</v>
      </c>
      <c r="P90">
        <v>725531007570000</v>
      </c>
    </row>
    <row r="91" spans="1:16">
      <c r="A91" t="s">
        <v>19</v>
      </c>
      <c r="B91">
        <v>20260224</v>
      </c>
      <c r="C91">
        <v>660</v>
      </c>
      <c r="D91" t="s">
        <v>20</v>
      </c>
      <c r="E91" t="s">
        <v>19</v>
      </c>
      <c r="F91" t="s">
        <v>17</v>
      </c>
      <c r="G91">
        <v>1005000</v>
      </c>
      <c r="H91">
        <v>54000</v>
      </c>
      <c r="I91">
        <v>5.68</v>
      </c>
      <c r="J91">
        <v>952000</v>
      </c>
      <c r="K91">
        <v>1005000</v>
      </c>
      <c r="L91">
        <v>946000</v>
      </c>
      <c r="M91">
        <v>4102382</v>
      </c>
      <c r="N91">
        <v>4051375322312</v>
      </c>
      <c r="O91">
        <v>712702365</v>
      </c>
      <c r="P91">
        <v>716265876825000</v>
      </c>
    </row>
    <row r="92" spans="1:16">
      <c r="A92" t="s">
        <v>19</v>
      </c>
      <c r="B92">
        <v>20260223</v>
      </c>
      <c r="C92">
        <v>660</v>
      </c>
      <c r="D92" t="s">
        <v>20</v>
      </c>
      <c r="E92" t="s">
        <v>19</v>
      </c>
      <c r="F92" t="s">
        <v>17</v>
      </c>
      <c r="G92">
        <v>951000</v>
      </c>
      <c r="H92">
        <v>2000</v>
      </c>
      <c r="I92">
        <v>0.21</v>
      </c>
      <c r="J92">
        <v>980000</v>
      </c>
      <c r="K92">
        <v>980000</v>
      </c>
      <c r="L92">
        <v>941000</v>
      </c>
      <c r="M92">
        <v>3523887</v>
      </c>
      <c r="N92">
        <v>3380785361500</v>
      </c>
      <c r="O92">
        <v>712702365</v>
      </c>
      <c r="P92">
        <v>677779949115000</v>
      </c>
    </row>
    <row r="93" spans="1:16">
      <c r="A93" t="s">
        <v>19</v>
      </c>
      <c r="B93">
        <v>20260220</v>
      </c>
      <c r="C93">
        <v>660</v>
      </c>
      <c r="D93" t="s">
        <v>20</v>
      </c>
      <c r="E93" t="s">
        <v>19</v>
      </c>
      <c r="F93" t="s">
        <v>17</v>
      </c>
      <c r="G93">
        <v>949000</v>
      </c>
      <c r="H93">
        <v>55000</v>
      </c>
      <c r="I93">
        <v>6.15</v>
      </c>
      <c r="J93">
        <v>892000</v>
      </c>
      <c r="K93">
        <v>955000</v>
      </c>
      <c r="L93">
        <v>881000</v>
      </c>
      <c r="M93">
        <v>5054333</v>
      </c>
      <c r="N93">
        <v>4678702303000</v>
      </c>
      <c r="O93">
        <v>728002365</v>
      </c>
      <c r="P93">
        <v>690874244385000</v>
      </c>
    </row>
    <row r="94" spans="1:16">
      <c r="A94" t="s">
        <v>19</v>
      </c>
      <c r="B94">
        <v>20260219</v>
      </c>
      <c r="C94">
        <v>660</v>
      </c>
      <c r="D94" t="s">
        <v>20</v>
      </c>
      <c r="E94" t="s">
        <v>19</v>
      </c>
      <c r="F94" t="s">
        <v>17</v>
      </c>
      <c r="G94">
        <v>894000</v>
      </c>
      <c r="H94">
        <v>14000</v>
      </c>
      <c r="I94">
        <v>1.59</v>
      </c>
      <c r="J94">
        <v>905000</v>
      </c>
      <c r="K94">
        <v>913000</v>
      </c>
      <c r="L94">
        <v>888000</v>
      </c>
      <c r="M94">
        <v>3285109</v>
      </c>
      <c r="N94">
        <v>2944647825000</v>
      </c>
      <c r="O94">
        <v>728002365</v>
      </c>
      <c r="P94">
        <v>650834114310000</v>
      </c>
    </row>
    <row r="95" spans="1:16">
      <c r="A95" t="s">
        <v>19</v>
      </c>
      <c r="B95">
        <v>20260213</v>
      </c>
      <c r="C95">
        <v>660</v>
      </c>
      <c r="D95" t="s">
        <v>20</v>
      </c>
      <c r="E95" t="s">
        <v>19</v>
      </c>
      <c r="F95" t="s">
        <v>17</v>
      </c>
      <c r="G95">
        <v>880000</v>
      </c>
      <c r="H95">
        <v>-8000</v>
      </c>
      <c r="I95">
        <v>-0.9</v>
      </c>
      <c r="J95">
        <v>889000</v>
      </c>
      <c r="K95">
        <v>903000</v>
      </c>
      <c r="L95">
        <v>878000</v>
      </c>
      <c r="M95">
        <v>3534047</v>
      </c>
      <c r="N95">
        <v>3142574568416</v>
      </c>
      <c r="O95">
        <v>728002365</v>
      </c>
      <c r="P95">
        <v>640642081200000</v>
      </c>
    </row>
    <row r="96" spans="1:16">
      <c r="A96" t="s">
        <v>19</v>
      </c>
      <c r="B96">
        <v>20260212</v>
      </c>
      <c r="C96">
        <v>660</v>
      </c>
      <c r="D96" t="s">
        <v>20</v>
      </c>
      <c r="E96" t="s">
        <v>19</v>
      </c>
      <c r="F96" t="s">
        <v>17</v>
      </c>
      <c r="G96">
        <v>888000</v>
      </c>
      <c r="H96">
        <v>28000</v>
      </c>
      <c r="I96">
        <v>3.26</v>
      </c>
      <c r="J96">
        <v>882000</v>
      </c>
      <c r="K96">
        <v>894000</v>
      </c>
      <c r="L96">
        <v>878000</v>
      </c>
      <c r="M96">
        <v>4619344</v>
      </c>
      <c r="N96">
        <v>4097020453341</v>
      </c>
      <c r="O96">
        <v>728002365</v>
      </c>
      <c r="P96">
        <v>646466100120000</v>
      </c>
    </row>
    <row r="97" spans="1:16">
      <c r="A97" t="s">
        <v>19</v>
      </c>
      <c r="B97">
        <v>20260211</v>
      </c>
      <c r="C97">
        <v>660</v>
      </c>
      <c r="D97" t="s">
        <v>20</v>
      </c>
      <c r="E97" t="s">
        <v>19</v>
      </c>
      <c r="F97" t="s">
        <v>17</v>
      </c>
      <c r="G97">
        <v>860000</v>
      </c>
      <c r="H97">
        <v>-16000</v>
      </c>
      <c r="I97">
        <v>-1.83</v>
      </c>
      <c r="J97">
        <v>860000</v>
      </c>
      <c r="K97">
        <v>874000</v>
      </c>
      <c r="L97">
        <v>848000</v>
      </c>
      <c r="M97">
        <v>3125590</v>
      </c>
      <c r="N97">
        <v>2698255229000</v>
      </c>
      <c r="O97">
        <v>728002365</v>
      </c>
      <c r="P97">
        <v>626082033900000</v>
      </c>
    </row>
    <row r="98" spans="1:16">
      <c r="A98" t="s">
        <v>19</v>
      </c>
      <c r="B98">
        <v>20260210</v>
      </c>
      <c r="C98">
        <v>660</v>
      </c>
      <c r="D98" t="s">
        <v>20</v>
      </c>
      <c r="E98" t="s">
        <v>19</v>
      </c>
      <c r="F98" t="s">
        <v>17</v>
      </c>
      <c r="G98">
        <v>876000</v>
      </c>
      <c r="H98">
        <v>-11000</v>
      </c>
      <c r="I98">
        <v>-1.24</v>
      </c>
      <c r="J98">
        <v>894000</v>
      </c>
      <c r="K98">
        <v>905000</v>
      </c>
      <c r="L98">
        <v>876000</v>
      </c>
      <c r="M98">
        <v>3441377</v>
      </c>
      <c r="N98">
        <v>3058001092490</v>
      </c>
      <c r="O98">
        <v>728002365</v>
      </c>
      <c r="P98">
        <v>637730071740000</v>
      </c>
    </row>
    <row r="99" spans="1:16">
      <c r="A99" t="s">
        <v>19</v>
      </c>
      <c r="B99">
        <v>20260209</v>
      </c>
      <c r="C99">
        <v>660</v>
      </c>
      <c r="D99" t="s">
        <v>20</v>
      </c>
      <c r="E99" t="s">
        <v>19</v>
      </c>
      <c r="F99" t="s">
        <v>17</v>
      </c>
      <c r="G99">
        <v>887000</v>
      </c>
      <c r="H99">
        <v>48000</v>
      </c>
      <c r="I99">
        <v>5.72</v>
      </c>
      <c r="J99">
        <v>898000</v>
      </c>
      <c r="K99">
        <v>899000</v>
      </c>
      <c r="L99">
        <v>873000</v>
      </c>
      <c r="M99">
        <v>4228584</v>
      </c>
      <c r="N99">
        <v>3746145085500</v>
      </c>
      <c r="O99">
        <v>728002365</v>
      </c>
      <c r="P99">
        <v>645738097755000</v>
      </c>
    </row>
    <row r="100" spans="1:16">
      <c r="A100" t="s">
        <v>19</v>
      </c>
      <c r="B100">
        <v>20260206</v>
      </c>
      <c r="C100">
        <v>660</v>
      </c>
      <c r="D100" t="s">
        <v>20</v>
      </c>
      <c r="E100" t="s">
        <v>19</v>
      </c>
      <c r="F100" t="s">
        <v>17</v>
      </c>
      <c r="G100">
        <v>839000</v>
      </c>
      <c r="H100">
        <v>-3000</v>
      </c>
      <c r="I100">
        <v>-0.36</v>
      </c>
      <c r="J100">
        <v>805000</v>
      </c>
      <c r="K100">
        <v>850000</v>
      </c>
      <c r="L100">
        <v>791000</v>
      </c>
      <c r="M100">
        <v>5581574</v>
      </c>
      <c r="N100">
        <v>4578256265860</v>
      </c>
      <c r="O100">
        <v>728002365</v>
      </c>
      <c r="P100">
        <v>610793984235000</v>
      </c>
    </row>
    <row r="101" spans="1:16">
      <c r="A101" t="s">
        <v>19</v>
      </c>
      <c r="B101">
        <v>20260205</v>
      </c>
      <c r="C101">
        <v>660</v>
      </c>
      <c r="D101" t="s">
        <v>20</v>
      </c>
      <c r="E101" t="s">
        <v>19</v>
      </c>
      <c r="F101" t="s">
        <v>17</v>
      </c>
      <c r="G101">
        <v>842000</v>
      </c>
      <c r="H101">
        <v>-58000</v>
      </c>
      <c r="I101">
        <v>-6.44</v>
      </c>
      <c r="J101">
        <v>851000</v>
      </c>
      <c r="K101">
        <v>877000</v>
      </c>
      <c r="L101">
        <v>838000</v>
      </c>
      <c r="M101">
        <v>5473720</v>
      </c>
      <c r="N101">
        <v>4675605487500</v>
      </c>
      <c r="O101">
        <v>728002365</v>
      </c>
      <c r="P101">
        <v>612977991330000</v>
      </c>
    </row>
    <row r="102" spans="1:16">
      <c r="A102" t="s">
        <v>19</v>
      </c>
      <c r="B102">
        <v>20260204</v>
      </c>
      <c r="C102">
        <v>660</v>
      </c>
      <c r="D102" t="s">
        <v>20</v>
      </c>
      <c r="E102" t="s">
        <v>19</v>
      </c>
      <c r="F102" t="s">
        <v>17</v>
      </c>
      <c r="G102">
        <v>900000</v>
      </c>
      <c r="H102">
        <v>-7000</v>
      </c>
      <c r="I102">
        <v>-0.77</v>
      </c>
      <c r="J102">
        <v>884000</v>
      </c>
      <c r="K102">
        <v>906000</v>
      </c>
      <c r="L102">
        <v>883000</v>
      </c>
      <c r="M102">
        <v>3800763</v>
      </c>
      <c r="N102">
        <v>3400365232231</v>
      </c>
      <c r="O102">
        <v>728002365</v>
      </c>
      <c r="P102">
        <v>655202128500000</v>
      </c>
    </row>
    <row r="103" spans="1:16">
      <c r="A103" t="s">
        <v>19</v>
      </c>
      <c r="B103">
        <v>20260203</v>
      </c>
      <c r="C103">
        <v>660</v>
      </c>
      <c r="D103" t="s">
        <v>20</v>
      </c>
      <c r="E103" t="s">
        <v>19</v>
      </c>
      <c r="F103" t="s">
        <v>17</v>
      </c>
      <c r="G103">
        <v>907000</v>
      </c>
      <c r="H103">
        <v>77000</v>
      </c>
      <c r="I103">
        <v>9.2799999999999994</v>
      </c>
      <c r="J103">
        <v>874000</v>
      </c>
      <c r="K103">
        <v>907000</v>
      </c>
      <c r="L103">
        <v>871000</v>
      </c>
      <c r="M103">
        <v>5272538</v>
      </c>
      <c r="N103">
        <v>4709002033767</v>
      </c>
      <c r="O103">
        <v>728002365</v>
      </c>
      <c r="P103">
        <v>660298145055000</v>
      </c>
    </row>
    <row r="104" spans="1:16">
      <c r="A104" t="s">
        <v>19</v>
      </c>
      <c r="B104">
        <v>20260202</v>
      </c>
      <c r="C104">
        <v>660</v>
      </c>
      <c r="D104" t="s">
        <v>20</v>
      </c>
      <c r="E104" t="s">
        <v>19</v>
      </c>
      <c r="F104" t="s">
        <v>17</v>
      </c>
      <c r="G104">
        <v>830000</v>
      </c>
      <c r="H104">
        <v>-79000</v>
      </c>
      <c r="I104">
        <v>-8.69</v>
      </c>
      <c r="J104">
        <v>870000</v>
      </c>
      <c r="K104">
        <v>888000</v>
      </c>
      <c r="L104">
        <v>830000</v>
      </c>
      <c r="M104">
        <v>7634191</v>
      </c>
      <c r="N104">
        <v>6545821160532</v>
      </c>
      <c r="O104">
        <v>728002365</v>
      </c>
      <c r="P104">
        <v>604241962950000</v>
      </c>
    </row>
    <row r="105" spans="1:16">
      <c r="A105" t="s">
        <v>19</v>
      </c>
      <c r="B105">
        <v>20260130</v>
      </c>
      <c r="C105">
        <v>660</v>
      </c>
      <c r="D105" t="s">
        <v>20</v>
      </c>
      <c r="E105" t="s">
        <v>19</v>
      </c>
      <c r="F105" t="s">
        <v>17</v>
      </c>
      <c r="G105">
        <v>909000</v>
      </c>
      <c r="H105">
        <v>48000</v>
      </c>
      <c r="I105">
        <v>5.57</v>
      </c>
      <c r="J105">
        <v>854000</v>
      </c>
      <c r="K105">
        <v>931000</v>
      </c>
      <c r="L105">
        <v>853000</v>
      </c>
      <c r="M105">
        <v>7875195</v>
      </c>
      <c r="N105">
        <v>7138823506342</v>
      </c>
      <c r="O105">
        <v>728002365</v>
      </c>
      <c r="P105">
        <v>661754149785000</v>
      </c>
    </row>
    <row r="106" spans="1:16">
      <c r="A106" t="s">
        <v>19</v>
      </c>
      <c r="B106">
        <v>20260129</v>
      </c>
      <c r="C106">
        <v>660</v>
      </c>
      <c r="D106" t="s">
        <v>20</v>
      </c>
      <c r="E106" t="s">
        <v>19</v>
      </c>
      <c r="F106" t="s">
        <v>17</v>
      </c>
      <c r="G106">
        <v>861000</v>
      </c>
      <c r="H106">
        <v>20000</v>
      </c>
      <c r="I106">
        <v>2.38</v>
      </c>
      <c r="J106">
        <v>879000</v>
      </c>
      <c r="K106">
        <v>884000</v>
      </c>
      <c r="L106">
        <v>819000</v>
      </c>
      <c r="M106">
        <v>6837983</v>
      </c>
      <c r="N106">
        <v>5852001349316</v>
      </c>
      <c r="O106">
        <v>728002365</v>
      </c>
      <c r="P106">
        <v>626810036265000</v>
      </c>
    </row>
    <row r="107" spans="1:16">
      <c r="A107" t="s">
        <v>19</v>
      </c>
      <c r="B107">
        <v>20260128</v>
      </c>
      <c r="C107">
        <v>660</v>
      </c>
      <c r="D107" t="s">
        <v>20</v>
      </c>
      <c r="E107" t="s">
        <v>19</v>
      </c>
      <c r="F107" t="s">
        <v>17</v>
      </c>
      <c r="G107">
        <v>841000</v>
      </c>
      <c r="H107">
        <v>41000</v>
      </c>
      <c r="I107">
        <v>5.13</v>
      </c>
      <c r="J107">
        <v>810000</v>
      </c>
      <c r="K107">
        <v>854000</v>
      </c>
      <c r="L107">
        <v>803000</v>
      </c>
      <c r="M107">
        <v>6708497</v>
      </c>
      <c r="N107">
        <v>5583139773181</v>
      </c>
      <c r="O107">
        <v>728002365</v>
      </c>
      <c r="P107">
        <v>612249988965000</v>
      </c>
    </row>
    <row r="108" spans="1:16">
      <c r="A108" t="s">
        <v>19</v>
      </c>
      <c r="B108">
        <v>20260127</v>
      </c>
      <c r="C108">
        <v>660</v>
      </c>
      <c r="D108" t="s">
        <v>20</v>
      </c>
      <c r="E108" t="s">
        <v>19</v>
      </c>
      <c r="F108" t="s">
        <v>17</v>
      </c>
      <c r="G108">
        <v>800000</v>
      </c>
      <c r="H108">
        <v>64000</v>
      </c>
      <c r="I108">
        <v>8.6999999999999993</v>
      </c>
      <c r="J108">
        <v>738000</v>
      </c>
      <c r="K108">
        <v>800000</v>
      </c>
      <c r="L108">
        <v>733000</v>
      </c>
      <c r="M108">
        <v>5660198</v>
      </c>
      <c r="N108">
        <v>4383477685500</v>
      </c>
      <c r="O108">
        <v>728002365</v>
      </c>
      <c r="P108">
        <v>582401892000000</v>
      </c>
    </row>
    <row r="109" spans="1:16">
      <c r="A109" t="s">
        <v>19</v>
      </c>
      <c r="B109">
        <v>20260126</v>
      </c>
      <c r="C109">
        <v>660</v>
      </c>
      <c r="D109" t="s">
        <v>20</v>
      </c>
      <c r="E109" t="s">
        <v>19</v>
      </c>
      <c r="F109" t="s">
        <v>17</v>
      </c>
      <c r="G109">
        <v>736000</v>
      </c>
      <c r="H109">
        <v>-31000</v>
      </c>
      <c r="I109">
        <v>-4.04</v>
      </c>
      <c r="J109">
        <v>753000</v>
      </c>
      <c r="K109">
        <v>754000</v>
      </c>
      <c r="L109">
        <v>736000</v>
      </c>
      <c r="M109">
        <v>3133330</v>
      </c>
      <c r="N109">
        <v>2334468107336</v>
      </c>
      <c r="O109">
        <v>728002365</v>
      </c>
      <c r="P109">
        <v>535809740640000</v>
      </c>
    </row>
    <row r="110" spans="1:16">
      <c r="A110" t="s">
        <v>19</v>
      </c>
      <c r="B110">
        <v>20260123</v>
      </c>
      <c r="C110">
        <v>660</v>
      </c>
      <c r="D110" t="s">
        <v>20</v>
      </c>
      <c r="E110" t="s">
        <v>19</v>
      </c>
      <c r="F110" t="s">
        <v>17</v>
      </c>
      <c r="G110">
        <v>767000</v>
      </c>
      <c r="H110">
        <v>12000</v>
      </c>
      <c r="I110">
        <v>1.59</v>
      </c>
      <c r="J110">
        <v>754000</v>
      </c>
      <c r="K110">
        <v>776000</v>
      </c>
      <c r="L110">
        <v>744000</v>
      </c>
      <c r="M110">
        <v>3508272</v>
      </c>
      <c r="N110">
        <v>2655268603316</v>
      </c>
      <c r="O110">
        <v>728002365</v>
      </c>
      <c r="P110">
        <v>558377813955000</v>
      </c>
    </row>
    <row r="111" spans="1:16">
      <c r="A111" t="s">
        <v>19</v>
      </c>
      <c r="B111">
        <v>20260122</v>
      </c>
      <c r="C111">
        <v>660</v>
      </c>
      <c r="D111" t="s">
        <v>20</v>
      </c>
      <c r="E111" t="s">
        <v>19</v>
      </c>
      <c r="F111" t="s">
        <v>17</v>
      </c>
      <c r="G111">
        <v>755000</v>
      </c>
      <c r="H111">
        <v>15000</v>
      </c>
      <c r="I111">
        <v>2.0299999999999998</v>
      </c>
      <c r="J111">
        <v>766000</v>
      </c>
      <c r="K111">
        <v>773000</v>
      </c>
      <c r="L111">
        <v>751000</v>
      </c>
      <c r="M111">
        <v>3545309</v>
      </c>
      <c r="N111">
        <v>2699826367844</v>
      </c>
      <c r="O111">
        <v>728002365</v>
      </c>
      <c r="P111">
        <v>549641785575000</v>
      </c>
    </row>
    <row r="112" spans="1:16">
      <c r="A112" t="s">
        <v>19</v>
      </c>
      <c r="B112">
        <v>20260121</v>
      </c>
      <c r="C112">
        <v>660</v>
      </c>
      <c r="D112" t="s">
        <v>20</v>
      </c>
      <c r="E112" t="s">
        <v>19</v>
      </c>
      <c r="F112" t="s">
        <v>17</v>
      </c>
      <c r="G112">
        <v>740000</v>
      </c>
      <c r="H112">
        <v>-3000</v>
      </c>
      <c r="I112">
        <v>-0.4</v>
      </c>
      <c r="J112">
        <v>729000</v>
      </c>
      <c r="K112">
        <v>756000</v>
      </c>
      <c r="L112">
        <v>728000</v>
      </c>
      <c r="M112">
        <v>5108442</v>
      </c>
      <c r="N112">
        <v>3794476507116</v>
      </c>
      <c r="O112">
        <v>728002365</v>
      </c>
      <c r="P112">
        <v>538721750100000</v>
      </c>
    </row>
    <row r="113" spans="1:16">
      <c r="A113" t="s">
        <v>19</v>
      </c>
      <c r="B113">
        <v>20260120</v>
      </c>
      <c r="C113">
        <v>660</v>
      </c>
      <c r="D113" t="s">
        <v>20</v>
      </c>
      <c r="E113" t="s">
        <v>19</v>
      </c>
      <c r="F113" t="s">
        <v>17</v>
      </c>
      <c r="G113">
        <v>743000</v>
      </c>
      <c r="H113">
        <v>-21000</v>
      </c>
      <c r="I113">
        <v>-2.75</v>
      </c>
      <c r="J113">
        <v>764000</v>
      </c>
      <c r="K113">
        <v>764000</v>
      </c>
      <c r="L113">
        <v>737000</v>
      </c>
      <c r="M113">
        <v>2762369</v>
      </c>
      <c r="N113">
        <v>2066362484000</v>
      </c>
      <c r="O113">
        <v>728002365</v>
      </c>
      <c r="P113">
        <v>540905757195000</v>
      </c>
    </row>
    <row r="114" spans="1:16">
      <c r="A114" t="s">
        <v>19</v>
      </c>
      <c r="B114">
        <v>20260119</v>
      </c>
      <c r="C114">
        <v>660</v>
      </c>
      <c r="D114" t="s">
        <v>20</v>
      </c>
      <c r="E114" t="s">
        <v>19</v>
      </c>
      <c r="F114" t="s">
        <v>17</v>
      </c>
      <c r="G114">
        <v>764000</v>
      </c>
      <c r="H114">
        <v>8000</v>
      </c>
      <c r="I114">
        <v>1.06</v>
      </c>
      <c r="J114">
        <v>755000</v>
      </c>
      <c r="K114">
        <v>774000</v>
      </c>
      <c r="L114">
        <v>750000</v>
      </c>
      <c r="M114">
        <v>3392008</v>
      </c>
      <c r="N114">
        <v>2588923615000</v>
      </c>
      <c r="O114">
        <v>728002365</v>
      </c>
      <c r="P114">
        <v>556193806860000</v>
      </c>
    </row>
    <row r="115" spans="1:16">
      <c r="A115" t="s">
        <v>19</v>
      </c>
      <c r="B115">
        <v>20260116</v>
      </c>
      <c r="C115">
        <v>660</v>
      </c>
      <c r="D115" t="s">
        <v>20</v>
      </c>
      <c r="E115" t="s">
        <v>19</v>
      </c>
      <c r="F115" t="s">
        <v>17</v>
      </c>
      <c r="G115">
        <v>756000</v>
      </c>
      <c r="H115">
        <v>7000</v>
      </c>
      <c r="I115">
        <v>0.93</v>
      </c>
      <c r="J115">
        <v>751000</v>
      </c>
      <c r="K115">
        <v>763000</v>
      </c>
      <c r="L115">
        <v>747000</v>
      </c>
      <c r="M115">
        <v>3712326</v>
      </c>
      <c r="N115">
        <v>2800148676108</v>
      </c>
      <c r="O115">
        <v>728002365</v>
      </c>
      <c r="P115">
        <v>550369787940000</v>
      </c>
    </row>
    <row r="116" spans="1:16">
      <c r="A116" t="s">
        <v>19</v>
      </c>
      <c r="B116">
        <v>20260115</v>
      </c>
      <c r="C116">
        <v>660</v>
      </c>
      <c r="D116" t="s">
        <v>20</v>
      </c>
      <c r="E116" t="s">
        <v>19</v>
      </c>
      <c r="F116" t="s">
        <v>17</v>
      </c>
      <c r="G116">
        <v>749000</v>
      </c>
      <c r="H116">
        <v>7000</v>
      </c>
      <c r="I116">
        <v>0.94</v>
      </c>
      <c r="J116">
        <v>732000</v>
      </c>
      <c r="K116">
        <v>750000</v>
      </c>
      <c r="L116">
        <v>727000</v>
      </c>
      <c r="M116">
        <v>3003414</v>
      </c>
      <c r="N116">
        <v>2221828050300</v>
      </c>
      <c r="O116">
        <v>728002365</v>
      </c>
      <c r="P116">
        <v>545273771385000</v>
      </c>
    </row>
    <row r="117" spans="1:16">
      <c r="A117" t="s">
        <v>19</v>
      </c>
      <c r="B117">
        <v>20260114</v>
      </c>
      <c r="C117">
        <v>660</v>
      </c>
      <c r="D117" t="s">
        <v>20</v>
      </c>
      <c r="E117" t="s">
        <v>19</v>
      </c>
      <c r="F117" t="s">
        <v>17</v>
      </c>
      <c r="G117">
        <v>742000</v>
      </c>
      <c r="H117">
        <v>4000</v>
      </c>
      <c r="I117">
        <v>0.54</v>
      </c>
      <c r="J117">
        <v>733000</v>
      </c>
      <c r="K117">
        <v>750000</v>
      </c>
      <c r="L117">
        <v>728000</v>
      </c>
      <c r="M117">
        <v>4885051</v>
      </c>
      <c r="N117">
        <v>3612610326132</v>
      </c>
      <c r="O117">
        <v>728002365</v>
      </c>
      <c r="P117">
        <v>540177754830000</v>
      </c>
    </row>
    <row r="118" spans="1:16">
      <c r="A118" t="s">
        <v>19</v>
      </c>
      <c r="B118">
        <v>20260113</v>
      </c>
      <c r="C118">
        <v>660</v>
      </c>
      <c r="D118" t="s">
        <v>20</v>
      </c>
      <c r="E118" t="s">
        <v>19</v>
      </c>
      <c r="F118" t="s">
        <v>17</v>
      </c>
      <c r="G118">
        <v>738000</v>
      </c>
      <c r="H118">
        <v>-11000</v>
      </c>
      <c r="I118">
        <v>-1.47</v>
      </c>
      <c r="J118">
        <v>753000</v>
      </c>
      <c r="K118">
        <v>754000</v>
      </c>
      <c r="L118">
        <v>724000</v>
      </c>
      <c r="M118">
        <v>3771944</v>
      </c>
      <c r="N118">
        <v>2784052503000</v>
      </c>
      <c r="O118">
        <v>728002365</v>
      </c>
      <c r="P118">
        <v>537265745370000</v>
      </c>
    </row>
    <row r="119" spans="1:16">
      <c r="A119" t="s">
        <v>19</v>
      </c>
      <c r="B119">
        <v>20260112</v>
      </c>
      <c r="C119">
        <v>660</v>
      </c>
      <c r="D119" t="s">
        <v>20</v>
      </c>
      <c r="E119" t="s">
        <v>19</v>
      </c>
      <c r="F119" t="s">
        <v>17</v>
      </c>
      <c r="G119">
        <v>749000</v>
      </c>
      <c r="H119">
        <v>5000</v>
      </c>
      <c r="I119">
        <v>0.67</v>
      </c>
      <c r="J119">
        <v>755000</v>
      </c>
      <c r="K119">
        <v>762000</v>
      </c>
      <c r="L119">
        <v>735000</v>
      </c>
      <c r="M119">
        <v>3329793</v>
      </c>
      <c r="N119">
        <v>2499458505000</v>
      </c>
      <c r="O119">
        <v>728002365</v>
      </c>
      <c r="P119">
        <v>545273771385000</v>
      </c>
    </row>
    <row r="120" spans="1:16">
      <c r="A120" t="s">
        <v>19</v>
      </c>
      <c r="B120">
        <v>20260109</v>
      </c>
      <c r="C120">
        <v>660</v>
      </c>
      <c r="D120" t="s">
        <v>20</v>
      </c>
      <c r="E120" t="s">
        <v>19</v>
      </c>
      <c r="F120" t="s">
        <v>17</v>
      </c>
      <c r="G120">
        <v>744000</v>
      </c>
      <c r="H120">
        <v>-12000</v>
      </c>
      <c r="I120">
        <v>-1.59</v>
      </c>
      <c r="J120">
        <v>744000</v>
      </c>
      <c r="K120">
        <v>756000</v>
      </c>
      <c r="L120">
        <v>727000</v>
      </c>
      <c r="M120">
        <v>4343703</v>
      </c>
      <c r="N120">
        <v>3225029514448</v>
      </c>
      <c r="O120">
        <v>728002365</v>
      </c>
      <c r="P120">
        <v>541633759560000</v>
      </c>
    </row>
    <row r="121" spans="1:16">
      <c r="A121" t="s">
        <v>19</v>
      </c>
      <c r="B121">
        <v>20260108</v>
      </c>
      <c r="C121">
        <v>660</v>
      </c>
      <c r="D121" t="s">
        <v>20</v>
      </c>
      <c r="E121" t="s">
        <v>19</v>
      </c>
      <c r="F121" t="s">
        <v>17</v>
      </c>
      <c r="G121">
        <v>756000</v>
      </c>
      <c r="H121">
        <v>14000</v>
      </c>
      <c r="I121">
        <v>1.89</v>
      </c>
      <c r="J121">
        <v>731000</v>
      </c>
      <c r="K121">
        <v>788000</v>
      </c>
      <c r="L121">
        <v>731000</v>
      </c>
      <c r="M121">
        <v>6496379</v>
      </c>
      <c r="N121">
        <v>4974842286972</v>
      </c>
      <c r="O121">
        <v>728002365</v>
      </c>
      <c r="P121">
        <v>550369787940000</v>
      </c>
    </row>
    <row r="122" spans="1:16">
      <c r="A122" t="s">
        <v>19</v>
      </c>
      <c r="B122">
        <v>20260107</v>
      </c>
      <c r="C122">
        <v>660</v>
      </c>
      <c r="D122" t="s">
        <v>20</v>
      </c>
      <c r="E122" t="s">
        <v>19</v>
      </c>
      <c r="F122" t="s">
        <v>17</v>
      </c>
      <c r="G122">
        <v>742000</v>
      </c>
      <c r="H122">
        <v>16000</v>
      </c>
      <c r="I122">
        <v>2.2000000000000002</v>
      </c>
      <c r="J122">
        <v>760000</v>
      </c>
      <c r="K122">
        <v>762000</v>
      </c>
      <c r="L122">
        <v>728000</v>
      </c>
      <c r="M122">
        <v>5693115</v>
      </c>
      <c r="N122">
        <v>4253604033000</v>
      </c>
      <c r="O122">
        <v>728002365</v>
      </c>
      <c r="P122">
        <v>540177754830000</v>
      </c>
    </row>
    <row r="123" spans="1:16">
      <c r="A123" t="s">
        <v>19</v>
      </c>
      <c r="B123">
        <v>20260106</v>
      </c>
      <c r="C123">
        <v>660</v>
      </c>
      <c r="D123" t="s">
        <v>20</v>
      </c>
      <c r="E123" t="s">
        <v>19</v>
      </c>
      <c r="F123" t="s">
        <v>17</v>
      </c>
      <c r="G123">
        <v>726000</v>
      </c>
      <c r="H123">
        <v>30000</v>
      </c>
      <c r="I123">
        <v>4.3099999999999996</v>
      </c>
      <c r="J123">
        <v>690000</v>
      </c>
      <c r="K123">
        <v>727000</v>
      </c>
      <c r="L123">
        <v>671000</v>
      </c>
      <c r="M123">
        <v>4830275</v>
      </c>
      <c r="N123">
        <v>3381650231374</v>
      </c>
      <c r="O123">
        <v>728002365</v>
      </c>
      <c r="P123">
        <v>528529716990000</v>
      </c>
    </row>
    <row r="124" spans="1:16">
      <c r="A124" t="s">
        <v>19</v>
      </c>
      <c r="B124">
        <v>20260105</v>
      </c>
      <c r="C124">
        <v>660</v>
      </c>
      <c r="D124" t="s">
        <v>20</v>
      </c>
      <c r="E124" t="s">
        <v>19</v>
      </c>
      <c r="F124" t="s">
        <v>17</v>
      </c>
      <c r="G124">
        <v>696000</v>
      </c>
      <c r="H124">
        <v>19000</v>
      </c>
      <c r="I124">
        <v>2.81</v>
      </c>
      <c r="J124">
        <v>698000</v>
      </c>
      <c r="K124">
        <v>700000</v>
      </c>
      <c r="L124">
        <v>684000</v>
      </c>
      <c r="M124">
        <v>4337511</v>
      </c>
      <c r="N124">
        <v>3007998338292</v>
      </c>
      <c r="O124">
        <v>728002365</v>
      </c>
      <c r="P124">
        <v>506689646040000</v>
      </c>
    </row>
    <row r="125" spans="1:16">
      <c r="A125" t="s">
        <v>19</v>
      </c>
      <c r="B125">
        <v>20260102</v>
      </c>
      <c r="C125">
        <v>660</v>
      </c>
      <c r="D125" t="s">
        <v>20</v>
      </c>
      <c r="E125" t="s">
        <v>19</v>
      </c>
      <c r="F125" t="s">
        <v>17</v>
      </c>
      <c r="G125">
        <v>677000</v>
      </c>
      <c r="H125">
        <v>26000</v>
      </c>
      <c r="I125">
        <v>3.99</v>
      </c>
      <c r="J125">
        <v>651000</v>
      </c>
      <c r="K125">
        <v>679000</v>
      </c>
      <c r="L125">
        <v>647000</v>
      </c>
      <c r="M125">
        <v>4181895</v>
      </c>
      <c r="N125">
        <v>2778983677000</v>
      </c>
      <c r="O125">
        <v>728002365</v>
      </c>
      <c r="P125">
        <v>492857601105000</v>
      </c>
    </row>
    <row r="126" spans="1:16">
      <c r="A126" t="s">
        <v>21</v>
      </c>
      <c r="B126">
        <v>20260403</v>
      </c>
      <c r="C126">
        <v>5380</v>
      </c>
      <c r="D126" t="s">
        <v>22</v>
      </c>
      <c r="E126" t="s">
        <v>21</v>
      </c>
      <c r="F126" t="s">
        <v>17</v>
      </c>
      <c r="G126">
        <v>471000</v>
      </c>
      <c r="H126">
        <v>5500</v>
      </c>
      <c r="I126">
        <v>1.18</v>
      </c>
      <c r="J126">
        <v>475500</v>
      </c>
      <c r="K126">
        <v>485000</v>
      </c>
      <c r="L126">
        <v>467000</v>
      </c>
      <c r="M126">
        <v>659219</v>
      </c>
      <c r="N126">
        <v>311857711750</v>
      </c>
      <c r="O126">
        <v>204757766</v>
      </c>
      <c r="P126">
        <v>96440907786000</v>
      </c>
    </row>
    <row r="127" spans="1:16">
      <c r="A127" t="s">
        <v>21</v>
      </c>
      <c r="B127">
        <v>20260402</v>
      </c>
      <c r="C127">
        <v>5380</v>
      </c>
      <c r="D127" t="s">
        <v>22</v>
      </c>
      <c r="E127" t="s">
        <v>21</v>
      </c>
      <c r="F127" t="s">
        <v>17</v>
      </c>
      <c r="G127">
        <v>465500</v>
      </c>
      <c r="H127">
        <v>-22500</v>
      </c>
      <c r="I127">
        <v>-4.6100000000000003</v>
      </c>
      <c r="J127">
        <v>499000</v>
      </c>
      <c r="K127">
        <v>499500</v>
      </c>
      <c r="L127">
        <v>457000</v>
      </c>
      <c r="M127">
        <v>1331860</v>
      </c>
      <c r="N127">
        <v>632199403250</v>
      </c>
      <c r="O127">
        <v>204757766</v>
      </c>
      <c r="P127">
        <v>95314740073000</v>
      </c>
    </row>
    <row r="128" spans="1:16">
      <c r="A128" t="s">
        <v>21</v>
      </c>
      <c r="B128">
        <v>20260401</v>
      </c>
      <c r="C128">
        <v>5380</v>
      </c>
      <c r="D128" t="s">
        <v>22</v>
      </c>
      <c r="E128" t="s">
        <v>21</v>
      </c>
      <c r="F128" t="s">
        <v>17</v>
      </c>
      <c r="G128">
        <v>488000</v>
      </c>
      <c r="H128">
        <v>42500</v>
      </c>
      <c r="I128">
        <v>9.5399999999999991</v>
      </c>
      <c r="J128">
        <v>472000</v>
      </c>
      <c r="K128">
        <v>492500</v>
      </c>
      <c r="L128">
        <v>466000</v>
      </c>
      <c r="M128">
        <v>974266</v>
      </c>
      <c r="N128">
        <v>468097936000</v>
      </c>
      <c r="O128">
        <v>204757766</v>
      </c>
      <c r="P128">
        <v>99921789808000</v>
      </c>
    </row>
    <row r="129" spans="1:16">
      <c r="A129" t="s">
        <v>21</v>
      </c>
      <c r="B129">
        <v>20260331</v>
      </c>
      <c r="C129">
        <v>5380</v>
      </c>
      <c r="D129" t="s">
        <v>22</v>
      </c>
      <c r="E129" t="s">
        <v>21</v>
      </c>
      <c r="F129" t="s">
        <v>17</v>
      </c>
      <c r="G129">
        <v>445500</v>
      </c>
      <c r="H129">
        <v>-24000</v>
      </c>
      <c r="I129">
        <v>-5.1100000000000003</v>
      </c>
      <c r="J129">
        <v>459500</v>
      </c>
      <c r="K129">
        <v>464000</v>
      </c>
      <c r="L129">
        <v>445000</v>
      </c>
      <c r="M129">
        <v>1271113</v>
      </c>
      <c r="N129">
        <v>573987079500</v>
      </c>
      <c r="O129">
        <v>204757766</v>
      </c>
      <c r="P129">
        <v>91219584753000</v>
      </c>
    </row>
    <row r="130" spans="1:16">
      <c r="A130" t="s">
        <v>21</v>
      </c>
      <c r="B130">
        <v>20260330</v>
      </c>
      <c r="C130">
        <v>5380</v>
      </c>
      <c r="D130" t="s">
        <v>22</v>
      </c>
      <c r="E130" t="s">
        <v>21</v>
      </c>
      <c r="F130" t="s">
        <v>17</v>
      </c>
      <c r="G130">
        <v>469500</v>
      </c>
      <c r="H130">
        <v>-25500</v>
      </c>
      <c r="I130">
        <v>-5.15</v>
      </c>
      <c r="J130">
        <v>468500</v>
      </c>
      <c r="K130">
        <v>472500</v>
      </c>
      <c r="L130">
        <v>461000</v>
      </c>
      <c r="M130">
        <v>942256</v>
      </c>
      <c r="N130">
        <v>441044297000</v>
      </c>
      <c r="O130">
        <v>204757766</v>
      </c>
      <c r="P130">
        <v>96133771137000</v>
      </c>
    </row>
    <row r="131" spans="1:16">
      <c r="A131" t="s">
        <v>21</v>
      </c>
      <c r="B131">
        <v>20260327</v>
      </c>
      <c r="C131">
        <v>5380</v>
      </c>
      <c r="D131" t="s">
        <v>22</v>
      </c>
      <c r="E131" t="s">
        <v>21</v>
      </c>
      <c r="F131" t="s">
        <v>17</v>
      </c>
      <c r="G131">
        <v>495000</v>
      </c>
      <c r="H131">
        <v>5000</v>
      </c>
      <c r="I131">
        <v>1.02</v>
      </c>
      <c r="J131">
        <v>472500</v>
      </c>
      <c r="K131">
        <v>498500</v>
      </c>
      <c r="L131">
        <v>467000</v>
      </c>
      <c r="M131">
        <v>1151726</v>
      </c>
      <c r="N131">
        <v>556807290750</v>
      </c>
      <c r="O131">
        <v>204757766</v>
      </c>
      <c r="P131">
        <v>101355094170000</v>
      </c>
    </row>
    <row r="132" spans="1:16">
      <c r="A132" t="s">
        <v>21</v>
      </c>
      <c r="B132">
        <v>20260326</v>
      </c>
      <c r="C132">
        <v>5380</v>
      </c>
      <c r="D132" t="s">
        <v>22</v>
      </c>
      <c r="E132" t="s">
        <v>21</v>
      </c>
      <c r="F132" t="s">
        <v>17</v>
      </c>
      <c r="G132">
        <v>490000</v>
      </c>
      <c r="H132">
        <v>-11000</v>
      </c>
      <c r="I132">
        <v>-2.2000000000000002</v>
      </c>
      <c r="J132">
        <v>496000</v>
      </c>
      <c r="K132">
        <v>499500</v>
      </c>
      <c r="L132">
        <v>486000</v>
      </c>
      <c r="M132">
        <v>954455</v>
      </c>
      <c r="N132">
        <v>469150545250</v>
      </c>
      <c r="O132">
        <v>204757766</v>
      </c>
      <c r="P132">
        <v>100331305340000</v>
      </c>
    </row>
    <row r="133" spans="1:16">
      <c r="A133" t="s">
        <v>21</v>
      </c>
      <c r="B133">
        <v>20260325</v>
      </c>
      <c r="C133">
        <v>5380</v>
      </c>
      <c r="D133" t="s">
        <v>22</v>
      </c>
      <c r="E133" t="s">
        <v>21</v>
      </c>
      <c r="F133" t="s">
        <v>17</v>
      </c>
      <c r="G133">
        <v>501000</v>
      </c>
      <c r="H133">
        <v>9000</v>
      </c>
      <c r="I133">
        <v>1.83</v>
      </c>
      <c r="J133">
        <v>509000</v>
      </c>
      <c r="K133">
        <v>518000</v>
      </c>
      <c r="L133">
        <v>498500</v>
      </c>
      <c r="M133">
        <v>1102731</v>
      </c>
      <c r="N133">
        <v>557082878750</v>
      </c>
      <c r="O133">
        <v>204757766</v>
      </c>
      <c r="P133">
        <v>102583640766000</v>
      </c>
    </row>
    <row r="134" spans="1:16">
      <c r="A134" t="s">
        <v>21</v>
      </c>
      <c r="B134">
        <v>20260324</v>
      </c>
      <c r="C134">
        <v>5380</v>
      </c>
      <c r="D134" t="s">
        <v>22</v>
      </c>
      <c r="E134" t="s">
        <v>21</v>
      </c>
      <c r="F134" t="s">
        <v>17</v>
      </c>
      <c r="G134">
        <v>492000</v>
      </c>
      <c r="H134">
        <v>7000</v>
      </c>
      <c r="I134">
        <v>1.44</v>
      </c>
      <c r="J134">
        <v>508000</v>
      </c>
      <c r="K134">
        <v>509000</v>
      </c>
      <c r="L134">
        <v>484000</v>
      </c>
      <c r="M134">
        <v>1082455</v>
      </c>
      <c r="N134">
        <v>534253804750</v>
      </c>
      <c r="O134">
        <v>204757766</v>
      </c>
      <c r="P134">
        <v>100740820872000</v>
      </c>
    </row>
    <row r="135" spans="1:16">
      <c r="A135" t="s">
        <v>21</v>
      </c>
      <c r="B135">
        <v>20260323</v>
      </c>
      <c r="C135">
        <v>5380</v>
      </c>
      <c r="D135" t="s">
        <v>22</v>
      </c>
      <c r="E135" t="s">
        <v>21</v>
      </c>
      <c r="F135" t="s">
        <v>17</v>
      </c>
      <c r="G135">
        <v>485000</v>
      </c>
      <c r="H135">
        <v>-32000</v>
      </c>
      <c r="I135">
        <v>-6.19</v>
      </c>
      <c r="J135">
        <v>500000</v>
      </c>
      <c r="K135">
        <v>501000</v>
      </c>
      <c r="L135">
        <v>485000</v>
      </c>
      <c r="M135">
        <v>1603262</v>
      </c>
      <c r="N135">
        <v>787026326250</v>
      </c>
      <c r="O135">
        <v>204757766</v>
      </c>
      <c r="P135">
        <v>99307516510000</v>
      </c>
    </row>
    <row r="136" spans="1:16">
      <c r="A136" t="s">
        <v>21</v>
      </c>
      <c r="B136">
        <v>20260320</v>
      </c>
      <c r="C136">
        <v>5380</v>
      </c>
      <c r="D136" t="s">
        <v>22</v>
      </c>
      <c r="E136" t="s">
        <v>21</v>
      </c>
      <c r="F136" t="s">
        <v>17</v>
      </c>
      <c r="G136">
        <v>517000</v>
      </c>
      <c r="H136">
        <v>-5000</v>
      </c>
      <c r="I136">
        <v>-0.96</v>
      </c>
      <c r="J136">
        <v>527000</v>
      </c>
      <c r="K136">
        <v>528000</v>
      </c>
      <c r="L136">
        <v>517000</v>
      </c>
      <c r="M136">
        <v>1049264</v>
      </c>
      <c r="N136">
        <v>545346618500</v>
      </c>
      <c r="O136">
        <v>204757766</v>
      </c>
      <c r="P136">
        <v>105859765022000</v>
      </c>
    </row>
    <row r="137" spans="1:16">
      <c r="A137" t="s">
        <v>21</v>
      </c>
      <c r="B137">
        <v>20260319</v>
      </c>
      <c r="C137">
        <v>5380</v>
      </c>
      <c r="D137" t="s">
        <v>22</v>
      </c>
      <c r="E137" t="s">
        <v>21</v>
      </c>
      <c r="F137" t="s">
        <v>17</v>
      </c>
      <c r="G137">
        <v>522000</v>
      </c>
      <c r="H137">
        <v>-23000</v>
      </c>
      <c r="I137">
        <v>-4.22</v>
      </c>
      <c r="J137">
        <v>521000</v>
      </c>
      <c r="K137">
        <v>530000</v>
      </c>
      <c r="L137">
        <v>521000</v>
      </c>
      <c r="M137">
        <v>770000</v>
      </c>
      <c r="N137">
        <v>404154305500</v>
      </c>
      <c r="O137">
        <v>204757766</v>
      </c>
      <c r="P137">
        <v>106883553852000</v>
      </c>
    </row>
    <row r="138" spans="1:16">
      <c r="A138" t="s">
        <v>21</v>
      </c>
      <c r="B138">
        <v>20260318</v>
      </c>
      <c r="C138">
        <v>5380</v>
      </c>
      <c r="D138" t="s">
        <v>22</v>
      </c>
      <c r="E138" t="s">
        <v>21</v>
      </c>
      <c r="F138" t="s">
        <v>17</v>
      </c>
      <c r="G138">
        <v>545000</v>
      </c>
      <c r="H138">
        <v>23000</v>
      </c>
      <c r="I138">
        <v>4.41</v>
      </c>
      <c r="J138">
        <v>536000</v>
      </c>
      <c r="K138">
        <v>545000</v>
      </c>
      <c r="L138">
        <v>530000</v>
      </c>
      <c r="M138">
        <v>930616</v>
      </c>
      <c r="N138">
        <v>502057597000</v>
      </c>
      <c r="O138">
        <v>204757766</v>
      </c>
      <c r="P138">
        <v>111592982470000</v>
      </c>
    </row>
    <row r="139" spans="1:16">
      <c r="A139" t="s">
        <v>21</v>
      </c>
      <c r="B139">
        <v>20260317</v>
      </c>
      <c r="C139">
        <v>5380</v>
      </c>
      <c r="D139" t="s">
        <v>22</v>
      </c>
      <c r="E139" t="s">
        <v>21</v>
      </c>
      <c r="F139" t="s">
        <v>17</v>
      </c>
      <c r="G139">
        <v>522000</v>
      </c>
      <c r="H139">
        <v>16000</v>
      </c>
      <c r="I139">
        <v>3.16</v>
      </c>
      <c r="J139">
        <v>528000</v>
      </c>
      <c r="K139">
        <v>544000</v>
      </c>
      <c r="L139">
        <v>520000</v>
      </c>
      <c r="M139">
        <v>1346937</v>
      </c>
      <c r="N139">
        <v>715461538000</v>
      </c>
      <c r="O139">
        <v>204757766</v>
      </c>
      <c r="P139">
        <v>106883553852000</v>
      </c>
    </row>
    <row r="140" spans="1:16">
      <c r="A140" t="s">
        <v>21</v>
      </c>
      <c r="B140">
        <v>20260316</v>
      </c>
      <c r="C140">
        <v>5380</v>
      </c>
      <c r="D140" t="s">
        <v>22</v>
      </c>
      <c r="E140" t="s">
        <v>21</v>
      </c>
      <c r="F140" t="s">
        <v>17</v>
      </c>
      <c r="G140">
        <v>506000</v>
      </c>
      <c r="H140">
        <v>-11000</v>
      </c>
      <c r="I140">
        <v>-2.13</v>
      </c>
      <c r="J140">
        <v>511000</v>
      </c>
      <c r="K140">
        <v>520000</v>
      </c>
      <c r="L140">
        <v>499000</v>
      </c>
      <c r="M140">
        <v>1348089</v>
      </c>
      <c r="N140">
        <v>680424593000</v>
      </c>
      <c r="O140">
        <v>204757766</v>
      </c>
      <c r="P140">
        <v>103607429596000</v>
      </c>
    </row>
    <row r="141" spans="1:16">
      <c r="A141" t="s">
        <v>21</v>
      </c>
      <c r="B141">
        <v>20260313</v>
      </c>
      <c r="C141">
        <v>5380</v>
      </c>
      <c r="D141" t="s">
        <v>22</v>
      </c>
      <c r="E141" t="s">
        <v>21</v>
      </c>
      <c r="F141" t="s">
        <v>17</v>
      </c>
      <c r="G141">
        <v>517000</v>
      </c>
      <c r="H141">
        <v>-4000</v>
      </c>
      <c r="I141">
        <v>-0.77</v>
      </c>
      <c r="J141">
        <v>502000</v>
      </c>
      <c r="K141">
        <v>529500</v>
      </c>
      <c r="L141">
        <v>501000</v>
      </c>
      <c r="M141">
        <v>950437</v>
      </c>
      <c r="N141">
        <v>490787480000</v>
      </c>
      <c r="O141">
        <v>204757766</v>
      </c>
      <c r="P141">
        <v>105859765022000</v>
      </c>
    </row>
    <row r="142" spans="1:16">
      <c r="A142" t="s">
        <v>21</v>
      </c>
      <c r="B142">
        <v>20260312</v>
      </c>
      <c r="C142">
        <v>5380</v>
      </c>
      <c r="D142" t="s">
        <v>22</v>
      </c>
      <c r="E142" t="s">
        <v>21</v>
      </c>
      <c r="F142" t="s">
        <v>17</v>
      </c>
      <c r="G142">
        <v>521000</v>
      </c>
      <c r="H142">
        <v>-9000</v>
      </c>
      <c r="I142">
        <v>-1.7</v>
      </c>
      <c r="J142">
        <v>524000</v>
      </c>
      <c r="K142">
        <v>528000</v>
      </c>
      <c r="L142">
        <v>513000</v>
      </c>
      <c r="M142">
        <v>1146292</v>
      </c>
      <c r="N142">
        <v>596531161500</v>
      </c>
      <c r="O142">
        <v>204757766</v>
      </c>
      <c r="P142">
        <v>106678796086000</v>
      </c>
    </row>
    <row r="143" spans="1:16">
      <c r="A143" t="s">
        <v>21</v>
      </c>
      <c r="B143">
        <v>20260311</v>
      </c>
      <c r="C143">
        <v>5380</v>
      </c>
      <c r="D143" t="s">
        <v>22</v>
      </c>
      <c r="E143" t="s">
        <v>21</v>
      </c>
      <c r="F143" t="s">
        <v>17</v>
      </c>
      <c r="G143">
        <v>530000</v>
      </c>
      <c r="H143">
        <v>5000</v>
      </c>
      <c r="I143">
        <v>0.95</v>
      </c>
      <c r="J143">
        <v>550000</v>
      </c>
      <c r="K143">
        <v>561000</v>
      </c>
      <c r="L143">
        <v>523000</v>
      </c>
      <c r="M143">
        <v>1415825</v>
      </c>
      <c r="N143">
        <v>766091876500</v>
      </c>
      <c r="O143">
        <v>204757766</v>
      </c>
      <c r="P143">
        <v>108521615980000</v>
      </c>
    </row>
    <row r="144" spans="1:16">
      <c r="A144" t="s">
        <v>21</v>
      </c>
      <c r="B144">
        <v>20260310</v>
      </c>
      <c r="C144">
        <v>5380</v>
      </c>
      <c r="D144" t="s">
        <v>22</v>
      </c>
      <c r="E144" t="s">
        <v>21</v>
      </c>
      <c r="F144" t="s">
        <v>17</v>
      </c>
      <c r="G144">
        <v>525000</v>
      </c>
      <c r="H144">
        <v>18000</v>
      </c>
      <c r="I144">
        <v>3.55</v>
      </c>
      <c r="J144">
        <v>538000</v>
      </c>
      <c r="K144">
        <v>541000</v>
      </c>
      <c r="L144">
        <v>519000</v>
      </c>
      <c r="M144">
        <v>1270933</v>
      </c>
      <c r="N144">
        <v>673361151500</v>
      </c>
      <c r="O144">
        <v>204757766</v>
      </c>
      <c r="P144">
        <v>107497827150000</v>
      </c>
    </row>
    <row r="145" spans="1:16">
      <c r="A145" t="s">
        <v>21</v>
      </c>
      <c r="B145">
        <v>20260309</v>
      </c>
      <c r="C145">
        <v>5380</v>
      </c>
      <c r="D145" t="s">
        <v>22</v>
      </c>
      <c r="E145" t="s">
        <v>21</v>
      </c>
      <c r="F145" t="s">
        <v>17</v>
      </c>
      <c r="G145">
        <v>507000</v>
      </c>
      <c r="H145">
        <v>-46000</v>
      </c>
      <c r="I145">
        <v>-8.32</v>
      </c>
      <c r="J145">
        <v>504000</v>
      </c>
      <c r="K145">
        <v>511000</v>
      </c>
      <c r="L145">
        <v>491000</v>
      </c>
      <c r="M145">
        <v>1913094</v>
      </c>
      <c r="N145">
        <v>957042736818</v>
      </c>
      <c r="O145">
        <v>204757766</v>
      </c>
      <c r="P145">
        <v>103812187362000</v>
      </c>
    </row>
    <row r="146" spans="1:16">
      <c r="A146" t="s">
        <v>21</v>
      </c>
      <c r="B146">
        <v>20260306</v>
      </c>
      <c r="C146">
        <v>5380</v>
      </c>
      <c r="D146" t="s">
        <v>22</v>
      </c>
      <c r="E146" t="s">
        <v>21</v>
      </c>
      <c r="F146" t="s">
        <v>17</v>
      </c>
      <c r="G146">
        <v>553000</v>
      </c>
      <c r="H146">
        <v>5000</v>
      </c>
      <c r="I146">
        <v>0.91</v>
      </c>
      <c r="J146">
        <v>532000</v>
      </c>
      <c r="K146">
        <v>564000</v>
      </c>
      <c r="L146">
        <v>530000</v>
      </c>
      <c r="M146">
        <v>1582300</v>
      </c>
      <c r="N146">
        <v>866474723500</v>
      </c>
      <c r="O146">
        <v>204757766</v>
      </c>
      <c r="P146">
        <v>113231044598000</v>
      </c>
    </row>
    <row r="147" spans="1:16">
      <c r="A147" t="s">
        <v>21</v>
      </c>
      <c r="B147">
        <v>20260305</v>
      </c>
      <c r="C147">
        <v>5380</v>
      </c>
      <c r="D147" t="s">
        <v>22</v>
      </c>
      <c r="E147" t="s">
        <v>21</v>
      </c>
      <c r="F147" t="s">
        <v>17</v>
      </c>
      <c r="G147">
        <v>548000</v>
      </c>
      <c r="H147">
        <v>47000</v>
      </c>
      <c r="I147">
        <v>9.3800000000000008</v>
      </c>
      <c r="J147">
        <v>565000</v>
      </c>
      <c r="K147">
        <v>582000</v>
      </c>
      <c r="L147">
        <v>540000</v>
      </c>
      <c r="M147">
        <v>2663493</v>
      </c>
      <c r="N147">
        <v>1491066599000</v>
      </c>
      <c r="O147">
        <v>204757766</v>
      </c>
      <c r="P147">
        <v>112207255768000</v>
      </c>
    </row>
    <row r="148" spans="1:16">
      <c r="A148" t="s">
        <v>21</v>
      </c>
      <c r="B148">
        <v>20260304</v>
      </c>
      <c r="C148">
        <v>5380</v>
      </c>
      <c r="D148" t="s">
        <v>22</v>
      </c>
      <c r="E148" t="s">
        <v>21</v>
      </c>
      <c r="F148" t="s">
        <v>17</v>
      </c>
      <c r="G148">
        <v>501000</v>
      </c>
      <c r="H148">
        <v>-94000</v>
      </c>
      <c r="I148">
        <v>-15.8</v>
      </c>
      <c r="J148">
        <v>560000</v>
      </c>
      <c r="K148">
        <v>593000</v>
      </c>
      <c r="L148">
        <v>497500</v>
      </c>
      <c r="M148">
        <v>4855346</v>
      </c>
      <c r="N148">
        <v>2597594558750</v>
      </c>
      <c r="O148">
        <v>204757766</v>
      </c>
      <c r="P148">
        <v>102583640766000</v>
      </c>
    </row>
    <row r="149" spans="1:16">
      <c r="A149" t="s">
        <v>21</v>
      </c>
      <c r="B149">
        <v>20260303</v>
      </c>
      <c r="C149">
        <v>5380</v>
      </c>
      <c r="D149" t="s">
        <v>22</v>
      </c>
      <c r="E149" t="s">
        <v>21</v>
      </c>
      <c r="F149" t="s">
        <v>17</v>
      </c>
      <c r="G149">
        <v>595000</v>
      </c>
      <c r="H149">
        <v>-79000</v>
      </c>
      <c r="I149">
        <v>-11.72</v>
      </c>
      <c r="J149">
        <v>654000</v>
      </c>
      <c r="K149">
        <v>658000</v>
      </c>
      <c r="L149">
        <v>594000</v>
      </c>
      <c r="M149">
        <v>3763225</v>
      </c>
      <c r="N149">
        <v>2350545257000</v>
      </c>
      <c r="O149">
        <v>204757766</v>
      </c>
      <c r="P149">
        <v>121830870770000</v>
      </c>
    </row>
    <row r="150" spans="1:16">
      <c r="A150" t="s">
        <v>21</v>
      </c>
      <c r="B150">
        <v>20260227</v>
      </c>
      <c r="C150">
        <v>5380</v>
      </c>
      <c r="D150" t="s">
        <v>22</v>
      </c>
      <c r="E150" t="s">
        <v>21</v>
      </c>
      <c r="F150" t="s">
        <v>17</v>
      </c>
      <c r="G150">
        <v>674000</v>
      </c>
      <c r="H150">
        <v>65000</v>
      </c>
      <c r="I150">
        <v>10.67</v>
      </c>
      <c r="J150">
        <v>592000</v>
      </c>
      <c r="K150">
        <v>687000</v>
      </c>
      <c r="L150">
        <v>590000</v>
      </c>
      <c r="M150">
        <v>4354409</v>
      </c>
      <c r="N150">
        <v>2807363134000</v>
      </c>
      <c r="O150">
        <v>204757766</v>
      </c>
      <c r="P150">
        <v>138006734284000</v>
      </c>
    </row>
    <row r="151" spans="1:16">
      <c r="A151" t="s">
        <v>21</v>
      </c>
      <c r="B151">
        <v>20260226</v>
      </c>
      <c r="C151">
        <v>5380</v>
      </c>
      <c r="D151" t="s">
        <v>22</v>
      </c>
      <c r="E151" t="s">
        <v>21</v>
      </c>
      <c r="F151" t="s">
        <v>17</v>
      </c>
      <c r="G151">
        <v>609000</v>
      </c>
      <c r="H151">
        <v>37000</v>
      </c>
      <c r="I151">
        <v>6.47</v>
      </c>
      <c r="J151">
        <v>574000</v>
      </c>
      <c r="K151">
        <v>618000</v>
      </c>
      <c r="L151">
        <v>563000</v>
      </c>
      <c r="M151">
        <v>2894222</v>
      </c>
      <c r="N151">
        <v>1707953315500</v>
      </c>
      <c r="O151">
        <v>204757766</v>
      </c>
      <c r="P151">
        <v>124697479494000</v>
      </c>
    </row>
    <row r="152" spans="1:16">
      <c r="A152" t="s">
        <v>21</v>
      </c>
      <c r="B152">
        <v>20260225</v>
      </c>
      <c r="C152">
        <v>5380</v>
      </c>
      <c r="D152" t="s">
        <v>22</v>
      </c>
      <c r="E152" t="s">
        <v>21</v>
      </c>
      <c r="F152" t="s">
        <v>17</v>
      </c>
      <c r="G152">
        <v>572000</v>
      </c>
      <c r="H152">
        <v>48000</v>
      </c>
      <c r="I152">
        <v>9.16</v>
      </c>
      <c r="J152">
        <v>535000</v>
      </c>
      <c r="K152">
        <v>584000</v>
      </c>
      <c r="L152">
        <v>532000</v>
      </c>
      <c r="M152">
        <v>4149696</v>
      </c>
      <c r="N152">
        <v>2343545128000</v>
      </c>
      <c r="O152">
        <v>204757766</v>
      </c>
      <c r="P152">
        <v>117121442152000</v>
      </c>
    </row>
    <row r="153" spans="1:16">
      <c r="A153" t="s">
        <v>21</v>
      </c>
      <c r="B153">
        <v>20260224</v>
      </c>
      <c r="C153">
        <v>5380</v>
      </c>
      <c r="D153" t="s">
        <v>22</v>
      </c>
      <c r="E153" t="s">
        <v>21</v>
      </c>
      <c r="F153" t="s">
        <v>17</v>
      </c>
      <c r="G153">
        <v>524000</v>
      </c>
      <c r="H153">
        <v>1000</v>
      </c>
      <c r="I153">
        <v>0.19</v>
      </c>
      <c r="J153">
        <v>522000</v>
      </c>
      <c r="K153">
        <v>530000</v>
      </c>
      <c r="L153">
        <v>505000</v>
      </c>
      <c r="M153">
        <v>1490869</v>
      </c>
      <c r="N153">
        <v>773100818000</v>
      </c>
      <c r="O153">
        <v>204757766</v>
      </c>
      <c r="P153">
        <v>107293069384000</v>
      </c>
    </row>
    <row r="154" spans="1:16">
      <c r="A154" t="s">
        <v>21</v>
      </c>
      <c r="B154">
        <v>20260223</v>
      </c>
      <c r="C154">
        <v>5380</v>
      </c>
      <c r="D154" t="s">
        <v>22</v>
      </c>
      <c r="E154" t="s">
        <v>21</v>
      </c>
      <c r="F154" t="s">
        <v>17</v>
      </c>
      <c r="G154">
        <v>523000</v>
      </c>
      <c r="H154">
        <v>14000</v>
      </c>
      <c r="I154">
        <v>2.75</v>
      </c>
      <c r="J154">
        <v>524000</v>
      </c>
      <c r="K154">
        <v>541000</v>
      </c>
      <c r="L154">
        <v>517000</v>
      </c>
      <c r="M154">
        <v>2094265</v>
      </c>
      <c r="N154">
        <v>1104465268500</v>
      </c>
      <c r="O154">
        <v>204757766</v>
      </c>
      <c r="P154">
        <v>107088311618000</v>
      </c>
    </row>
    <row r="155" spans="1:16">
      <c r="A155" t="s">
        <v>21</v>
      </c>
      <c r="B155">
        <v>20260220</v>
      </c>
      <c r="C155">
        <v>5380</v>
      </c>
      <c r="D155" t="s">
        <v>22</v>
      </c>
      <c r="E155" t="s">
        <v>21</v>
      </c>
      <c r="F155" t="s">
        <v>17</v>
      </c>
      <c r="G155">
        <v>509000</v>
      </c>
      <c r="H155">
        <v>-4000</v>
      </c>
      <c r="I155">
        <v>-0.78</v>
      </c>
      <c r="J155">
        <v>516000</v>
      </c>
      <c r="K155">
        <v>516000</v>
      </c>
      <c r="L155">
        <v>504000</v>
      </c>
      <c r="M155">
        <v>1251835</v>
      </c>
      <c r="N155">
        <v>637092330500</v>
      </c>
      <c r="O155">
        <v>204757766</v>
      </c>
      <c r="P155">
        <v>104221702894000</v>
      </c>
    </row>
    <row r="156" spans="1:16">
      <c r="A156" t="s">
        <v>21</v>
      </c>
      <c r="B156">
        <v>20260219</v>
      </c>
      <c r="C156">
        <v>5380</v>
      </c>
      <c r="D156" t="s">
        <v>22</v>
      </c>
      <c r="E156" t="s">
        <v>21</v>
      </c>
      <c r="F156" t="s">
        <v>17</v>
      </c>
      <c r="G156">
        <v>513000</v>
      </c>
      <c r="H156">
        <v>14000</v>
      </c>
      <c r="I156">
        <v>2.81</v>
      </c>
      <c r="J156">
        <v>504000</v>
      </c>
      <c r="K156">
        <v>523000</v>
      </c>
      <c r="L156">
        <v>495500</v>
      </c>
      <c r="M156">
        <v>1907584</v>
      </c>
      <c r="N156">
        <v>972096753250</v>
      </c>
      <c r="O156">
        <v>204757766</v>
      </c>
      <c r="P156">
        <v>105040733958000</v>
      </c>
    </row>
    <row r="157" spans="1:16">
      <c r="A157" t="s">
        <v>21</v>
      </c>
      <c r="B157">
        <v>20260213</v>
      </c>
      <c r="C157">
        <v>5380</v>
      </c>
      <c r="D157" t="s">
        <v>22</v>
      </c>
      <c r="E157" t="s">
        <v>21</v>
      </c>
      <c r="F157" t="s">
        <v>17</v>
      </c>
      <c r="G157">
        <v>499000</v>
      </c>
      <c r="H157">
        <v>-7000</v>
      </c>
      <c r="I157">
        <v>-1.38</v>
      </c>
      <c r="J157">
        <v>499500</v>
      </c>
      <c r="K157">
        <v>509500</v>
      </c>
      <c r="L157">
        <v>497500</v>
      </c>
      <c r="M157">
        <v>1147006</v>
      </c>
      <c r="N157">
        <v>574835991500</v>
      </c>
      <c r="O157">
        <v>204757766</v>
      </c>
      <c r="P157">
        <v>102174125234000</v>
      </c>
    </row>
    <row r="158" spans="1:16">
      <c r="A158" t="s">
        <v>21</v>
      </c>
      <c r="B158">
        <v>20260212</v>
      </c>
      <c r="C158">
        <v>5380</v>
      </c>
      <c r="D158" t="s">
        <v>22</v>
      </c>
      <c r="E158" t="s">
        <v>21</v>
      </c>
      <c r="F158" t="s">
        <v>17</v>
      </c>
      <c r="G158">
        <v>506000</v>
      </c>
      <c r="H158">
        <v>-3000</v>
      </c>
      <c r="I158">
        <v>-0.59</v>
      </c>
      <c r="J158">
        <v>512000</v>
      </c>
      <c r="K158">
        <v>512000</v>
      </c>
      <c r="L158">
        <v>498000</v>
      </c>
      <c r="M158">
        <v>1733637</v>
      </c>
      <c r="N158">
        <v>874771927750</v>
      </c>
      <c r="O158">
        <v>204757766</v>
      </c>
      <c r="P158">
        <v>103607429596000</v>
      </c>
    </row>
    <row r="159" spans="1:16">
      <c r="A159" t="s">
        <v>21</v>
      </c>
      <c r="B159">
        <v>20260211</v>
      </c>
      <c r="C159">
        <v>5380</v>
      </c>
      <c r="D159" t="s">
        <v>22</v>
      </c>
      <c r="E159" t="s">
        <v>21</v>
      </c>
      <c r="F159" t="s">
        <v>17</v>
      </c>
      <c r="G159">
        <v>509000</v>
      </c>
      <c r="H159">
        <v>28500</v>
      </c>
      <c r="I159">
        <v>5.93</v>
      </c>
      <c r="J159">
        <v>480500</v>
      </c>
      <c r="K159">
        <v>515000</v>
      </c>
      <c r="L159">
        <v>477000</v>
      </c>
      <c r="M159">
        <v>3270111</v>
      </c>
      <c r="N159">
        <v>1639190603500</v>
      </c>
      <c r="O159">
        <v>204757766</v>
      </c>
      <c r="P159">
        <v>104221702894000</v>
      </c>
    </row>
    <row r="160" spans="1:16">
      <c r="A160" t="s">
        <v>21</v>
      </c>
      <c r="B160">
        <v>20260210</v>
      </c>
      <c r="C160">
        <v>5380</v>
      </c>
      <c r="D160" t="s">
        <v>22</v>
      </c>
      <c r="E160" t="s">
        <v>21</v>
      </c>
      <c r="F160" t="s">
        <v>17</v>
      </c>
      <c r="G160">
        <v>480500</v>
      </c>
      <c r="H160">
        <v>2500</v>
      </c>
      <c r="I160">
        <v>0.52</v>
      </c>
      <c r="J160">
        <v>499000</v>
      </c>
      <c r="K160">
        <v>505000</v>
      </c>
      <c r="L160">
        <v>479000</v>
      </c>
      <c r="M160">
        <v>1738747</v>
      </c>
      <c r="N160">
        <v>850651601000</v>
      </c>
      <c r="O160">
        <v>204757766</v>
      </c>
      <c r="P160">
        <v>98386106563000</v>
      </c>
    </row>
    <row r="161" spans="1:16">
      <c r="A161" t="s">
        <v>21</v>
      </c>
      <c r="B161">
        <v>20260209</v>
      </c>
      <c r="C161">
        <v>5380</v>
      </c>
      <c r="D161" t="s">
        <v>22</v>
      </c>
      <c r="E161" t="s">
        <v>21</v>
      </c>
      <c r="F161" t="s">
        <v>17</v>
      </c>
      <c r="G161">
        <v>478000</v>
      </c>
      <c r="H161">
        <v>10500</v>
      </c>
      <c r="I161">
        <v>2.25</v>
      </c>
      <c r="J161">
        <v>484000</v>
      </c>
      <c r="K161">
        <v>485000</v>
      </c>
      <c r="L161">
        <v>473000</v>
      </c>
      <c r="M161">
        <v>1518143</v>
      </c>
      <c r="N161">
        <v>726961477000</v>
      </c>
      <c r="O161">
        <v>204757766</v>
      </c>
      <c r="P161">
        <v>97874212148000</v>
      </c>
    </row>
    <row r="162" spans="1:16">
      <c r="A162" t="s">
        <v>21</v>
      </c>
      <c r="B162">
        <v>20260206</v>
      </c>
      <c r="C162">
        <v>5380</v>
      </c>
      <c r="D162" t="s">
        <v>22</v>
      </c>
      <c r="E162" t="s">
        <v>21</v>
      </c>
      <c r="F162" t="s">
        <v>17</v>
      </c>
      <c r="G162">
        <v>467500</v>
      </c>
      <c r="H162">
        <v>-21000</v>
      </c>
      <c r="I162">
        <v>-4.3</v>
      </c>
      <c r="J162">
        <v>469500</v>
      </c>
      <c r="K162">
        <v>473000</v>
      </c>
      <c r="L162">
        <v>452000</v>
      </c>
      <c r="M162">
        <v>2023516</v>
      </c>
      <c r="N162">
        <v>938552051750</v>
      </c>
      <c r="O162">
        <v>204757766</v>
      </c>
      <c r="P162">
        <v>95724255605000</v>
      </c>
    </row>
    <row r="163" spans="1:16">
      <c r="A163" t="s">
        <v>21</v>
      </c>
      <c r="B163">
        <v>20260205</v>
      </c>
      <c r="C163">
        <v>5380</v>
      </c>
      <c r="D163" t="s">
        <v>22</v>
      </c>
      <c r="E163" t="s">
        <v>21</v>
      </c>
      <c r="F163" t="s">
        <v>17</v>
      </c>
      <c r="G163">
        <v>488500</v>
      </c>
      <c r="H163">
        <v>-15500</v>
      </c>
      <c r="I163">
        <v>-3.08</v>
      </c>
      <c r="J163">
        <v>492500</v>
      </c>
      <c r="K163">
        <v>508000</v>
      </c>
      <c r="L163">
        <v>483500</v>
      </c>
      <c r="M163">
        <v>1653286</v>
      </c>
      <c r="N163">
        <v>816561531750</v>
      </c>
      <c r="O163">
        <v>204757766</v>
      </c>
      <c r="P163">
        <v>100024168691000</v>
      </c>
    </row>
    <row r="164" spans="1:16">
      <c r="A164" t="s">
        <v>21</v>
      </c>
      <c r="B164">
        <v>20260204</v>
      </c>
      <c r="C164">
        <v>5380</v>
      </c>
      <c r="D164" t="s">
        <v>22</v>
      </c>
      <c r="E164" t="s">
        <v>21</v>
      </c>
      <c r="F164" t="s">
        <v>17</v>
      </c>
      <c r="G164">
        <v>504000</v>
      </c>
      <c r="H164">
        <v>12500</v>
      </c>
      <c r="I164">
        <v>2.54</v>
      </c>
      <c r="J164">
        <v>502000</v>
      </c>
      <c r="K164">
        <v>518000</v>
      </c>
      <c r="L164">
        <v>497500</v>
      </c>
      <c r="M164">
        <v>1706630</v>
      </c>
      <c r="N164">
        <v>863584752500</v>
      </c>
      <c r="O164">
        <v>204757766</v>
      </c>
      <c r="P164">
        <v>103197914064000</v>
      </c>
    </row>
    <row r="165" spans="1:16">
      <c r="A165" t="s">
        <v>21</v>
      </c>
      <c r="B165">
        <v>20260203</v>
      </c>
      <c r="C165">
        <v>5380</v>
      </c>
      <c r="D165" t="s">
        <v>22</v>
      </c>
      <c r="E165" t="s">
        <v>21</v>
      </c>
      <c r="F165" t="s">
        <v>17</v>
      </c>
      <c r="G165">
        <v>491500</v>
      </c>
      <c r="H165">
        <v>13500</v>
      </c>
      <c r="I165">
        <v>2.82</v>
      </c>
      <c r="J165">
        <v>487000</v>
      </c>
      <c r="K165">
        <v>495000</v>
      </c>
      <c r="L165">
        <v>473000</v>
      </c>
      <c r="M165">
        <v>2275995</v>
      </c>
      <c r="N165">
        <v>1107562522460</v>
      </c>
      <c r="O165">
        <v>204757766</v>
      </c>
      <c r="P165">
        <v>100638441989000</v>
      </c>
    </row>
    <row r="166" spans="1:16">
      <c r="A166" t="s">
        <v>21</v>
      </c>
      <c r="B166">
        <v>20260202</v>
      </c>
      <c r="C166">
        <v>5380</v>
      </c>
      <c r="D166" t="s">
        <v>22</v>
      </c>
      <c r="E166" t="s">
        <v>21</v>
      </c>
      <c r="F166" t="s">
        <v>17</v>
      </c>
      <c r="G166">
        <v>478000</v>
      </c>
      <c r="H166">
        <v>-22000</v>
      </c>
      <c r="I166">
        <v>-4.4000000000000004</v>
      </c>
      <c r="J166">
        <v>486000</v>
      </c>
      <c r="K166">
        <v>507000</v>
      </c>
      <c r="L166">
        <v>473000</v>
      </c>
      <c r="M166">
        <v>2652237</v>
      </c>
      <c r="N166">
        <v>1291710304750</v>
      </c>
      <c r="O166">
        <v>204757766</v>
      </c>
      <c r="P166">
        <v>97874212148000</v>
      </c>
    </row>
    <row r="167" spans="1:16">
      <c r="A167" t="s">
        <v>21</v>
      </c>
      <c r="B167">
        <v>20260130</v>
      </c>
      <c r="C167">
        <v>5380</v>
      </c>
      <c r="D167" t="s">
        <v>22</v>
      </c>
      <c r="E167" t="s">
        <v>21</v>
      </c>
      <c r="F167" t="s">
        <v>17</v>
      </c>
      <c r="G167">
        <v>500000</v>
      </c>
      <c r="H167">
        <v>-28000</v>
      </c>
      <c r="I167">
        <v>-5.3</v>
      </c>
      <c r="J167">
        <v>516000</v>
      </c>
      <c r="K167">
        <v>517000</v>
      </c>
      <c r="L167">
        <v>500000</v>
      </c>
      <c r="M167">
        <v>3032673</v>
      </c>
      <c r="N167">
        <v>1535372588000</v>
      </c>
      <c r="O167">
        <v>204757766</v>
      </c>
      <c r="P167">
        <v>102378883000000</v>
      </c>
    </row>
    <row r="168" spans="1:16">
      <c r="A168" t="s">
        <v>21</v>
      </c>
      <c r="B168">
        <v>20260129</v>
      </c>
      <c r="C168">
        <v>5380</v>
      </c>
      <c r="D168" t="s">
        <v>22</v>
      </c>
      <c r="E168" t="s">
        <v>21</v>
      </c>
      <c r="F168" t="s">
        <v>17</v>
      </c>
      <c r="G168">
        <v>528000</v>
      </c>
      <c r="H168">
        <v>35500</v>
      </c>
      <c r="I168">
        <v>7.21</v>
      </c>
      <c r="J168">
        <v>501000</v>
      </c>
      <c r="K168">
        <v>529000</v>
      </c>
      <c r="L168">
        <v>494000</v>
      </c>
      <c r="M168">
        <v>5431226</v>
      </c>
      <c r="N168">
        <v>2781914345476</v>
      </c>
      <c r="O168">
        <v>204757766</v>
      </c>
      <c r="P168">
        <v>108112100448000</v>
      </c>
    </row>
    <row r="169" spans="1:16">
      <c r="A169" t="s">
        <v>21</v>
      </c>
      <c r="B169">
        <v>20260128</v>
      </c>
      <c r="C169">
        <v>5380</v>
      </c>
      <c r="D169" t="s">
        <v>22</v>
      </c>
      <c r="E169" t="s">
        <v>21</v>
      </c>
      <c r="F169" t="s">
        <v>17</v>
      </c>
      <c r="G169">
        <v>492500</v>
      </c>
      <c r="H169">
        <v>4000</v>
      </c>
      <c r="I169">
        <v>0.82</v>
      </c>
      <c r="J169">
        <v>505000</v>
      </c>
      <c r="K169">
        <v>506000</v>
      </c>
      <c r="L169">
        <v>490500</v>
      </c>
      <c r="M169">
        <v>2514604</v>
      </c>
      <c r="N169">
        <v>1248436638750</v>
      </c>
      <c r="O169">
        <v>204757766</v>
      </c>
      <c r="P169">
        <v>100843199755000</v>
      </c>
    </row>
    <row r="170" spans="1:16">
      <c r="A170" t="s">
        <v>21</v>
      </c>
      <c r="B170">
        <v>20260127</v>
      </c>
      <c r="C170">
        <v>5380</v>
      </c>
      <c r="D170" t="s">
        <v>22</v>
      </c>
      <c r="E170" t="s">
        <v>21</v>
      </c>
      <c r="F170" t="s">
        <v>17</v>
      </c>
      <c r="G170">
        <v>488500</v>
      </c>
      <c r="H170">
        <v>-4000</v>
      </c>
      <c r="I170">
        <v>-0.81</v>
      </c>
      <c r="J170">
        <v>473000</v>
      </c>
      <c r="K170">
        <v>499000</v>
      </c>
      <c r="L170">
        <v>469000</v>
      </c>
      <c r="M170">
        <v>4492400</v>
      </c>
      <c r="N170">
        <v>2182085557000</v>
      </c>
      <c r="O170">
        <v>204757766</v>
      </c>
      <c r="P170">
        <v>100024168691000</v>
      </c>
    </row>
    <row r="171" spans="1:16">
      <c r="A171" t="s">
        <v>21</v>
      </c>
      <c r="B171">
        <v>20260126</v>
      </c>
      <c r="C171">
        <v>5380</v>
      </c>
      <c r="D171" t="s">
        <v>22</v>
      </c>
      <c r="E171" t="s">
        <v>21</v>
      </c>
      <c r="F171" t="s">
        <v>17</v>
      </c>
      <c r="G171">
        <v>492500</v>
      </c>
      <c r="H171">
        <v>-17500</v>
      </c>
      <c r="I171">
        <v>-3.43</v>
      </c>
      <c r="J171">
        <v>499000</v>
      </c>
      <c r="K171">
        <v>515000</v>
      </c>
      <c r="L171">
        <v>490000</v>
      </c>
      <c r="M171">
        <v>3680159</v>
      </c>
      <c r="N171">
        <v>1838776025766</v>
      </c>
      <c r="O171">
        <v>204757766</v>
      </c>
      <c r="P171">
        <v>100843199755000</v>
      </c>
    </row>
    <row r="172" spans="1:16">
      <c r="A172" t="s">
        <v>21</v>
      </c>
      <c r="B172">
        <v>20260123</v>
      </c>
      <c r="C172">
        <v>5380</v>
      </c>
      <c r="D172" t="s">
        <v>22</v>
      </c>
      <c r="E172" t="s">
        <v>21</v>
      </c>
      <c r="F172" t="s">
        <v>17</v>
      </c>
      <c r="G172">
        <v>510000</v>
      </c>
      <c r="H172">
        <v>-19000</v>
      </c>
      <c r="I172">
        <v>-3.59</v>
      </c>
      <c r="J172">
        <v>530000</v>
      </c>
      <c r="K172">
        <v>543000</v>
      </c>
      <c r="L172">
        <v>500000</v>
      </c>
      <c r="M172">
        <v>4774169</v>
      </c>
      <c r="N172">
        <v>2467401511500</v>
      </c>
      <c r="O172">
        <v>204757766</v>
      </c>
      <c r="P172">
        <v>104426460660000</v>
      </c>
    </row>
    <row r="173" spans="1:16">
      <c r="A173" t="s">
        <v>21</v>
      </c>
      <c r="B173">
        <v>20260122</v>
      </c>
      <c r="C173">
        <v>5380</v>
      </c>
      <c r="D173" t="s">
        <v>22</v>
      </c>
      <c r="E173" t="s">
        <v>21</v>
      </c>
      <c r="F173" t="s">
        <v>17</v>
      </c>
      <c r="G173">
        <v>529000</v>
      </c>
      <c r="H173">
        <v>-20000</v>
      </c>
      <c r="I173">
        <v>-3.64</v>
      </c>
      <c r="J173">
        <v>586000</v>
      </c>
      <c r="K173">
        <v>590000</v>
      </c>
      <c r="L173">
        <v>525000</v>
      </c>
      <c r="M173">
        <v>7176207</v>
      </c>
      <c r="N173">
        <v>3967626131500</v>
      </c>
      <c r="O173">
        <v>204757766</v>
      </c>
      <c r="P173">
        <v>108316858214000</v>
      </c>
    </row>
    <row r="174" spans="1:16">
      <c r="A174" t="s">
        <v>21</v>
      </c>
      <c r="B174">
        <v>20260121</v>
      </c>
      <c r="C174">
        <v>5380</v>
      </c>
      <c r="D174" t="s">
        <v>22</v>
      </c>
      <c r="E174" t="s">
        <v>21</v>
      </c>
      <c r="F174" t="s">
        <v>17</v>
      </c>
      <c r="G174">
        <v>549000</v>
      </c>
      <c r="H174">
        <v>70000</v>
      </c>
      <c r="I174">
        <v>14.61</v>
      </c>
      <c r="J174">
        <v>468000</v>
      </c>
      <c r="K174">
        <v>551000</v>
      </c>
      <c r="L174">
        <v>467500</v>
      </c>
      <c r="M174">
        <v>7830202</v>
      </c>
      <c r="N174">
        <v>4051496210950</v>
      </c>
      <c r="O174">
        <v>204757766</v>
      </c>
      <c r="P174">
        <v>112412013534000</v>
      </c>
    </row>
    <row r="175" spans="1:16">
      <c r="A175" t="s">
        <v>21</v>
      </c>
      <c r="B175">
        <v>20260120</v>
      </c>
      <c r="C175">
        <v>5380</v>
      </c>
      <c r="D175" t="s">
        <v>22</v>
      </c>
      <c r="E175" t="s">
        <v>21</v>
      </c>
      <c r="F175" t="s">
        <v>17</v>
      </c>
      <c r="G175">
        <v>479000</v>
      </c>
      <c r="H175">
        <v>-1000</v>
      </c>
      <c r="I175">
        <v>-0.21</v>
      </c>
      <c r="J175">
        <v>494000</v>
      </c>
      <c r="K175">
        <v>496500</v>
      </c>
      <c r="L175">
        <v>460500</v>
      </c>
      <c r="M175">
        <v>5235613</v>
      </c>
      <c r="N175">
        <v>2503816650810</v>
      </c>
      <c r="O175">
        <v>204757766</v>
      </c>
      <c r="P175">
        <v>98078969914000</v>
      </c>
    </row>
    <row r="176" spans="1:16">
      <c r="A176" t="s">
        <v>21</v>
      </c>
      <c r="B176">
        <v>20260119</v>
      </c>
      <c r="C176">
        <v>5380</v>
      </c>
      <c r="D176" t="s">
        <v>22</v>
      </c>
      <c r="E176" t="s">
        <v>21</v>
      </c>
      <c r="F176" t="s">
        <v>17</v>
      </c>
      <c r="G176">
        <v>480000</v>
      </c>
      <c r="H176">
        <v>67000</v>
      </c>
      <c r="I176">
        <v>16.22</v>
      </c>
      <c r="J176">
        <v>420000</v>
      </c>
      <c r="K176">
        <v>487000</v>
      </c>
      <c r="L176">
        <v>419500</v>
      </c>
      <c r="M176">
        <v>5990850</v>
      </c>
      <c r="N176">
        <v>2768643471750</v>
      </c>
      <c r="O176">
        <v>204757766</v>
      </c>
      <c r="P176">
        <v>98283727680000</v>
      </c>
    </row>
    <row r="177" spans="1:16">
      <c r="A177" t="s">
        <v>21</v>
      </c>
      <c r="B177">
        <v>20260116</v>
      </c>
      <c r="C177">
        <v>5380</v>
      </c>
      <c r="D177" t="s">
        <v>22</v>
      </c>
      <c r="E177" t="s">
        <v>21</v>
      </c>
      <c r="F177" t="s">
        <v>17</v>
      </c>
      <c r="G177">
        <v>413000</v>
      </c>
      <c r="H177">
        <v>-9000</v>
      </c>
      <c r="I177">
        <v>-2.13</v>
      </c>
      <c r="J177">
        <v>426500</v>
      </c>
      <c r="K177">
        <v>426500</v>
      </c>
      <c r="L177">
        <v>408000</v>
      </c>
      <c r="M177">
        <v>2589883</v>
      </c>
      <c r="N177">
        <v>1082019347500</v>
      </c>
      <c r="O177">
        <v>204757766</v>
      </c>
      <c r="P177">
        <v>84564957358000</v>
      </c>
    </row>
    <row r="178" spans="1:16">
      <c r="A178" t="s">
        <v>21</v>
      </c>
      <c r="B178">
        <v>20260115</v>
      </c>
      <c r="C178">
        <v>5380</v>
      </c>
      <c r="D178" t="s">
        <v>22</v>
      </c>
      <c r="E178" t="s">
        <v>21</v>
      </c>
      <c r="F178" t="s">
        <v>17</v>
      </c>
      <c r="G178">
        <v>422000</v>
      </c>
      <c r="H178">
        <v>10500</v>
      </c>
      <c r="I178">
        <v>2.5499999999999998</v>
      </c>
      <c r="J178">
        <v>409500</v>
      </c>
      <c r="K178">
        <v>425000</v>
      </c>
      <c r="L178">
        <v>405000</v>
      </c>
      <c r="M178">
        <v>2864894</v>
      </c>
      <c r="N178">
        <v>1194627916181</v>
      </c>
      <c r="O178">
        <v>204757766</v>
      </c>
      <c r="P178">
        <v>86407777252000</v>
      </c>
    </row>
    <row r="179" spans="1:16">
      <c r="A179" t="s">
        <v>21</v>
      </c>
      <c r="B179">
        <v>20260114</v>
      </c>
      <c r="C179">
        <v>5380</v>
      </c>
      <c r="D179" t="s">
        <v>22</v>
      </c>
      <c r="E179" t="s">
        <v>21</v>
      </c>
      <c r="F179" t="s">
        <v>17</v>
      </c>
      <c r="G179">
        <v>411500</v>
      </c>
      <c r="H179">
        <v>5500</v>
      </c>
      <c r="I179">
        <v>1.35</v>
      </c>
      <c r="J179">
        <v>406500</v>
      </c>
      <c r="K179">
        <v>413500</v>
      </c>
      <c r="L179">
        <v>398000</v>
      </c>
      <c r="M179">
        <v>2861932</v>
      </c>
      <c r="N179">
        <v>1160882101250</v>
      </c>
      <c r="O179">
        <v>204757766</v>
      </c>
      <c r="P179">
        <v>84257820709000</v>
      </c>
    </row>
    <row r="180" spans="1:16">
      <c r="A180" t="s">
        <v>21</v>
      </c>
      <c r="B180">
        <v>20260113</v>
      </c>
      <c r="C180">
        <v>5380</v>
      </c>
      <c r="D180" t="s">
        <v>22</v>
      </c>
      <c r="E180" t="s">
        <v>21</v>
      </c>
      <c r="F180" t="s">
        <v>17</v>
      </c>
      <c r="G180">
        <v>406000</v>
      </c>
      <c r="H180">
        <v>39000</v>
      </c>
      <c r="I180">
        <v>10.63</v>
      </c>
      <c r="J180">
        <v>380500</v>
      </c>
      <c r="K180">
        <v>413500</v>
      </c>
      <c r="L180">
        <v>378000</v>
      </c>
      <c r="M180">
        <v>5463622</v>
      </c>
      <c r="N180">
        <v>2180542263500</v>
      </c>
      <c r="O180">
        <v>204757766</v>
      </c>
      <c r="P180">
        <v>83131652996000</v>
      </c>
    </row>
    <row r="181" spans="1:16">
      <c r="A181" t="s">
        <v>21</v>
      </c>
      <c r="B181">
        <v>20260112</v>
      </c>
      <c r="C181">
        <v>5380</v>
      </c>
      <c r="D181" t="s">
        <v>22</v>
      </c>
      <c r="E181" t="s">
        <v>21</v>
      </c>
      <c r="F181" t="s">
        <v>17</v>
      </c>
      <c r="G181">
        <v>367000</v>
      </c>
      <c r="H181">
        <v>1000</v>
      </c>
      <c r="I181">
        <v>0.27</v>
      </c>
      <c r="J181">
        <v>383000</v>
      </c>
      <c r="K181">
        <v>383500</v>
      </c>
      <c r="L181">
        <v>358500</v>
      </c>
      <c r="M181">
        <v>3027809</v>
      </c>
      <c r="N181">
        <v>1126159492750</v>
      </c>
      <c r="O181">
        <v>204757766</v>
      </c>
      <c r="P181">
        <v>75146100122000</v>
      </c>
    </row>
    <row r="182" spans="1:16">
      <c r="A182" t="s">
        <v>21</v>
      </c>
      <c r="B182">
        <v>20260109</v>
      </c>
      <c r="C182">
        <v>5380</v>
      </c>
      <c r="D182" t="s">
        <v>22</v>
      </c>
      <c r="E182" t="s">
        <v>21</v>
      </c>
      <c r="F182" t="s">
        <v>17</v>
      </c>
      <c r="G182">
        <v>366000</v>
      </c>
      <c r="H182">
        <v>25500</v>
      </c>
      <c r="I182">
        <v>7.49</v>
      </c>
      <c r="J182">
        <v>349000</v>
      </c>
      <c r="K182">
        <v>369000</v>
      </c>
      <c r="L182">
        <v>340000</v>
      </c>
      <c r="M182">
        <v>3104258</v>
      </c>
      <c r="N182">
        <v>1102922804250</v>
      </c>
      <c r="O182">
        <v>204757766</v>
      </c>
      <c r="P182">
        <v>74941342356000</v>
      </c>
    </row>
    <row r="183" spans="1:16">
      <c r="A183" t="s">
        <v>21</v>
      </c>
      <c r="B183">
        <v>20260108</v>
      </c>
      <c r="C183">
        <v>5380</v>
      </c>
      <c r="D183" t="s">
        <v>22</v>
      </c>
      <c r="E183" t="s">
        <v>21</v>
      </c>
      <c r="F183" t="s">
        <v>17</v>
      </c>
      <c r="G183">
        <v>340500</v>
      </c>
      <c r="H183">
        <v>-10000</v>
      </c>
      <c r="I183">
        <v>-2.85</v>
      </c>
      <c r="J183">
        <v>361000</v>
      </c>
      <c r="K183">
        <v>361000</v>
      </c>
      <c r="L183">
        <v>338000</v>
      </c>
      <c r="M183">
        <v>3053301</v>
      </c>
      <c r="N183">
        <v>1057360251750</v>
      </c>
      <c r="O183">
        <v>204757766</v>
      </c>
      <c r="P183">
        <v>69720019323000</v>
      </c>
    </row>
    <row r="184" spans="1:16">
      <c r="A184" t="s">
        <v>21</v>
      </c>
      <c r="B184">
        <v>20260107</v>
      </c>
      <c r="C184">
        <v>5380</v>
      </c>
      <c r="D184" t="s">
        <v>22</v>
      </c>
      <c r="E184" t="s">
        <v>21</v>
      </c>
      <c r="F184" t="s">
        <v>17</v>
      </c>
      <c r="G184">
        <v>350500</v>
      </c>
      <c r="H184">
        <v>42500</v>
      </c>
      <c r="I184">
        <v>13.8</v>
      </c>
      <c r="J184">
        <v>314000</v>
      </c>
      <c r="K184">
        <v>362000</v>
      </c>
      <c r="L184">
        <v>313000</v>
      </c>
      <c r="M184">
        <v>7764177</v>
      </c>
      <c r="N184">
        <v>2655729376500</v>
      </c>
      <c r="O184">
        <v>204757766</v>
      </c>
      <c r="P184">
        <v>71767596983000</v>
      </c>
    </row>
    <row r="185" spans="1:16">
      <c r="A185" t="s">
        <v>21</v>
      </c>
      <c r="B185">
        <v>20260106</v>
      </c>
      <c r="C185">
        <v>5380</v>
      </c>
      <c r="D185" t="s">
        <v>22</v>
      </c>
      <c r="E185" t="s">
        <v>21</v>
      </c>
      <c r="F185" t="s">
        <v>17</v>
      </c>
      <c r="G185">
        <v>308000</v>
      </c>
      <c r="H185">
        <v>3500</v>
      </c>
      <c r="I185">
        <v>1.1499999999999999</v>
      </c>
      <c r="J185">
        <v>318000</v>
      </c>
      <c r="K185">
        <v>330000</v>
      </c>
      <c r="L185">
        <v>304000</v>
      </c>
      <c r="M185">
        <v>3346949</v>
      </c>
      <c r="N185">
        <v>1052280146500</v>
      </c>
      <c r="O185">
        <v>204757766</v>
      </c>
      <c r="P185">
        <v>63065391928000</v>
      </c>
    </row>
    <row r="186" spans="1:16">
      <c r="A186" t="s">
        <v>21</v>
      </c>
      <c r="B186">
        <v>20260105</v>
      </c>
      <c r="C186">
        <v>5380</v>
      </c>
      <c r="D186" t="s">
        <v>22</v>
      </c>
      <c r="E186" t="s">
        <v>21</v>
      </c>
      <c r="F186" t="s">
        <v>17</v>
      </c>
      <c r="G186">
        <v>304500</v>
      </c>
      <c r="H186">
        <v>6000</v>
      </c>
      <c r="I186">
        <v>2.0099999999999998</v>
      </c>
      <c r="J186">
        <v>302500</v>
      </c>
      <c r="K186">
        <v>310000</v>
      </c>
      <c r="L186">
        <v>302000</v>
      </c>
      <c r="M186">
        <v>1292161</v>
      </c>
      <c r="N186">
        <v>395737421750</v>
      </c>
      <c r="O186">
        <v>204757766</v>
      </c>
      <c r="P186">
        <v>62348739747000</v>
      </c>
    </row>
    <row r="187" spans="1:16">
      <c r="A187" t="s">
        <v>21</v>
      </c>
      <c r="B187">
        <v>20260102</v>
      </c>
      <c r="C187">
        <v>5380</v>
      </c>
      <c r="D187" t="s">
        <v>22</v>
      </c>
      <c r="E187" t="s">
        <v>21</v>
      </c>
      <c r="F187" t="s">
        <v>17</v>
      </c>
      <c r="G187">
        <v>298500</v>
      </c>
      <c r="H187">
        <v>2000</v>
      </c>
      <c r="I187">
        <v>0.67</v>
      </c>
      <c r="J187">
        <v>299500</v>
      </c>
      <c r="K187">
        <v>302000</v>
      </c>
      <c r="L187">
        <v>293000</v>
      </c>
      <c r="M187">
        <v>955205</v>
      </c>
      <c r="N187">
        <v>284589571750</v>
      </c>
      <c r="O187">
        <v>204757766</v>
      </c>
      <c r="P187">
        <v>61120193151000</v>
      </c>
    </row>
    <row r="188" spans="1:16">
      <c r="A188" t="s">
        <v>23</v>
      </c>
      <c r="B188">
        <v>20260403</v>
      </c>
      <c r="C188">
        <v>373220</v>
      </c>
      <c r="D188" t="s">
        <v>24</v>
      </c>
      <c r="E188" t="s">
        <v>23</v>
      </c>
      <c r="F188" t="s">
        <v>17</v>
      </c>
      <c r="G188">
        <v>398500</v>
      </c>
      <c r="H188">
        <v>-6000</v>
      </c>
      <c r="I188">
        <v>-1.48</v>
      </c>
      <c r="J188">
        <v>410000</v>
      </c>
      <c r="K188">
        <v>414500</v>
      </c>
      <c r="L188">
        <v>396500</v>
      </c>
      <c r="M188">
        <v>254074</v>
      </c>
      <c r="N188">
        <v>102126942000</v>
      </c>
      <c r="O188">
        <v>234000000</v>
      </c>
      <c r="P188">
        <v>93249000000000</v>
      </c>
    </row>
    <row r="189" spans="1:16">
      <c r="A189" t="s">
        <v>23</v>
      </c>
      <c r="B189">
        <v>20260402</v>
      </c>
      <c r="C189">
        <v>373220</v>
      </c>
      <c r="D189" t="s">
        <v>24</v>
      </c>
      <c r="E189" t="s">
        <v>23</v>
      </c>
      <c r="F189" t="s">
        <v>17</v>
      </c>
      <c r="G189">
        <v>404500</v>
      </c>
      <c r="H189">
        <v>-2500</v>
      </c>
      <c r="I189">
        <v>-0.61</v>
      </c>
      <c r="J189">
        <v>407500</v>
      </c>
      <c r="K189">
        <v>421500</v>
      </c>
      <c r="L189">
        <v>399500</v>
      </c>
      <c r="M189">
        <v>532803</v>
      </c>
      <c r="N189">
        <v>217704678000</v>
      </c>
      <c r="O189">
        <v>234000000</v>
      </c>
      <c r="P189">
        <v>94653000000000</v>
      </c>
    </row>
    <row r="190" spans="1:16">
      <c r="A190" t="s">
        <v>23</v>
      </c>
      <c r="B190">
        <v>20260401</v>
      </c>
      <c r="C190">
        <v>373220</v>
      </c>
      <c r="D190" t="s">
        <v>24</v>
      </c>
      <c r="E190" t="s">
        <v>23</v>
      </c>
      <c r="F190" t="s">
        <v>17</v>
      </c>
      <c r="G190">
        <v>407000</v>
      </c>
      <c r="H190">
        <v>12500</v>
      </c>
      <c r="I190">
        <v>3.17</v>
      </c>
      <c r="J190">
        <v>409500</v>
      </c>
      <c r="K190">
        <v>410000</v>
      </c>
      <c r="L190">
        <v>393500</v>
      </c>
      <c r="M190">
        <v>343583</v>
      </c>
      <c r="N190">
        <v>138376529250</v>
      </c>
      <c r="O190">
        <v>234000000</v>
      </c>
      <c r="P190">
        <v>95238000000000</v>
      </c>
    </row>
    <row r="191" spans="1:16">
      <c r="A191" t="s">
        <v>23</v>
      </c>
      <c r="B191">
        <v>20260331</v>
      </c>
      <c r="C191">
        <v>373220</v>
      </c>
      <c r="D191" t="s">
        <v>24</v>
      </c>
      <c r="E191" t="s">
        <v>23</v>
      </c>
      <c r="F191" t="s">
        <v>17</v>
      </c>
      <c r="G191">
        <v>394500</v>
      </c>
      <c r="H191">
        <v>-15500</v>
      </c>
      <c r="I191">
        <v>-3.78</v>
      </c>
      <c r="J191">
        <v>406000</v>
      </c>
      <c r="K191">
        <v>410000</v>
      </c>
      <c r="L191">
        <v>390500</v>
      </c>
      <c r="M191">
        <v>518297</v>
      </c>
      <c r="N191">
        <v>206926156500</v>
      </c>
      <c r="O191">
        <v>234000000</v>
      </c>
      <c r="P191">
        <v>92313000000000</v>
      </c>
    </row>
    <row r="192" spans="1:16">
      <c r="A192" t="s">
        <v>23</v>
      </c>
      <c r="B192">
        <v>20260330</v>
      </c>
      <c r="C192">
        <v>373220</v>
      </c>
      <c r="D192" t="s">
        <v>24</v>
      </c>
      <c r="E192" t="s">
        <v>23</v>
      </c>
      <c r="F192" t="s">
        <v>17</v>
      </c>
      <c r="G192">
        <v>410000</v>
      </c>
      <c r="H192">
        <v>15500</v>
      </c>
      <c r="I192">
        <v>3.93</v>
      </c>
      <c r="J192">
        <v>379500</v>
      </c>
      <c r="K192">
        <v>414000</v>
      </c>
      <c r="L192">
        <v>377000</v>
      </c>
      <c r="M192">
        <v>747897</v>
      </c>
      <c r="N192">
        <v>303854880500</v>
      </c>
      <c r="O192">
        <v>234000000</v>
      </c>
      <c r="P192">
        <v>95940000000000</v>
      </c>
    </row>
    <row r="193" spans="1:16">
      <c r="A193" t="s">
        <v>23</v>
      </c>
      <c r="B193">
        <v>20260327</v>
      </c>
      <c r="C193">
        <v>373220</v>
      </c>
      <c r="D193" t="s">
        <v>24</v>
      </c>
      <c r="E193" t="s">
        <v>23</v>
      </c>
      <c r="F193" t="s">
        <v>17</v>
      </c>
      <c r="G193">
        <v>394500</v>
      </c>
      <c r="H193">
        <v>10000</v>
      </c>
      <c r="I193">
        <v>2.6</v>
      </c>
      <c r="J193">
        <v>374000</v>
      </c>
      <c r="K193">
        <v>396000</v>
      </c>
      <c r="L193">
        <v>366000</v>
      </c>
      <c r="M193">
        <v>372863</v>
      </c>
      <c r="N193">
        <v>143166970250</v>
      </c>
      <c r="O193">
        <v>234000000</v>
      </c>
      <c r="P193">
        <v>92313000000000</v>
      </c>
    </row>
    <row r="194" spans="1:16">
      <c r="A194" t="s">
        <v>23</v>
      </c>
      <c r="B194">
        <v>20260326</v>
      </c>
      <c r="C194">
        <v>373220</v>
      </c>
      <c r="D194" t="s">
        <v>24</v>
      </c>
      <c r="E194" t="s">
        <v>23</v>
      </c>
      <c r="F194" t="s">
        <v>17</v>
      </c>
      <c r="G194">
        <v>384500</v>
      </c>
      <c r="H194">
        <v>-9500</v>
      </c>
      <c r="I194">
        <v>-2.41</v>
      </c>
      <c r="J194">
        <v>392500</v>
      </c>
      <c r="K194">
        <v>393000</v>
      </c>
      <c r="L194">
        <v>380000</v>
      </c>
      <c r="M194">
        <v>274503</v>
      </c>
      <c r="N194">
        <v>106025187000</v>
      </c>
      <c r="O194">
        <v>234000000</v>
      </c>
      <c r="P194">
        <v>89973000000000</v>
      </c>
    </row>
    <row r="195" spans="1:16">
      <c r="A195" t="s">
        <v>23</v>
      </c>
      <c r="B195">
        <v>20260325</v>
      </c>
      <c r="C195">
        <v>373220</v>
      </c>
      <c r="D195" t="s">
        <v>24</v>
      </c>
      <c r="E195" t="s">
        <v>23</v>
      </c>
      <c r="F195" t="s">
        <v>17</v>
      </c>
      <c r="G195">
        <v>394000</v>
      </c>
      <c r="H195">
        <v>1500</v>
      </c>
      <c r="I195">
        <v>0.38</v>
      </c>
      <c r="J195">
        <v>392000</v>
      </c>
      <c r="K195">
        <v>400000</v>
      </c>
      <c r="L195">
        <v>386500</v>
      </c>
      <c r="M195">
        <v>352715</v>
      </c>
      <c r="N195">
        <v>138642260000</v>
      </c>
      <c r="O195">
        <v>234000000</v>
      </c>
      <c r="P195">
        <v>92196000000000</v>
      </c>
    </row>
    <row r="196" spans="1:16">
      <c r="A196" t="s">
        <v>23</v>
      </c>
      <c r="B196">
        <v>20260324</v>
      </c>
      <c r="C196">
        <v>373220</v>
      </c>
      <c r="D196" t="s">
        <v>24</v>
      </c>
      <c r="E196" t="s">
        <v>23</v>
      </c>
      <c r="F196" t="s">
        <v>17</v>
      </c>
      <c r="G196">
        <v>392500</v>
      </c>
      <c r="H196">
        <v>36500</v>
      </c>
      <c r="I196">
        <v>10.25</v>
      </c>
      <c r="J196">
        <v>371500</v>
      </c>
      <c r="K196">
        <v>392500</v>
      </c>
      <c r="L196">
        <v>368000</v>
      </c>
      <c r="M196">
        <v>656541</v>
      </c>
      <c r="N196">
        <v>251899280750</v>
      </c>
      <c r="O196">
        <v>234000000</v>
      </c>
      <c r="P196">
        <v>91845000000000</v>
      </c>
    </row>
    <row r="197" spans="1:16">
      <c r="A197" t="s">
        <v>23</v>
      </c>
      <c r="B197">
        <v>20260323</v>
      </c>
      <c r="C197">
        <v>373220</v>
      </c>
      <c r="D197" t="s">
        <v>24</v>
      </c>
      <c r="E197" t="s">
        <v>23</v>
      </c>
      <c r="F197" t="s">
        <v>17</v>
      </c>
      <c r="G197">
        <v>356000</v>
      </c>
      <c r="H197">
        <v>-19500</v>
      </c>
      <c r="I197">
        <v>-5.19</v>
      </c>
      <c r="J197">
        <v>362000</v>
      </c>
      <c r="K197">
        <v>365000</v>
      </c>
      <c r="L197">
        <v>355000</v>
      </c>
      <c r="M197">
        <v>302070</v>
      </c>
      <c r="N197">
        <v>108417222500</v>
      </c>
      <c r="O197">
        <v>234000000</v>
      </c>
      <c r="P197">
        <v>83304000000000</v>
      </c>
    </row>
    <row r="198" spans="1:16">
      <c r="A198" t="s">
        <v>23</v>
      </c>
      <c r="B198">
        <v>20260320</v>
      </c>
      <c r="C198">
        <v>373220</v>
      </c>
      <c r="D198" t="s">
        <v>24</v>
      </c>
      <c r="E198" t="s">
        <v>23</v>
      </c>
      <c r="F198" t="s">
        <v>17</v>
      </c>
      <c r="G198">
        <v>375500</v>
      </c>
      <c r="H198">
        <v>4500</v>
      </c>
      <c r="I198">
        <v>1.21</v>
      </c>
      <c r="J198">
        <v>377000</v>
      </c>
      <c r="K198">
        <v>378000</v>
      </c>
      <c r="L198">
        <v>372000</v>
      </c>
      <c r="M198">
        <v>200932</v>
      </c>
      <c r="N198">
        <v>75218991000</v>
      </c>
      <c r="O198">
        <v>234000000</v>
      </c>
      <c r="P198">
        <v>87867000000000</v>
      </c>
    </row>
    <row r="199" spans="1:16">
      <c r="A199" t="s">
        <v>23</v>
      </c>
      <c r="B199">
        <v>20260319</v>
      </c>
      <c r="C199">
        <v>373220</v>
      </c>
      <c r="D199" t="s">
        <v>24</v>
      </c>
      <c r="E199" t="s">
        <v>23</v>
      </c>
      <c r="F199" t="s">
        <v>17</v>
      </c>
      <c r="G199">
        <v>371000</v>
      </c>
      <c r="H199">
        <v>-12500</v>
      </c>
      <c r="I199">
        <v>-3.26</v>
      </c>
      <c r="J199">
        <v>374500</v>
      </c>
      <c r="K199">
        <v>378500</v>
      </c>
      <c r="L199">
        <v>371000</v>
      </c>
      <c r="M199">
        <v>213253</v>
      </c>
      <c r="N199">
        <v>79807027750</v>
      </c>
      <c r="O199">
        <v>234000000</v>
      </c>
      <c r="P199">
        <v>86814000000000</v>
      </c>
    </row>
    <row r="200" spans="1:16">
      <c r="A200" t="s">
        <v>23</v>
      </c>
      <c r="B200">
        <v>20260318</v>
      </c>
      <c r="C200">
        <v>373220</v>
      </c>
      <c r="D200" t="s">
        <v>24</v>
      </c>
      <c r="E200" t="s">
        <v>23</v>
      </c>
      <c r="F200" t="s">
        <v>17</v>
      </c>
      <c r="G200">
        <v>383500</v>
      </c>
      <c r="H200">
        <v>3000</v>
      </c>
      <c r="I200">
        <v>0.79</v>
      </c>
      <c r="J200">
        <v>390500</v>
      </c>
      <c r="K200">
        <v>390500</v>
      </c>
      <c r="L200">
        <v>381500</v>
      </c>
      <c r="M200">
        <v>279721</v>
      </c>
      <c r="N200">
        <v>107373811000</v>
      </c>
      <c r="O200">
        <v>234000000</v>
      </c>
      <c r="P200">
        <v>89739000000000</v>
      </c>
    </row>
    <row r="201" spans="1:16">
      <c r="A201" t="s">
        <v>23</v>
      </c>
      <c r="B201">
        <v>20260317</v>
      </c>
      <c r="C201">
        <v>373220</v>
      </c>
      <c r="D201" t="s">
        <v>24</v>
      </c>
      <c r="E201" t="s">
        <v>23</v>
      </c>
      <c r="F201" t="s">
        <v>17</v>
      </c>
      <c r="G201">
        <v>380500</v>
      </c>
      <c r="H201">
        <v>14500</v>
      </c>
      <c r="I201">
        <v>3.96</v>
      </c>
      <c r="J201">
        <v>371000</v>
      </c>
      <c r="K201">
        <v>380500</v>
      </c>
      <c r="L201">
        <v>370000</v>
      </c>
      <c r="M201">
        <v>345242</v>
      </c>
      <c r="N201">
        <v>129788034500</v>
      </c>
      <c r="O201">
        <v>234000000</v>
      </c>
      <c r="P201">
        <v>89037000000000</v>
      </c>
    </row>
    <row r="202" spans="1:16">
      <c r="A202" t="s">
        <v>23</v>
      </c>
      <c r="B202">
        <v>20260316</v>
      </c>
      <c r="C202">
        <v>373220</v>
      </c>
      <c r="D202" t="s">
        <v>24</v>
      </c>
      <c r="E202" t="s">
        <v>23</v>
      </c>
      <c r="F202" t="s">
        <v>17</v>
      </c>
      <c r="G202">
        <v>366000</v>
      </c>
      <c r="H202">
        <v>-3000</v>
      </c>
      <c r="I202">
        <v>-0.81</v>
      </c>
      <c r="J202">
        <v>368500</v>
      </c>
      <c r="K202">
        <v>373000</v>
      </c>
      <c r="L202">
        <v>363500</v>
      </c>
      <c r="M202">
        <v>280349</v>
      </c>
      <c r="N202">
        <v>102937780250</v>
      </c>
      <c r="O202">
        <v>234000000</v>
      </c>
      <c r="P202">
        <v>85644000000000</v>
      </c>
    </row>
    <row r="203" spans="1:16">
      <c r="A203" t="s">
        <v>23</v>
      </c>
      <c r="B203">
        <v>20260313</v>
      </c>
      <c r="C203">
        <v>373220</v>
      </c>
      <c r="D203" t="s">
        <v>24</v>
      </c>
      <c r="E203" t="s">
        <v>23</v>
      </c>
      <c r="F203" t="s">
        <v>17</v>
      </c>
      <c r="G203">
        <v>369000</v>
      </c>
      <c r="H203">
        <v>-15000</v>
      </c>
      <c r="I203">
        <v>-3.91</v>
      </c>
      <c r="J203">
        <v>370000</v>
      </c>
      <c r="K203">
        <v>372500</v>
      </c>
      <c r="L203">
        <v>363500</v>
      </c>
      <c r="M203">
        <v>370087</v>
      </c>
      <c r="N203">
        <v>136317521000</v>
      </c>
      <c r="O203">
        <v>234000000</v>
      </c>
      <c r="P203">
        <v>86346000000000</v>
      </c>
    </row>
    <row r="204" spans="1:16">
      <c r="A204" t="s">
        <v>23</v>
      </c>
      <c r="B204">
        <v>20260312</v>
      </c>
      <c r="C204">
        <v>373220</v>
      </c>
      <c r="D204" t="s">
        <v>24</v>
      </c>
      <c r="E204" t="s">
        <v>23</v>
      </c>
      <c r="F204" t="s">
        <v>17</v>
      </c>
      <c r="G204">
        <v>384000</v>
      </c>
      <c r="H204">
        <v>14500</v>
      </c>
      <c r="I204">
        <v>3.92</v>
      </c>
      <c r="J204">
        <v>369500</v>
      </c>
      <c r="K204">
        <v>384000</v>
      </c>
      <c r="L204">
        <v>367000</v>
      </c>
      <c r="M204">
        <v>345803</v>
      </c>
      <c r="N204">
        <v>130386327750</v>
      </c>
      <c r="O204">
        <v>234000000</v>
      </c>
      <c r="P204">
        <v>89856000000000</v>
      </c>
    </row>
    <row r="205" spans="1:16">
      <c r="A205" t="s">
        <v>23</v>
      </c>
      <c r="B205">
        <v>20260311</v>
      </c>
      <c r="C205">
        <v>373220</v>
      </c>
      <c r="D205" t="s">
        <v>24</v>
      </c>
      <c r="E205" t="s">
        <v>23</v>
      </c>
      <c r="F205" t="s">
        <v>17</v>
      </c>
      <c r="G205">
        <v>369500</v>
      </c>
      <c r="H205">
        <v>2500</v>
      </c>
      <c r="I205">
        <v>0.68</v>
      </c>
      <c r="J205">
        <v>375000</v>
      </c>
      <c r="K205">
        <v>380750</v>
      </c>
      <c r="L205">
        <v>367000</v>
      </c>
      <c r="M205">
        <v>263280</v>
      </c>
      <c r="N205">
        <v>98701195500</v>
      </c>
      <c r="O205">
        <v>234000000</v>
      </c>
      <c r="P205">
        <v>86463000000000</v>
      </c>
    </row>
    <row r="206" spans="1:16">
      <c r="A206" t="s">
        <v>23</v>
      </c>
      <c r="B206">
        <v>20260310</v>
      </c>
      <c r="C206">
        <v>373220</v>
      </c>
      <c r="D206" t="s">
        <v>24</v>
      </c>
      <c r="E206" t="s">
        <v>23</v>
      </c>
      <c r="F206" t="s">
        <v>17</v>
      </c>
      <c r="G206">
        <v>367000</v>
      </c>
      <c r="H206">
        <v>7500</v>
      </c>
      <c r="I206">
        <v>2.09</v>
      </c>
      <c r="J206">
        <v>375500</v>
      </c>
      <c r="K206">
        <v>376500</v>
      </c>
      <c r="L206">
        <v>360000</v>
      </c>
      <c r="M206">
        <v>298332</v>
      </c>
      <c r="N206">
        <v>109384502000</v>
      </c>
      <c r="O206">
        <v>234000000</v>
      </c>
      <c r="P206">
        <v>85878000000000</v>
      </c>
    </row>
    <row r="207" spans="1:16">
      <c r="A207" t="s">
        <v>23</v>
      </c>
      <c r="B207">
        <v>20260309</v>
      </c>
      <c r="C207">
        <v>373220</v>
      </c>
      <c r="D207" t="s">
        <v>24</v>
      </c>
      <c r="E207" t="s">
        <v>23</v>
      </c>
      <c r="F207" t="s">
        <v>17</v>
      </c>
      <c r="G207">
        <v>359500</v>
      </c>
      <c r="H207">
        <v>-18000</v>
      </c>
      <c r="I207">
        <v>-4.7699999999999996</v>
      </c>
      <c r="J207">
        <v>360000</v>
      </c>
      <c r="K207">
        <v>364500</v>
      </c>
      <c r="L207">
        <v>350500</v>
      </c>
      <c r="M207">
        <v>414051</v>
      </c>
      <c r="N207">
        <v>147376796500</v>
      </c>
      <c r="O207">
        <v>234000000</v>
      </c>
      <c r="P207">
        <v>84123000000000</v>
      </c>
    </row>
    <row r="208" spans="1:16">
      <c r="A208" t="s">
        <v>23</v>
      </c>
      <c r="B208">
        <v>20260306</v>
      </c>
      <c r="C208">
        <v>373220</v>
      </c>
      <c r="D208" t="s">
        <v>24</v>
      </c>
      <c r="E208" t="s">
        <v>23</v>
      </c>
      <c r="F208" t="s">
        <v>17</v>
      </c>
      <c r="G208">
        <v>377500</v>
      </c>
      <c r="H208">
        <v>6000</v>
      </c>
      <c r="I208">
        <v>1.62</v>
      </c>
      <c r="J208">
        <v>372000</v>
      </c>
      <c r="K208">
        <v>382500</v>
      </c>
      <c r="L208">
        <v>365000</v>
      </c>
      <c r="M208">
        <v>350799</v>
      </c>
      <c r="N208">
        <v>130917588250</v>
      </c>
      <c r="O208">
        <v>234000000</v>
      </c>
      <c r="P208">
        <v>88335000000000</v>
      </c>
    </row>
    <row r="209" spans="1:16">
      <c r="A209" t="s">
        <v>23</v>
      </c>
      <c r="B209">
        <v>20260305</v>
      </c>
      <c r="C209">
        <v>373220</v>
      </c>
      <c r="D209" t="s">
        <v>24</v>
      </c>
      <c r="E209" t="s">
        <v>23</v>
      </c>
      <c r="F209" t="s">
        <v>17</v>
      </c>
      <c r="G209">
        <v>371500</v>
      </c>
      <c r="H209">
        <v>24000</v>
      </c>
      <c r="I209">
        <v>6.91</v>
      </c>
      <c r="J209">
        <v>376500</v>
      </c>
      <c r="K209">
        <v>382000</v>
      </c>
      <c r="L209">
        <v>366000</v>
      </c>
      <c r="M209">
        <v>541523</v>
      </c>
      <c r="N209">
        <v>202663651500</v>
      </c>
      <c r="O209">
        <v>234000000</v>
      </c>
      <c r="P209">
        <v>86931000000000</v>
      </c>
    </row>
    <row r="210" spans="1:16">
      <c r="A210" t="s">
        <v>23</v>
      </c>
      <c r="B210">
        <v>20260304</v>
      </c>
      <c r="C210">
        <v>373220</v>
      </c>
      <c r="D210" t="s">
        <v>24</v>
      </c>
      <c r="E210" t="s">
        <v>23</v>
      </c>
      <c r="F210" t="s">
        <v>17</v>
      </c>
      <c r="G210">
        <v>347500</v>
      </c>
      <c r="H210">
        <v>-45500</v>
      </c>
      <c r="I210">
        <v>-11.58</v>
      </c>
      <c r="J210">
        <v>380000</v>
      </c>
      <c r="K210">
        <v>390000</v>
      </c>
      <c r="L210">
        <v>346000</v>
      </c>
      <c r="M210">
        <v>826847</v>
      </c>
      <c r="N210">
        <v>300482717000</v>
      </c>
      <c r="O210">
        <v>234000000</v>
      </c>
      <c r="P210">
        <v>81315000000000</v>
      </c>
    </row>
    <row r="211" spans="1:16">
      <c r="A211" t="s">
        <v>23</v>
      </c>
      <c r="B211">
        <v>20260303</v>
      </c>
      <c r="C211">
        <v>373220</v>
      </c>
      <c r="D211" t="s">
        <v>24</v>
      </c>
      <c r="E211" t="s">
        <v>23</v>
      </c>
      <c r="F211" t="s">
        <v>17</v>
      </c>
      <c r="G211">
        <v>393000</v>
      </c>
      <c r="H211">
        <v>-34000</v>
      </c>
      <c r="I211">
        <v>-7.96</v>
      </c>
      <c r="J211">
        <v>414500</v>
      </c>
      <c r="K211">
        <v>418000</v>
      </c>
      <c r="L211">
        <v>389000</v>
      </c>
      <c r="M211">
        <v>489727</v>
      </c>
      <c r="N211">
        <v>197552544500</v>
      </c>
      <c r="O211">
        <v>234000000</v>
      </c>
      <c r="P211">
        <v>91962000000000</v>
      </c>
    </row>
    <row r="212" spans="1:16">
      <c r="A212" t="s">
        <v>23</v>
      </c>
      <c r="B212">
        <v>20260227</v>
      </c>
      <c r="C212">
        <v>373220</v>
      </c>
      <c r="D212" t="s">
        <v>24</v>
      </c>
      <c r="E212" t="s">
        <v>23</v>
      </c>
      <c r="F212" t="s">
        <v>17</v>
      </c>
      <c r="G212">
        <v>427000</v>
      </c>
      <c r="H212">
        <v>0</v>
      </c>
      <c r="I212">
        <v>0</v>
      </c>
      <c r="J212">
        <v>420000</v>
      </c>
      <c r="K212">
        <v>434000</v>
      </c>
      <c r="L212">
        <v>415500</v>
      </c>
      <c r="M212">
        <v>591387</v>
      </c>
      <c r="N212">
        <v>252281092500</v>
      </c>
      <c r="O212">
        <v>234000000</v>
      </c>
      <c r="P212">
        <v>99918000000000</v>
      </c>
    </row>
    <row r="213" spans="1:16">
      <c r="A213" t="s">
        <v>23</v>
      </c>
      <c r="B213">
        <v>20260226</v>
      </c>
      <c r="C213">
        <v>373220</v>
      </c>
      <c r="D213" t="s">
        <v>24</v>
      </c>
      <c r="E213" t="s">
        <v>23</v>
      </c>
      <c r="F213" t="s">
        <v>17</v>
      </c>
      <c r="G213">
        <v>427000</v>
      </c>
      <c r="H213">
        <v>1000</v>
      </c>
      <c r="I213">
        <v>0.23</v>
      </c>
      <c r="J213">
        <v>431500</v>
      </c>
      <c r="K213">
        <v>440000</v>
      </c>
      <c r="L213">
        <v>419000</v>
      </c>
      <c r="M213">
        <v>540625</v>
      </c>
      <c r="N213">
        <v>231384579750</v>
      </c>
      <c r="O213">
        <v>234000000</v>
      </c>
      <c r="P213">
        <v>99918000000000</v>
      </c>
    </row>
    <row r="214" spans="1:16">
      <c r="A214" t="s">
        <v>23</v>
      </c>
      <c r="B214">
        <v>20260225</v>
      </c>
      <c r="C214">
        <v>373220</v>
      </c>
      <c r="D214" t="s">
        <v>24</v>
      </c>
      <c r="E214" t="s">
        <v>23</v>
      </c>
      <c r="F214" t="s">
        <v>17</v>
      </c>
      <c r="G214">
        <v>426000</v>
      </c>
      <c r="H214">
        <v>13500</v>
      </c>
      <c r="I214">
        <v>3.27</v>
      </c>
      <c r="J214">
        <v>417500</v>
      </c>
      <c r="K214">
        <v>429000</v>
      </c>
      <c r="L214">
        <v>409000</v>
      </c>
      <c r="M214">
        <v>650523</v>
      </c>
      <c r="N214">
        <v>274574034000</v>
      </c>
      <c r="O214">
        <v>234000000</v>
      </c>
      <c r="P214">
        <v>99684000000000</v>
      </c>
    </row>
    <row r="215" spans="1:16">
      <c r="A215" t="s">
        <v>23</v>
      </c>
      <c r="B215">
        <v>20260224</v>
      </c>
      <c r="C215">
        <v>373220</v>
      </c>
      <c r="D215" t="s">
        <v>24</v>
      </c>
      <c r="E215" t="s">
        <v>23</v>
      </c>
      <c r="F215" t="s">
        <v>17</v>
      </c>
      <c r="G215">
        <v>412500</v>
      </c>
      <c r="H215">
        <v>16500</v>
      </c>
      <c r="I215">
        <v>4.17</v>
      </c>
      <c r="J215">
        <v>407000</v>
      </c>
      <c r="K215">
        <v>416500</v>
      </c>
      <c r="L215">
        <v>403000</v>
      </c>
      <c r="M215">
        <v>588995</v>
      </c>
      <c r="N215">
        <v>242216884500</v>
      </c>
      <c r="O215">
        <v>234000000</v>
      </c>
      <c r="P215">
        <v>96525000000000</v>
      </c>
    </row>
    <row r="216" spans="1:16">
      <c r="A216" t="s">
        <v>23</v>
      </c>
      <c r="B216">
        <v>20260223</v>
      </c>
      <c r="C216">
        <v>373220</v>
      </c>
      <c r="D216" t="s">
        <v>24</v>
      </c>
      <c r="E216" t="s">
        <v>23</v>
      </c>
      <c r="F216" t="s">
        <v>17</v>
      </c>
      <c r="G216">
        <v>396000</v>
      </c>
      <c r="H216">
        <v>-5500</v>
      </c>
      <c r="I216">
        <v>-1.37</v>
      </c>
      <c r="J216">
        <v>403500</v>
      </c>
      <c r="K216">
        <v>405000</v>
      </c>
      <c r="L216">
        <v>395500</v>
      </c>
      <c r="M216">
        <v>268719</v>
      </c>
      <c r="N216">
        <v>106967885250</v>
      </c>
      <c r="O216">
        <v>234000000</v>
      </c>
      <c r="P216">
        <v>92664000000000</v>
      </c>
    </row>
    <row r="217" spans="1:16">
      <c r="A217" t="s">
        <v>23</v>
      </c>
      <c r="B217">
        <v>20260220</v>
      </c>
      <c r="C217">
        <v>373220</v>
      </c>
      <c r="D217" t="s">
        <v>24</v>
      </c>
      <c r="E217" t="s">
        <v>23</v>
      </c>
      <c r="F217" t="s">
        <v>17</v>
      </c>
      <c r="G217">
        <v>401500</v>
      </c>
      <c r="H217">
        <v>-2000</v>
      </c>
      <c r="I217">
        <v>-0.5</v>
      </c>
      <c r="J217">
        <v>403500</v>
      </c>
      <c r="K217">
        <v>406500</v>
      </c>
      <c r="L217">
        <v>400000</v>
      </c>
      <c r="M217">
        <v>219069</v>
      </c>
      <c r="N217">
        <v>88092688250</v>
      </c>
      <c r="O217">
        <v>234000000</v>
      </c>
      <c r="P217">
        <v>93951000000000</v>
      </c>
    </row>
    <row r="218" spans="1:16">
      <c r="A218" t="s">
        <v>23</v>
      </c>
      <c r="B218">
        <v>20260219</v>
      </c>
      <c r="C218">
        <v>373220</v>
      </c>
      <c r="D218" t="s">
        <v>24</v>
      </c>
      <c r="E218" t="s">
        <v>23</v>
      </c>
      <c r="F218" t="s">
        <v>17</v>
      </c>
      <c r="G218">
        <v>403500</v>
      </c>
      <c r="H218">
        <v>8500</v>
      </c>
      <c r="I218">
        <v>2.15</v>
      </c>
      <c r="J218">
        <v>399500</v>
      </c>
      <c r="K218">
        <v>403500</v>
      </c>
      <c r="L218">
        <v>395500</v>
      </c>
      <c r="M218">
        <v>267049</v>
      </c>
      <c r="N218">
        <v>107010516500</v>
      </c>
      <c r="O218">
        <v>234000000</v>
      </c>
      <c r="P218">
        <v>94419000000000</v>
      </c>
    </row>
    <row r="219" spans="1:16">
      <c r="A219" t="s">
        <v>23</v>
      </c>
      <c r="B219">
        <v>20260213</v>
      </c>
      <c r="C219">
        <v>373220</v>
      </c>
      <c r="D219" t="s">
        <v>24</v>
      </c>
      <c r="E219" t="s">
        <v>23</v>
      </c>
      <c r="F219" t="s">
        <v>17</v>
      </c>
      <c r="G219">
        <v>395000</v>
      </c>
      <c r="H219">
        <v>-15000</v>
      </c>
      <c r="I219">
        <v>-3.66</v>
      </c>
      <c r="J219">
        <v>404000</v>
      </c>
      <c r="K219">
        <v>404500</v>
      </c>
      <c r="L219">
        <v>394500</v>
      </c>
      <c r="M219">
        <v>321449</v>
      </c>
      <c r="N219">
        <v>127814416250</v>
      </c>
      <c r="O219">
        <v>234000000</v>
      </c>
      <c r="P219">
        <v>92430000000000</v>
      </c>
    </row>
    <row r="220" spans="1:16">
      <c r="A220" t="s">
        <v>23</v>
      </c>
      <c r="B220">
        <v>20260212</v>
      </c>
      <c r="C220">
        <v>373220</v>
      </c>
      <c r="D220" t="s">
        <v>24</v>
      </c>
      <c r="E220" t="s">
        <v>23</v>
      </c>
      <c r="F220" t="s">
        <v>17</v>
      </c>
      <c r="G220">
        <v>410000</v>
      </c>
      <c r="H220">
        <v>18000</v>
      </c>
      <c r="I220">
        <v>4.59</v>
      </c>
      <c r="J220">
        <v>400000</v>
      </c>
      <c r="K220">
        <v>411000</v>
      </c>
      <c r="L220">
        <v>393000</v>
      </c>
      <c r="M220">
        <v>583824</v>
      </c>
      <c r="N220">
        <v>237001666500</v>
      </c>
      <c r="O220">
        <v>234000000</v>
      </c>
      <c r="P220">
        <v>95940000000000</v>
      </c>
    </row>
    <row r="221" spans="1:16">
      <c r="A221" t="s">
        <v>23</v>
      </c>
      <c r="B221">
        <v>20260211</v>
      </c>
      <c r="C221">
        <v>373220</v>
      </c>
      <c r="D221" t="s">
        <v>24</v>
      </c>
      <c r="E221" t="s">
        <v>23</v>
      </c>
      <c r="F221" t="s">
        <v>17</v>
      </c>
      <c r="G221">
        <v>392000</v>
      </c>
      <c r="H221">
        <v>1500</v>
      </c>
      <c r="I221">
        <v>0.38</v>
      </c>
      <c r="J221">
        <v>393500</v>
      </c>
      <c r="K221">
        <v>397500</v>
      </c>
      <c r="L221">
        <v>388000</v>
      </c>
      <c r="M221">
        <v>187479</v>
      </c>
      <c r="N221">
        <v>73378164250</v>
      </c>
      <c r="O221">
        <v>234000000</v>
      </c>
      <c r="P221">
        <v>91728000000000</v>
      </c>
    </row>
    <row r="222" spans="1:16">
      <c r="A222" t="s">
        <v>23</v>
      </c>
      <c r="B222">
        <v>20260210</v>
      </c>
      <c r="C222">
        <v>373220</v>
      </c>
      <c r="D222" t="s">
        <v>24</v>
      </c>
      <c r="E222" t="s">
        <v>23</v>
      </c>
      <c r="F222" t="s">
        <v>17</v>
      </c>
      <c r="G222">
        <v>390500</v>
      </c>
      <c r="H222">
        <v>-4000</v>
      </c>
      <c r="I222">
        <v>-1.01</v>
      </c>
      <c r="J222">
        <v>397500</v>
      </c>
      <c r="K222">
        <v>399000</v>
      </c>
      <c r="L222">
        <v>386500</v>
      </c>
      <c r="M222">
        <v>302157</v>
      </c>
      <c r="N222">
        <v>117831080500</v>
      </c>
      <c r="O222">
        <v>234000000</v>
      </c>
      <c r="P222">
        <v>91377000000000</v>
      </c>
    </row>
    <row r="223" spans="1:16">
      <c r="A223" t="s">
        <v>23</v>
      </c>
      <c r="B223">
        <v>20260209</v>
      </c>
      <c r="C223">
        <v>373220</v>
      </c>
      <c r="D223" t="s">
        <v>24</v>
      </c>
      <c r="E223" t="s">
        <v>23</v>
      </c>
      <c r="F223" t="s">
        <v>17</v>
      </c>
      <c r="G223">
        <v>394500</v>
      </c>
      <c r="H223">
        <v>9500</v>
      </c>
      <c r="I223">
        <v>2.4700000000000002</v>
      </c>
      <c r="J223">
        <v>398000</v>
      </c>
      <c r="K223">
        <v>401500</v>
      </c>
      <c r="L223">
        <v>388000</v>
      </c>
      <c r="M223">
        <v>230057</v>
      </c>
      <c r="N223">
        <v>90378612750</v>
      </c>
      <c r="O223">
        <v>234000000</v>
      </c>
      <c r="P223">
        <v>92313000000000</v>
      </c>
    </row>
    <row r="224" spans="1:16">
      <c r="A224" t="s">
        <v>23</v>
      </c>
      <c r="B224">
        <v>20260206</v>
      </c>
      <c r="C224">
        <v>373220</v>
      </c>
      <c r="D224" t="s">
        <v>24</v>
      </c>
      <c r="E224" t="s">
        <v>23</v>
      </c>
      <c r="F224" t="s">
        <v>17</v>
      </c>
      <c r="G224">
        <v>385000</v>
      </c>
      <c r="H224">
        <v>-10000</v>
      </c>
      <c r="I224">
        <v>-2.5299999999999998</v>
      </c>
      <c r="J224">
        <v>383500</v>
      </c>
      <c r="K224">
        <v>386000</v>
      </c>
      <c r="L224">
        <v>377000</v>
      </c>
      <c r="M224">
        <v>265446</v>
      </c>
      <c r="N224">
        <v>101486138000</v>
      </c>
      <c r="O224">
        <v>234000000</v>
      </c>
      <c r="P224">
        <v>90090000000000</v>
      </c>
    </row>
    <row r="225" spans="1:16">
      <c r="A225" t="s">
        <v>23</v>
      </c>
      <c r="B225">
        <v>20260205</v>
      </c>
      <c r="C225">
        <v>373220</v>
      </c>
      <c r="D225" t="s">
        <v>24</v>
      </c>
      <c r="E225" t="s">
        <v>23</v>
      </c>
      <c r="F225" t="s">
        <v>17</v>
      </c>
      <c r="G225">
        <v>395000</v>
      </c>
      <c r="H225">
        <v>-7500</v>
      </c>
      <c r="I225">
        <v>-1.86</v>
      </c>
      <c r="J225">
        <v>399500</v>
      </c>
      <c r="K225">
        <v>408500</v>
      </c>
      <c r="L225">
        <v>392000</v>
      </c>
      <c r="M225">
        <v>338536</v>
      </c>
      <c r="N225">
        <v>134795077000</v>
      </c>
      <c r="O225">
        <v>234000000</v>
      </c>
      <c r="P225">
        <v>92430000000000</v>
      </c>
    </row>
    <row r="226" spans="1:16">
      <c r="A226" t="s">
        <v>23</v>
      </c>
      <c r="B226">
        <v>20260204</v>
      </c>
      <c r="C226">
        <v>373220</v>
      </c>
      <c r="D226" t="s">
        <v>24</v>
      </c>
      <c r="E226" t="s">
        <v>23</v>
      </c>
      <c r="F226" t="s">
        <v>17</v>
      </c>
      <c r="G226">
        <v>402500</v>
      </c>
      <c r="H226">
        <v>11500</v>
      </c>
      <c r="I226">
        <v>2.94</v>
      </c>
      <c r="J226">
        <v>398000</v>
      </c>
      <c r="K226">
        <v>405000</v>
      </c>
      <c r="L226">
        <v>394000</v>
      </c>
      <c r="M226">
        <v>337066</v>
      </c>
      <c r="N226">
        <v>135101685250</v>
      </c>
      <c r="O226">
        <v>234000000</v>
      </c>
      <c r="P226">
        <v>94185000000000</v>
      </c>
    </row>
    <row r="227" spans="1:16">
      <c r="A227" t="s">
        <v>23</v>
      </c>
      <c r="B227">
        <v>20260203</v>
      </c>
      <c r="C227">
        <v>373220</v>
      </c>
      <c r="D227" t="s">
        <v>24</v>
      </c>
      <c r="E227" t="s">
        <v>23</v>
      </c>
      <c r="F227" t="s">
        <v>17</v>
      </c>
      <c r="G227">
        <v>391000</v>
      </c>
      <c r="H227">
        <v>11000</v>
      </c>
      <c r="I227">
        <v>2.89</v>
      </c>
      <c r="J227">
        <v>391000</v>
      </c>
      <c r="K227">
        <v>391500</v>
      </c>
      <c r="L227">
        <v>381500</v>
      </c>
      <c r="M227">
        <v>271188</v>
      </c>
      <c r="N227">
        <v>105214004500</v>
      </c>
      <c r="O227">
        <v>234000000</v>
      </c>
      <c r="P227">
        <v>91494000000000</v>
      </c>
    </row>
    <row r="228" spans="1:16">
      <c r="A228" t="s">
        <v>23</v>
      </c>
      <c r="B228">
        <v>20260202</v>
      </c>
      <c r="C228">
        <v>373220</v>
      </c>
      <c r="D228" t="s">
        <v>24</v>
      </c>
      <c r="E228" t="s">
        <v>23</v>
      </c>
      <c r="F228" t="s">
        <v>17</v>
      </c>
      <c r="G228">
        <v>380000</v>
      </c>
      <c r="H228">
        <v>-18000</v>
      </c>
      <c r="I228">
        <v>-4.5199999999999996</v>
      </c>
      <c r="J228">
        <v>392500</v>
      </c>
      <c r="K228">
        <v>400500</v>
      </c>
      <c r="L228">
        <v>379000</v>
      </c>
      <c r="M228">
        <v>401037</v>
      </c>
      <c r="N228">
        <v>155555457000</v>
      </c>
      <c r="O228">
        <v>234000000</v>
      </c>
      <c r="P228">
        <v>88920000000000</v>
      </c>
    </row>
    <row r="229" spans="1:16">
      <c r="A229" t="s">
        <v>23</v>
      </c>
      <c r="B229">
        <v>20260130</v>
      </c>
      <c r="C229">
        <v>373220</v>
      </c>
      <c r="D229" t="s">
        <v>24</v>
      </c>
      <c r="E229" t="s">
        <v>23</v>
      </c>
      <c r="F229" t="s">
        <v>17</v>
      </c>
      <c r="G229">
        <v>398000</v>
      </c>
      <c r="H229">
        <v>-18500</v>
      </c>
      <c r="I229">
        <v>-4.4400000000000004</v>
      </c>
      <c r="J229">
        <v>417000</v>
      </c>
      <c r="K229">
        <v>419500</v>
      </c>
      <c r="L229">
        <v>398000</v>
      </c>
      <c r="M229">
        <v>579004</v>
      </c>
      <c r="N229">
        <v>235166574250</v>
      </c>
      <c r="O229">
        <v>234000000</v>
      </c>
      <c r="P229">
        <v>93132000000000</v>
      </c>
    </row>
    <row r="230" spans="1:16">
      <c r="A230" t="s">
        <v>23</v>
      </c>
      <c r="B230">
        <v>20260129</v>
      </c>
      <c r="C230">
        <v>373220</v>
      </c>
      <c r="D230" t="s">
        <v>24</v>
      </c>
      <c r="E230" t="s">
        <v>23</v>
      </c>
      <c r="F230" t="s">
        <v>17</v>
      </c>
      <c r="G230">
        <v>416500</v>
      </c>
      <c r="H230">
        <v>-14500</v>
      </c>
      <c r="I230">
        <v>-3.36</v>
      </c>
      <c r="J230">
        <v>435000</v>
      </c>
      <c r="K230">
        <v>435000</v>
      </c>
      <c r="L230">
        <v>411500</v>
      </c>
      <c r="M230">
        <v>709422</v>
      </c>
      <c r="N230">
        <v>296330947500</v>
      </c>
      <c r="O230">
        <v>234000000</v>
      </c>
      <c r="P230">
        <v>97461000000000</v>
      </c>
    </row>
    <row r="231" spans="1:16">
      <c r="A231" t="s">
        <v>23</v>
      </c>
      <c r="B231">
        <v>20260128</v>
      </c>
      <c r="C231">
        <v>373220</v>
      </c>
      <c r="D231" t="s">
        <v>24</v>
      </c>
      <c r="E231" t="s">
        <v>23</v>
      </c>
      <c r="F231" t="s">
        <v>17</v>
      </c>
      <c r="G231">
        <v>431000</v>
      </c>
      <c r="H231">
        <v>22500</v>
      </c>
      <c r="I231">
        <v>5.51</v>
      </c>
      <c r="J231">
        <v>421500</v>
      </c>
      <c r="K231">
        <v>455000</v>
      </c>
      <c r="L231">
        <v>421500</v>
      </c>
      <c r="M231">
        <v>1462794</v>
      </c>
      <c r="N231">
        <v>637497787000</v>
      </c>
      <c r="O231">
        <v>234000000</v>
      </c>
      <c r="P231">
        <v>100854000000000</v>
      </c>
    </row>
    <row r="232" spans="1:16">
      <c r="A232" t="s">
        <v>23</v>
      </c>
      <c r="B232">
        <v>20260127</v>
      </c>
      <c r="C232">
        <v>373220</v>
      </c>
      <c r="D232" t="s">
        <v>24</v>
      </c>
      <c r="E232" t="s">
        <v>23</v>
      </c>
      <c r="F232" t="s">
        <v>17</v>
      </c>
      <c r="G232">
        <v>408500</v>
      </c>
      <c r="H232">
        <v>-7500</v>
      </c>
      <c r="I232">
        <v>-1.8</v>
      </c>
      <c r="J232">
        <v>410000</v>
      </c>
      <c r="K232">
        <v>416500</v>
      </c>
      <c r="L232">
        <v>404500</v>
      </c>
      <c r="M232">
        <v>330244</v>
      </c>
      <c r="N232">
        <v>135299042750</v>
      </c>
      <c r="O232">
        <v>234000000</v>
      </c>
      <c r="P232">
        <v>95589000000000</v>
      </c>
    </row>
    <row r="233" spans="1:16">
      <c r="A233" t="s">
        <v>23</v>
      </c>
      <c r="B233">
        <v>20260126</v>
      </c>
      <c r="C233">
        <v>373220</v>
      </c>
      <c r="D233" t="s">
        <v>24</v>
      </c>
      <c r="E233" t="s">
        <v>23</v>
      </c>
      <c r="F233" t="s">
        <v>17</v>
      </c>
      <c r="G233">
        <v>416000</v>
      </c>
      <c r="H233">
        <v>4000</v>
      </c>
      <c r="I233">
        <v>0.97</v>
      </c>
      <c r="J233">
        <v>415000</v>
      </c>
      <c r="K233">
        <v>422000</v>
      </c>
      <c r="L233">
        <v>411000</v>
      </c>
      <c r="M233">
        <v>323197</v>
      </c>
      <c r="N233">
        <v>134168680750</v>
      </c>
      <c r="O233">
        <v>234000000</v>
      </c>
      <c r="P233">
        <v>97344000000000</v>
      </c>
    </row>
    <row r="234" spans="1:16">
      <c r="A234" t="s">
        <v>23</v>
      </c>
      <c r="B234">
        <v>20260123</v>
      </c>
      <c r="C234">
        <v>373220</v>
      </c>
      <c r="D234" t="s">
        <v>24</v>
      </c>
      <c r="E234" t="s">
        <v>23</v>
      </c>
      <c r="F234" t="s">
        <v>17</v>
      </c>
      <c r="G234">
        <v>412000</v>
      </c>
      <c r="H234">
        <v>-5000</v>
      </c>
      <c r="I234">
        <v>-1.2</v>
      </c>
      <c r="J234">
        <v>427500</v>
      </c>
      <c r="K234">
        <v>430500</v>
      </c>
      <c r="L234">
        <v>407000</v>
      </c>
      <c r="M234">
        <v>486387</v>
      </c>
      <c r="N234">
        <v>201782984500</v>
      </c>
      <c r="O234">
        <v>234000000</v>
      </c>
      <c r="P234">
        <v>96408000000000</v>
      </c>
    </row>
    <row r="235" spans="1:16">
      <c r="A235" t="s">
        <v>23</v>
      </c>
      <c r="B235">
        <v>20260122</v>
      </c>
      <c r="C235">
        <v>373220</v>
      </c>
      <c r="D235" t="s">
        <v>24</v>
      </c>
      <c r="E235" t="s">
        <v>23</v>
      </c>
      <c r="F235" t="s">
        <v>17</v>
      </c>
      <c r="G235">
        <v>417000</v>
      </c>
      <c r="H235">
        <v>22500</v>
      </c>
      <c r="I235">
        <v>5.7</v>
      </c>
      <c r="J235">
        <v>397500</v>
      </c>
      <c r="K235">
        <v>418000</v>
      </c>
      <c r="L235">
        <v>395500</v>
      </c>
      <c r="M235">
        <v>680002</v>
      </c>
      <c r="N235">
        <v>280920608500</v>
      </c>
      <c r="O235">
        <v>234000000</v>
      </c>
      <c r="P235">
        <v>97578000000000</v>
      </c>
    </row>
    <row r="236" spans="1:16">
      <c r="A236" t="s">
        <v>23</v>
      </c>
      <c r="B236">
        <v>20260121</v>
      </c>
      <c r="C236">
        <v>373220</v>
      </c>
      <c r="D236" t="s">
        <v>24</v>
      </c>
      <c r="E236" t="s">
        <v>23</v>
      </c>
      <c r="F236" t="s">
        <v>17</v>
      </c>
      <c r="G236">
        <v>394500</v>
      </c>
      <c r="H236">
        <v>-8500</v>
      </c>
      <c r="I236">
        <v>-2.11</v>
      </c>
      <c r="J236">
        <v>395500</v>
      </c>
      <c r="K236">
        <v>398000</v>
      </c>
      <c r="L236">
        <v>389000</v>
      </c>
      <c r="M236">
        <v>280563</v>
      </c>
      <c r="N236">
        <v>110357504000</v>
      </c>
      <c r="O236">
        <v>234000000</v>
      </c>
      <c r="P236">
        <v>92313000000000</v>
      </c>
    </row>
    <row r="237" spans="1:16">
      <c r="A237" t="s">
        <v>23</v>
      </c>
      <c r="B237">
        <v>20260120</v>
      </c>
      <c r="C237">
        <v>373220</v>
      </c>
      <c r="D237" t="s">
        <v>24</v>
      </c>
      <c r="E237" t="s">
        <v>23</v>
      </c>
      <c r="F237" t="s">
        <v>17</v>
      </c>
      <c r="G237">
        <v>403000</v>
      </c>
      <c r="H237">
        <v>4500</v>
      </c>
      <c r="I237">
        <v>1.1299999999999999</v>
      </c>
      <c r="J237">
        <v>398000</v>
      </c>
      <c r="K237">
        <v>413500</v>
      </c>
      <c r="L237">
        <v>396500</v>
      </c>
      <c r="M237">
        <v>455475</v>
      </c>
      <c r="N237">
        <v>183995191000</v>
      </c>
      <c r="O237">
        <v>234000000</v>
      </c>
      <c r="P237">
        <v>94302000000000</v>
      </c>
    </row>
    <row r="238" spans="1:16">
      <c r="A238" t="s">
        <v>23</v>
      </c>
      <c r="B238">
        <v>20260119</v>
      </c>
      <c r="C238">
        <v>373220</v>
      </c>
      <c r="D238" t="s">
        <v>24</v>
      </c>
      <c r="E238" t="s">
        <v>23</v>
      </c>
      <c r="F238" t="s">
        <v>17</v>
      </c>
      <c r="G238">
        <v>398500</v>
      </c>
      <c r="H238">
        <v>7500</v>
      </c>
      <c r="I238">
        <v>1.92</v>
      </c>
      <c r="J238">
        <v>389500</v>
      </c>
      <c r="K238">
        <v>401000</v>
      </c>
      <c r="L238">
        <v>384000</v>
      </c>
      <c r="M238">
        <v>408315</v>
      </c>
      <c r="N238">
        <v>160505124750</v>
      </c>
      <c r="O238">
        <v>234000000</v>
      </c>
      <c r="P238">
        <v>93249000000000</v>
      </c>
    </row>
    <row r="239" spans="1:16">
      <c r="A239" t="s">
        <v>23</v>
      </c>
      <c r="B239">
        <v>20260116</v>
      </c>
      <c r="C239">
        <v>373220</v>
      </c>
      <c r="D239" t="s">
        <v>24</v>
      </c>
      <c r="E239" t="s">
        <v>23</v>
      </c>
      <c r="F239" t="s">
        <v>17</v>
      </c>
      <c r="G239">
        <v>391000</v>
      </c>
      <c r="H239">
        <v>-1000</v>
      </c>
      <c r="I239">
        <v>-0.26</v>
      </c>
      <c r="J239">
        <v>394000</v>
      </c>
      <c r="K239">
        <v>398000</v>
      </c>
      <c r="L239">
        <v>388000</v>
      </c>
      <c r="M239">
        <v>289648</v>
      </c>
      <c r="N239">
        <v>113504237500</v>
      </c>
      <c r="O239">
        <v>234000000</v>
      </c>
      <c r="P239">
        <v>91494000000000</v>
      </c>
    </row>
    <row r="240" spans="1:16">
      <c r="A240" t="s">
        <v>23</v>
      </c>
      <c r="B240">
        <v>20260115</v>
      </c>
      <c r="C240">
        <v>373220</v>
      </c>
      <c r="D240" t="s">
        <v>24</v>
      </c>
      <c r="E240" t="s">
        <v>23</v>
      </c>
      <c r="F240" t="s">
        <v>17</v>
      </c>
      <c r="G240">
        <v>392000</v>
      </c>
      <c r="H240">
        <v>2500</v>
      </c>
      <c r="I240">
        <v>0.64</v>
      </c>
      <c r="J240">
        <v>390000</v>
      </c>
      <c r="K240">
        <v>395500</v>
      </c>
      <c r="L240">
        <v>384500</v>
      </c>
      <c r="M240">
        <v>284050</v>
      </c>
      <c r="N240">
        <v>110412230750</v>
      </c>
      <c r="O240">
        <v>234000000</v>
      </c>
      <c r="P240">
        <v>91728000000000</v>
      </c>
    </row>
    <row r="241" spans="1:16">
      <c r="A241" t="s">
        <v>23</v>
      </c>
      <c r="B241">
        <v>20260114</v>
      </c>
      <c r="C241">
        <v>373220</v>
      </c>
      <c r="D241" t="s">
        <v>24</v>
      </c>
      <c r="E241" t="s">
        <v>23</v>
      </c>
      <c r="F241" t="s">
        <v>17</v>
      </c>
      <c r="G241">
        <v>389500</v>
      </c>
      <c r="H241">
        <v>-4500</v>
      </c>
      <c r="I241">
        <v>-1.1399999999999999</v>
      </c>
      <c r="J241">
        <v>394000</v>
      </c>
      <c r="K241">
        <v>396000</v>
      </c>
      <c r="L241">
        <v>387000</v>
      </c>
      <c r="M241">
        <v>270844</v>
      </c>
      <c r="N241">
        <v>105619638250</v>
      </c>
      <c r="O241">
        <v>234000000</v>
      </c>
      <c r="P241">
        <v>91143000000000</v>
      </c>
    </row>
    <row r="242" spans="1:16">
      <c r="A242" t="s">
        <v>23</v>
      </c>
      <c r="B242">
        <v>20260113</v>
      </c>
      <c r="C242">
        <v>373220</v>
      </c>
      <c r="D242" t="s">
        <v>24</v>
      </c>
      <c r="E242" t="s">
        <v>23</v>
      </c>
      <c r="F242" t="s">
        <v>17</v>
      </c>
      <c r="G242">
        <v>394000</v>
      </c>
      <c r="H242">
        <v>15000</v>
      </c>
      <c r="I242">
        <v>3.96</v>
      </c>
      <c r="J242">
        <v>385500</v>
      </c>
      <c r="K242">
        <v>394500</v>
      </c>
      <c r="L242">
        <v>378000</v>
      </c>
      <c r="M242">
        <v>473453</v>
      </c>
      <c r="N242">
        <v>184087092250</v>
      </c>
      <c r="O242">
        <v>234000000</v>
      </c>
      <c r="P242">
        <v>92196000000000</v>
      </c>
    </row>
    <row r="243" spans="1:16">
      <c r="A243" t="s">
        <v>23</v>
      </c>
      <c r="B243">
        <v>20260112</v>
      </c>
      <c r="C243">
        <v>373220</v>
      </c>
      <c r="D243" t="s">
        <v>24</v>
      </c>
      <c r="E243" t="s">
        <v>23</v>
      </c>
      <c r="F243" t="s">
        <v>17</v>
      </c>
      <c r="G243">
        <v>379000</v>
      </c>
      <c r="H243">
        <v>16000</v>
      </c>
      <c r="I243">
        <v>4.41</v>
      </c>
      <c r="J243">
        <v>364500</v>
      </c>
      <c r="K243">
        <v>379500</v>
      </c>
      <c r="L243">
        <v>363000</v>
      </c>
      <c r="M243">
        <v>429789</v>
      </c>
      <c r="N243">
        <v>161391602750</v>
      </c>
      <c r="O243">
        <v>234000000</v>
      </c>
      <c r="P243">
        <v>88686000000000</v>
      </c>
    </row>
    <row r="244" spans="1:16">
      <c r="A244" t="s">
        <v>23</v>
      </c>
      <c r="B244">
        <v>20260109</v>
      </c>
      <c r="C244">
        <v>373220</v>
      </c>
      <c r="D244" t="s">
        <v>24</v>
      </c>
      <c r="E244" t="s">
        <v>23</v>
      </c>
      <c r="F244" t="s">
        <v>17</v>
      </c>
      <c r="G244">
        <v>363000</v>
      </c>
      <c r="H244">
        <v>-3000</v>
      </c>
      <c r="I244">
        <v>-0.82</v>
      </c>
      <c r="J244">
        <v>370000</v>
      </c>
      <c r="K244">
        <v>371000</v>
      </c>
      <c r="L244">
        <v>361000</v>
      </c>
      <c r="M244">
        <v>344929</v>
      </c>
      <c r="N244">
        <v>125563788500</v>
      </c>
      <c r="O244">
        <v>234000000</v>
      </c>
      <c r="P244">
        <v>84942000000000</v>
      </c>
    </row>
    <row r="245" spans="1:16">
      <c r="A245" t="s">
        <v>23</v>
      </c>
      <c r="B245">
        <v>20260108</v>
      </c>
      <c r="C245">
        <v>373220</v>
      </c>
      <c r="D245" t="s">
        <v>24</v>
      </c>
      <c r="E245" t="s">
        <v>23</v>
      </c>
      <c r="F245" t="s">
        <v>17</v>
      </c>
      <c r="G245">
        <v>366000</v>
      </c>
      <c r="H245">
        <v>-4500</v>
      </c>
      <c r="I245">
        <v>-1.21</v>
      </c>
      <c r="J245">
        <v>369000</v>
      </c>
      <c r="K245">
        <v>371000</v>
      </c>
      <c r="L245">
        <v>363500</v>
      </c>
      <c r="M245">
        <v>413793</v>
      </c>
      <c r="N245">
        <v>151267032750</v>
      </c>
      <c r="O245">
        <v>234000000</v>
      </c>
      <c r="P245">
        <v>85644000000000</v>
      </c>
    </row>
    <row r="246" spans="1:16">
      <c r="A246" t="s">
        <v>23</v>
      </c>
      <c r="B246">
        <v>20260107</v>
      </c>
      <c r="C246">
        <v>373220</v>
      </c>
      <c r="D246" t="s">
        <v>24</v>
      </c>
      <c r="E246" t="s">
        <v>23</v>
      </c>
      <c r="F246" t="s">
        <v>17</v>
      </c>
      <c r="G246">
        <v>370500</v>
      </c>
      <c r="H246">
        <v>-7500</v>
      </c>
      <c r="I246">
        <v>-1.98</v>
      </c>
      <c r="J246">
        <v>378500</v>
      </c>
      <c r="K246">
        <v>383500</v>
      </c>
      <c r="L246">
        <v>367500</v>
      </c>
      <c r="M246">
        <v>275402</v>
      </c>
      <c r="N246">
        <v>102456878000</v>
      </c>
      <c r="O246">
        <v>234000000</v>
      </c>
      <c r="P246">
        <v>86697000000000</v>
      </c>
    </row>
    <row r="247" spans="1:16">
      <c r="A247" t="s">
        <v>23</v>
      </c>
      <c r="B247">
        <v>20260106</v>
      </c>
      <c r="C247">
        <v>373220</v>
      </c>
      <c r="D247" t="s">
        <v>24</v>
      </c>
      <c r="E247" t="s">
        <v>23</v>
      </c>
      <c r="F247" t="s">
        <v>17</v>
      </c>
      <c r="G247">
        <v>378000</v>
      </c>
      <c r="H247">
        <v>6500</v>
      </c>
      <c r="I247">
        <v>1.75</v>
      </c>
      <c r="J247">
        <v>379000</v>
      </c>
      <c r="K247">
        <v>383000</v>
      </c>
      <c r="L247">
        <v>373500</v>
      </c>
      <c r="M247">
        <v>316118</v>
      </c>
      <c r="N247">
        <v>119345682750</v>
      </c>
      <c r="O247">
        <v>234000000</v>
      </c>
      <c r="P247">
        <v>88452000000000</v>
      </c>
    </row>
    <row r="248" spans="1:16">
      <c r="A248" t="s">
        <v>23</v>
      </c>
      <c r="B248">
        <v>20260105</v>
      </c>
      <c r="C248">
        <v>373220</v>
      </c>
      <c r="D248" t="s">
        <v>24</v>
      </c>
      <c r="E248" t="s">
        <v>23</v>
      </c>
      <c r="F248" t="s">
        <v>17</v>
      </c>
      <c r="G248">
        <v>371500</v>
      </c>
      <c r="H248">
        <v>10500</v>
      </c>
      <c r="I248">
        <v>2.91</v>
      </c>
      <c r="J248">
        <v>358500</v>
      </c>
      <c r="K248">
        <v>373500</v>
      </c>
      <c r="L248">
        <v>358500</v>
      </c>
      <c r="M248">
        <v>355352</v>
      </c>
      <c r="N248">
        <v>131332373250</v>
      </c>
      <c r="O248">
        <v>234000000</v>
      </c>
      <c r="P248">
        <v>86931000000000</v>
      </c>
    </row>
    <row r="249" spans="1:16">
      <c r="A249" t="s">
        <v>23</v>
      </c>
      <c r="B249">
        <v>20260102</v>
      </c>
      <c r="C249">
        <v>373220</v>
      </c>
      <c r="D249" t="s">
        <v>24</v>
      </c>
      <c r="E249" t="s">
        <v>23</v>
      </c>
      <c r="F249" t="s">
        <v>17</v>
      </c>
      <c r="G249">
        <v>361000</v>
      </c>
      <c r="H249">
        <v>-7500</v>
      </c>
      <c r="I249">
        <v>-2.04</v>
      </c>
      <c r="J249">
        <v>368500</v>
      </c>
      <c r="K249">
        <v>368500</v>
      </c>
      <c r="L249">
        <v>358500</v>
      </c>
      <c r="M249">
        <v>329529</v>
      </c>
      <c r="N249">
        <v>119065453500</v>
      </c>
      <c r="O249">
        <v>234000000</v>
      </c>
      <c r="P249">
        <v>84474000000000</v>
      </c>
    </row>
    <row r="250" spans="1:16">
      <c r="A250" t="s">
        <v>25</v>
      </c>
      <c r="B250">
        <v>20260403</v>
      </c>
      <c r="C250">
        <v>12450</v>
      </c>
      <c r="D250" t="s">
        <v>26</v>
      </c>
      <c r="E250" t="s">
        <v>25</v>
      </c>
      <c r="F250" t="s">
        <v>17</v>
      </c>
      <c r="G250">
        <v>1449000</v>
      </c>
      <c r="H250">
        <v>32000</v>
      </c>
      <c r="I250">
        <v>2.2599999999999998</v>
      </c>
      <c r="J250">
        <v>1418000</v>
      </c>
      <c r="K250">
        <v>1480000</v>
      </c>
      <c r="L250">
        <v>1399000</v>
      </c>
      <c r="M250">
        <v>193653</v>
      </c>
      <c r="N250">
        <v>280459555500</v>
      </c>
      <c r="O250">
        <v>51563401</v>
      </c>
      <c r="P250">
        <v>74715368049000</v>
      </c>
    </row>
    <row r="251" spans="1:16">
      <c r="A251" t="s">
        <v>25</v>
      </c>
      <c r="B251">
        <v>20260402</v>
      </c>
      <c r="C251">
        <v>12450</v>
      </c>
      <c r="D251" t="s">
        <v>26</v>
      </c>
      <c r="E251" t="s">
        <v>25</v>
      </c>
      <c r="F251" t="s">
        <v>17</v>
      </c>
      <c r="G251">
        <v>1417000</v>
      </c>
      <c r="H251">
        <v>84000</v>
      </c>
      <c r="I251">
        <v>6.3</v>
      </c>
      <c r="J251">
        <v>1415000</v>
      </c>
      <c r="K251">
        <v>1478000</v>
      </c>
      <c r="L251">
        <v>1383000</v>
      </c>
      <c r="M251">
        <v>437390</v>
      </c>
      <c r="N251">
        <v>622701431000</v>
      </c>
      <c r="O251">
        <v>51563401</v>
      </c>
      <c r="P251">
        <v>73065339217000</v>
      </c>
    </row>
    <row r="252" spans="1:16">
      <c r="A252" t="s">
        <v>25</v>
      </c>
      <c r="B252">
        <v>20260401</v>
      </c>
      <c r="C252">
        <v>12450</v>
      </c>
      <c r="D252" t="s">
        <v>26</v>
      </c>
      <c r="E252" t="s">
        <v>25</v>
      </c>
      <c r="F252" t="s">
        <v>17</v>
      </c>
      <c r="G252">
        <v>1333000</v>
      </c>
      <c r="H252">
        <v>84000</v>
      </c>
      <c r="I252">
        <v>6.73</v>
      </c>
      <c r="J252">
        <v>1323000</v>
      </c>
      <c r="K252">
        <v>1364000</v>
      </c>
      <c r="L252">
        <v>1283000</v>
      </c>
      <c r="M252">
        <v>243803</v>
      </c>
      <c r="N252">
        <v>322483266000</v>
      </c>
      <c r="O252">
        <v>51563401</v>
      </c>
      <c r="P252">
        <v>68734013533000</v>
      </c>
    </row>
    <row r="253" spans="1:16">
      <c r="A253" t="s">
        <v>25</v>
      </c>
      <c r="B253">
        <v>20260331</v>
      </c>
      <c r="C253">
        <v>12450</v>
      </c>
      <c r="D253" t="s">
        <v>26</v>
      </c>
      <c r="E253" t="s">
        <v>25</v>
      </c>
      <c r="F253" t="s">
        <v>17</v>
      </c>
      <c r="G253">
        <v>1249000</v>
      </c>
      <c r="H253">
        <v>-59000</v>
      </c>
      <c r="I253">
        <v>-4.51</v>
      </c>
      <c r="J253">
        <v>1263000</v>
      </c>
      <c r="K253">
        <v>1289000</v>
      </c>
      <c r="L253">
        <v>1217000</v>
      </c>
      <c r="M253">
        <v>277570</v>
      </c>
      <c r="N253">
        <v>346018472500</v>
      </c>
      <c r="O253">
        <v>51563401</v>
      </c>
      <c r="P253">
        <v>64402687849000</v>
      </c>
    </row>
    <row r="254" spans="1:16">
      <c r="A254" t="s">
        <v>25</v>
      </c>
      <c r="B254">
        <v>20260330</v>
      </c>
      <c r="C254">
        <v>12450</v>
      </c>
      <c r="D254" t="s">
        <v>26</v>
      </c>
      <c r="E254" t="s">
        <v>25</v>
      </c>
      <c r="F254" t="s">
        <v>17</v>
      </c>
      <c r="G254">
        <v>1308000</v>
      </c>
      <c r="H254">
        <v>-27000</v>
      </c>
      <c r="I254">
        <v>-2.02</v>
      </c>
      <c r="J254">
        <v>1276000</v>
      </c>
      <c r="K254">
        <v>1327000</v>
      </c>
      <c r="L254">
        <v>1256000</v>
      </c>
      <c r="M254">
        <v>160318</v>
      </c>
      <c r="N254">
        <v>208118189000</v>
      </c>
      <c r="O254">
        <v>51563401</v>
      </c>
      <c r="P254">
        <v>67444928508000</v>
      </c>
    </row>
    <row r="255" spans="1:16">
      <c r="A255" t="s">
        <v>25</v>
      </c>
      <c r="B255">
        <v>20260327</v>
      </c>
      <c r="C255">
        <v>12450</v>
      </c>
      <c r="D255" t="s">
        <v>26</v>
      </c>
      <c r="E255" t="s">
        <v>25</v>
      </c>
      <c r="F255" t="s">
        <v>17</v>
      </c>
      <c r="G255">
        <v>1335000</v>
      </c>
      <c r="H255">
        <v>-34000</v>
      </c>
      <c r="I255">
        <v>-2.48</v>
      </c>
      <c r="J255">
        <v>1349000</v>
      </c>
      <c r="K255">
        <v>1349000</v>
      </c>
      <c r="L255">
        <v>1287000</v>
      </c>
      <c r="M255">
        <v>205178</v>
      </c>
      <c r="N255">
        <v>270677694500</v>
      </c>
      <c r="O255">
        <v>51563401</v>
      </c>
      <c r="P255">
        <v>68837140335000</v>
      </c>
    </row>
    <row r="256" spans="1:16">
      <c r="A256" t="s">
        <v>25</v>
      </c>
      <c r="B256">
        <v>20260326</v>
      </c>
      <c r="C256">
        <v>12450</v>
      </c>
      <c r="D256" t="s">
        <v>26</v>
      </c>
      <c r="E256" t="s">
        <v>25</v>
      </c>
      <c r="F256" t="s">
        <v>17</v>
      </c>
      <c r="G256">
        <v>1369000</v>
      </c>
      <c r="H256">
        <v>-31000</v>
      </c>
      <c r="I256">
        <v>-2.21</v>
      </c>
      <c r="J256">
        <v>1425000</v>
      </c>
      <c r="K256">
        <v>1425000</v>
      </c>
      <c r="L256">
        <v>1351000</v>
      </c>
      <c r="M256">
        <v>158124</v>
      </c>
      <c r="N256">
        <v>219721866500</v>
      </c>
      <c r="O256">
        <v>51563401</v>
      </c>
      <c r="P256">
        <v>70590295969000</v>
      </c>
    </row>
    <row r="257" spans="1:16">
      <c r="A257" t="s">
        <v>25</v>
      </c>
      <c r="B257">
        <v>20260325</v>
      </c>
      <c r="C257">
        <v>12450</v>
      </c>
      <c r="D257" t="s">
        <v>26</v>
      </c>
      <c r="E257" t="s">
        <v>25</v>
      </c>
      <c r="F257" t="s">
        <v>17</v>
      </c>
      <c r="G257">
        <v>1400000</v>
      </c>
      <c r="H257">
        <v>65000</v>
      </c>
      <c r="I257">
        <v>4.87</v>
      </c>
      <c r="J257">
        <v>1362000</v>
      </c>
      <c r="K257">
        <v>1400000</v>
      </c>
      <c r="L257">
        <v>1332000</v>
      </c>
      <c r="M257">
        <v>212913</v>
      </c>
      <c r="N257">
        <v>293552798500</v>
      </c>
      <c r="O257">
        <v>51563401</v>
      </c>
      <c r="P257">
        <v>72188761400000</v>
      </c>
    </row>
    <row r="258" spans="1:16">
      <c r="A258" t="s">
        <v>25</v>
      </c>
      <c r="B258">
        <v>20260324</v>
      </c>
      <c r="C258">
        <v>12450</v>
      </c>
      <c r="D258" t="s">
        <v>26</v>
      </c>
      <c r="E258" t="s">
        <v>25</v>
      </c>
      <c r="F258" t="s">
        <v>17</v>
      </c>
      <c r="G258">
        <v>1335000</v>
      </c>
      <c r="H258">
        <v>57000</v>
      </c>
      <c r="I258">
        <v>4.46</v>
      </c>
      <c r="J258">
        <v>1310000</v>
      </c>
      <c r="K258">
        <v>1348000</v>
      </c>
      <c r="L258">
        <v>1291000</v>
      </c>
      <c r="M258">
        <v>154321</v>
      </c>
      <c r="N258">
        <v>204023090000</v>
      </c>
      <c r="O258">
        <v>51563401</v>
      </c>
      <c r="P258">
        <v>68837140335000</v>
      </c>
    </row>
    <row r="259" spans="1:16">
      <c r="A259" t="s">
        <v>25</v>
      </c>
      <c r="B259">
        <v>20260323</v>
      </c>
      <c r="C259">
        <v>12450</v>
      </c>
      <c r="D259" t="s">
        <v>26</v>
      </c>
      <c r="E259" t="s">
        <v>25</v>
      </c>
      <c r="F259" t="s">
        <v>17</v>
      </c>
      <c r="G259">
        <v>1278000</v>
      </c>
      <c r="H259">
        <v>-42000</v>
      </c>
      <c r="I259">
        <v>-3.18</v>
      </c>
      <c r="J259">
        <v>1300000</v>
      </c>
      <c r="K259">
        <v>1314000</v>
      </c>
      <c r="L259">
        <v>1232000</v>
      </c>
      <c r="M259">
        <v>232870</v>
      </c>
      <c r="N259">
        <v>294651687000</v>
      </c>
      <c r="O259">
        <v>51563401</v>
      </c>
      <c r="P259">
        <v>65898026478000</v>
      </c>
    </row>
    <row r="260" spans="1:16">
      <c r="A260" t="s">
        <v>25</v>
      </c>
      <c r="B260">
        <v>20260320</v>
      </c>
      <c r="C260">
        <v>12450</v>
      </c>
      <c r="D260" t="s">
        <v>26</v>
      </c>
      <c r="E260" t="s">
        <v>25</v>
      </c>
      <c r="F260" t="s">
        <v>17</v>
      </c>
      <c r="G260">
        <v>1320000</v>
      </c>
      <c r="H260">
        <v>-55000</v>
      </c>
      <c r="I260">
        <v>-4</v>
      </c>
      <c r="J260">
        <v>1347000</v>
      </c>
      <c r="K260">
        <v>1360000</v>
      </c>
      <c r="L260">
        <v>1306000</v>
      </c>
      <c r="M260">
        <v>270214</v>
      </c>
      <c r="N260">
        <v>357160356500</v>
      </c>
      <c r="O260">
        <v>51563401</v>
      </c>
      <c r="P260">
        <v>68063689320000</v>
      </c>
    </row>
    <row r="261" spans="1:16">
      <c r="A261" t="s">
        <v>25</v>
      </c>
      <c r="B261">
        <v>20260319</v>
      </c>
      <c r="C261">
        <v>12450</v>
      </c>
      <c r="D261" t="s">
        <v>26</v>
      </c>
      <c r="E261" t="s">
        <v>25</v>
      </c>
      <c r="F261" t="s">
        <v>17</v>
      </c>
      <c r="G261">
        <v>1375000</v>
      </c>
      <c r="H261">
        <v>-15000</v>
      </c>
      <c r="I261">
        <v>-1.08</v>
      </c>
      <c r="J261">
        <v>1416000</v>
      </c>
      <c r="K261">
        <v>1417000</v>
      </c>
      <c r="L261">
        <v>1361000</v>
      </c>
      <c r="M261">
        <v>111115</v>
      </c>
      <c r="N261">
        <v>152805855500</v>
      </c>
      <c r="O261">
        <v>51563401</v>
      </c>
      <c r="P261">
        <v>70899676375000</v>
      </c>
    </row>
    <row r="262" spans="1:16">
      <c r="A262" t="s">
        <v>25</v>
      </c>
      <c r="B262">
        <v>20260318</v>
      </c>
      <c r="C262">
        <v>12450</v>
      </c>
      <c r="D262" t="s">
        <v>26</v>
      </c>
      <c r="E262" t="s">
        <v>25</v>
      </c>
      <c r="F262" t="s">
        <v>17</v>
      </c>
      <c r="G262">
        <v>1390000</v>
      </c>
      <c r="H262">
        <v>-6000</v>
      </c>
      <c r="I262">
        <v>-0.43</v>
      </c>
      <c r="J262">
        <v>1415000</v>
      </c>
      <c r="K262">
        <v>1415000</v>
      </c>
      <c r="L262">
        <v>1362000</v>
      </c>
      <c r="M262">
        <v>161859</v>
      </c>
      <c r="N262">
        <v>223728459804</v>
      </c>
      <c r="O262">
        <v>51563401</v>
      </c>
      <c r="P262">
        <v>71673127390000</v>
      </c>
    </row>
    <row r="263" spans="1:16">
      <c r="A263" t="s">
        <v>25</v>
      </c>
      <c r="B263">
        <v>20260317</v>
      </c>
      <c r="C263">
        <v>12450</v>
      </c>
      <c r="D263" t="s">
        <v>26</v>
      </c>
      <c r="E263" t="s">
        <v>25</v>
      </c>
      <c r="F263" t="s">
        <v>17</v>
      </c>
      <c r="G263">
        <v>1396000</v>
      </c>
      <c r="H263">
        <v>-80000</v>
      </c>
      <c r="I263">
        <v>-5.42</v>
      </c>
      <c r="J263">
        <v>1470000</v>
      </c>
      <c r="K263">
        <v>1470000</v>
      </c>
      <c r="L263">
        <v>1388000</v>
      </c>
      <c r="M263">
        <v>210274</v>
      </c>
      <c r="N263">
        <v>296066474000</v>
      </c>
      <c r="O263">
        <v>51563401</v>
      </c>
      <c r="P263">
        <v>71982507796000</v>
      </c>
    </row>
    <row r="264" spans="1:16">
      <c r="A264" t="s">
        <v>25</v>
      </c>
      <c r="B264">
        <v>20260316</v>
      </c>
      <c r="C264">
        <v>12450</v>
      </c>
      <c r="D264" t="s">
        <v>26</v>
      </c>
      <c r="E264" t="s">
        <v>25</v>
      </c>
      <c r="F264" t="s">
        <v>17</v>
      </c>
      <c r="G264">
        <v>1476000</v>
      </c>
      <c r="H264">
        <v>-12000</v>
      </c>
      <c r="I264">
        <v>-0.81</v>
      </c>
      <c r="J264">
        <v>1478000</v>
      </c>
      <c r="K264">
        <v>1522000</v>
      </c>
      <c r="L264">
        <v>1457000</v>
      </c>
      <c r="M264">
        <v>180940</v>
      </c>
      <c r="N264">
        <v>268353549500</v>
      </c>
      <c r="O264">
        <v>51563401</v>
      </c>
      <c r="P264">
        <v>76107579876000</v>
      </c>
    </row>
    <row r="265" spans="1:16">
      <c r="A265" t="s">
        <v>25</v>
      </c>
      <c r="B265">
        <v>20260313</v>
      </c>
      <c r="C265">
        <v>12450</v>
      </c>
      <c r="D265" t="s">
        <v>26</v>
      </c>
      <c r="E265" t="s">
        <v>25</v>
      </c>
      <c r="F265" t="s">
        <v>17</v>
      </c>
      <c r="G265">
        <v>1488000</v>
      </c>
      <c r="H265">
        <v>23000</v>
      </c>
      <c r="I265">
        <v>1.57</v>
      </c>
      <c r="J265">
        <v>1462000</v>
      </c>
      <c r="K265">
        <v>1489000</v>
      </c>
      <c r="L265">
        <v>1409000</v>
      </c>
      <c r="M265">
        <v>324291</v>
      </c>
      <c r="N265">
        <v>476824902860</v>
      </c>
      <c r="O265">
        <v>51563401</v>
      </c>
      <c r="P265">
        <v>76726340688000</v>
      </c>
    </row>
    <row r="266" spans="1:16">
      <c r="A266" t="s">
        <v>25</v>
      </c>
      <c r="B266">
        <v>20260312</v>
      </c>
      <c r="C266">
        <v>12450</v>
      </c>
      <c r="D266" t="s">
        <v>26</v>
      </c>
      <c r="E266" t="s">
        <v>25</v>
      </c>
      <c r="F266" t="s">
        <v>17</v>
      </c>
      <c r="G266">
        <v>1465000</v>
      </c>
      <c r="H266">
        <v>55000</v>
      </c>
      <c r="I266">
        <v>3.9</v>
      </c>
      <c r="J266">
        <v>1430000</v>
      </c>
      <c r="K266">
        <v>1474000</v>
      </c>
      <c r="L266">
        <v>1424000</v>
      </c>
      <c r="M266">
        <v>261688</v>
      </c>
      <c r="N266">
        <v>381058942500</v>
      </c>
      <c r="O266">
        <v>51563401</v>
      </c>
      <c r="P266">
        <v>75540382465000</v>
      </c>
    </row>
    <row r="267" spans="1:16">
      <c r="A267" t="s">
        <v>25</v>
      </c>
      <c r="B267">
        <v>20260311</v>
      </c>
      <c r="C267">
        <v>12450</v>
      </c>
      <c r="D267" t="s">
        <v>26</v>
      </c>
      <c r="E267" t="s">
        <v>25</v>
      </c>
      <c r="F267" t="s">
        <v>17</v>
      </c>
      <c r="G267">
        <v>1410000</v>
      </c>
      <c r="H267">
        <v>-45000</v>
      </c>
      <c r="I267">
        <v>-3.09</v>
      </c>
      <c r="J267">
        <v>1459000</v>
      </c>
      <c r="K267">
        <v>1496000</v>
      </c>
      <c r="L267">
        <v>1390000</v>
      </c>
      <c r="M267">
        <v>285240</v>
      </c>
      <c r="N267">
        <v>414745842500</v>
      </c>
      <c r="O267">
        <v>51563401</v>
      </c>
      <c r="P267">
        <v>72704395410000</v>
      </c>
    </row>
    <row r="268" spans="1:16">
      <c r="A268" t="s">
        <v>25</v>
      </c>
      <c r="B268">
        <v>20260310</v>
      </c>
      <c r="C268">
        <v>12450</v>
      </c>
      <c r="D268" t="s">
        <v>26</v>
      </c>
      <c r="E268" t="s">
        <v>25</v>
      </c>
      <c r="F268" t="s">
        <v>17</v>
      </c>
      <c r="G268">
        <v>1455000</v>
      </c>
      <c r="H268">
        <v>21000</v>
      </c>
      <c r="I268">
        <v>1.46</v>
      </c>
      <c r="J268">
        <v>1365000</v>
      </c>
      <c r="K268">
        <v>1484000</v>
      </c>
      <c r="L268">
        <v>1353000</v>
      </c>
      <c r="M268">
        <v>452836</v>
      </c>
      <c r="N268">
        <v>648900797500</v>
      </c>
      <c r="O268">
        <v>51563401</v>
      </c>
      <c r="P268">
        <v>75024748455000</v>
      </c>
    </row>
    <row r="269" spans="1:16">
      <c r="A269" t="s">
        <v>25</v>
      </c>
      <c r="B269">
        <v>20260309</v>
      </c>
      <c r="C269">
        <v>12450</v>
      </c>
      <c r="D269" t="s">
        <v>26</v>
      </c>
      <c r="E269" t="s">
        <v>25</v>
      </c>
      <c r="F269" t="s">
        <v>17</v>
      </c>
      <c r="G269">
        <v>1434000</v>
      </c>
      <c r="H269">
        <v>-47000</v>
      </c>
      <c r="I269">
        <v>-3.17</v>
      </c>
      <c r="J269">
        <v>1516000</v>
      </c>
      <c r="K269">
        <v>1550000</v>
      </c>
      <c r="L269">
        <v>1361000</v>
      </c>
      <c r="M269">
        <v>564231</v>
      </c>
      <c r="N269">
        <v>809437107500</v>
      </c>
      <c r="O269">
        <v>51563401</v>
      </c>
      <c r="P269">
        <v>73941917034000</v>
      </c>
    </row>
    <row r="270" spans="1:16">
      <c r="A270" t="s">
        <v>25</v>
      </c>
      <c r="B270">
        <v>20260306</v>
      </c>
      <c r="C270">
        <v>12450</v>
      </c>
      <c r="D270" t="s">
        <v>26</v>
      </c>
      <c r="E270" t="s">
        <v>25</v>
      </c>
      <c r="F270" t="s">
        <v>17</v>
      </c>
      <c r="G270">
        <v>1481000</v>
      </c>
      <c r="H270">
        <v>100000</v>
      </c>
      <c r="I270">
        <v>7.24</v>
      </c>
      <c r="J270">
        <v>1414000</v>
      </c>
      <c r="K270">
        <v>1540000</v>
      </c>
      <c r="L270">
        <v>1368000</v>
      </c>
      <c r="M270">
        <v>836707</v>
      </c>
      <c r="N270">
        <v>1224363234500</v>
      </c>
      <c r="O270">
        <v>51563401</v>
      </c>
      <c r="P270">
        <v>76365396881000</v>
      </c>
    </row>
    <row r="271" spans="1:16">
      <c r="A271" t="s">
        <v>25</v>
      </c>
      <c r="B271">
        <v>20260305</v>
      </c>
      <c r="C271">
        <v>12450</v>
      </c>
      <c r="D271" t="s">
        <v>26</v>
      </c>
      <c r="E271" t="s">
        <v>25</v>
      </c>
      <c r="F271" t="s">
        <v>17</v>
      </c>
      <c r="G271">
        <v>1381000</v>
      </c>
      <c r="H271">
        <v>58000</v>
      </c>
      <c r="I271">
        <v>4.38</v>
      </c>
      <c r="J271">
        <v>1361000</v>
      </c>
      <c r="K271">
        <v>1486000</v>
      </c>
      <c r="L271">
        <v>1322000</v>
      </c>
      <c r="M271">
        <v>785586</v>
      </c>
      <c r="N271">
        <v>1100321576500</v>
      </c>
      <c r="O271">
        <v>51563401</v>
      </c>
      <c r="P271">
        <v>71209056781000</v>
      </c>
    </row>
    <row r="272" spans="1:16">
      <c r="A272" t="s">
        <v>25</v>
      </c>
      <c r="B272">
        <v>20260304</v>
      </c>
      <c r="C272">
        <v>12450</v>
      </c>
      <c r="D272" t="s">
        <v>26</v>
      </c>
      <c r="E272" t="s">
        <v>25</v>
      </c>
      <c r="F272" t="s">
        <v>17</v>
      </c>
      <c r="G272">
        <v>1323000</v>
      </c>
      <c r="H272">
        <v>-109000</v>
      </c>
      <c r="I272">
        <v>-7.61</v>
      </c>
      <c r="J272">
        <v>1526000</v>
      </c>
      <c r="K272">
        <v>1655000</v>
      </c>
      <c r="L272">
        <v>1243000</v>
      </c>
      <c r="M272">
        <v>1191514</v>
      </c>
      <c r="N272">
        <v>1617292326500</v>
      </c>
      <c r="O272">
        <v>51563401</v>
      </c>
      <c r="P272">
        <v>68218379523000</v>
      </c>
    </row>
    <row r="273" spans="1:16">
      <c r="A273" t="s">
        <v>25</v>
      </c>
      <c r="B273">
        <v>20260303</v>
      </c>
      <c r="C273">
        <v>12450</v>
      </c>
      <c r="D273" t="s">
        <v>26</v>
      </c>
      <c r="E273" t="s">
        <v>25</v>
      </c>
      <c r="F273" t="s">
        <v>17</v>
      </c>
      <c r="G273">
        <v>1432000</v>
      </c>
      <c r="H273">
        <v>237000</v>
      </c>
      <c r="I273">
        <v>19.829999999999998</v>
      </c>
      <c r="J273">
        <v>1330000</v>
      </c>
      <c r="K273">
        <v>1492000</v>
      </c>
      <c r="L273">
        <v>1304000</v>
      </c>
      <c r="M273">
        <v>1295365</v>
      </c>
      <c r="N273">
        <v>1808581203000</v>
      </c>
      <c r="O273">
        <v>51563401</v>
      </c>
      <c r="P273">
        <v>73838790232000</v>
      </c>
    </row>
    <row r="274" spans="1:16">
      <c r="A274" t="s">
        <v>25</v>
      </c>
      <c r="B274">
        <v>20260227</v>
      </c>
      <c r="C274">
        <v>12450</v>
      </c>
      <c r="D274" t="s">
        <v>26</v>
      </c>
      <c r="E274" t="s">
        <v>25</v>
      </c>
      <c r="F274" t="s">
        <v>17</v>
      </c>
      <c r="G274">
        <v>1195000</v>
      </c>
      <c r="H274">
        <v>1000</v>
      </c>
      <c r="I274">
        <v>0.08</v>
      </c>
      <c r="J274">
        <v>1227000</v>
      </c>
      <c r="K274">
        <v>1241000</v>
      </c>
      <c r="L274">
        <v>1195000</v>
      </c>
      <c r="M274">
        <v>325910</v>
      </c>
      <c r="N274">
        <v>396457815500</v>
      </c>
      <c r="O274">
        <v>51563401</v>
      </c>
      <c r="P274">
        <v>61618264195000</v>
      </c>
    </row>
    <row r="275" spans="1:16">
      <c r="A275" t="s">
        <v>25</v>
      </c>
      <c r="B275">
        <v>20260226</v>
      </c>
      <c r="C275">
        <v>12450</v>
      </c>
      <c r="D275" t="s">
        <v>26</v>
      </c>
      <c r="E275" t="s">
        <v>25</v>
      </c>
      <c r="F275" t="s">
        <v>17</v>
      </c>
      <c r="G275">
        <v>1194000</v>
      </c>
      <c r="H275">
        <v>-18000</v>
      </c>
      <c r="I275">
        <v>-1.49</v>
      </c>
      <c r="J275">
        <v>1207000</v>
      </c>
      <c r="K275">
        <v>1207000</v>
      </c>
      <c r="L275">
        <v>1182000</v>
      </c>
      <c r="M275">
        <v>184947</v>
      </c>
      <c r="N275">
        <v>220088457500</v>
      </c>
      <c r="O275">
        <v>51563401</v>
      </c>
      <c r="P275">
        <v>61566700794000</v>
      </c>
    </row>
    <row r="276" spans="1:16">
      <c r="A276" t="s">
        <v>25</v>
      </c>
      <c r="B276">
        <v>20260225</v>
      </c>
      <c r="C276">
        <v>12450</v>
      </c>
      <c r="D276" t="s">
        <v>26</v>
      </c>
      <c r="E276" t="s">
        <v>25</v>
      </c>
      <c r="F276" t="s">
        <v>17</v>
      </c>
      <c r="G276">
        <v>1212000</v>
      </c>
      <c r="H276">
        <v>-29000</v>
      </c>
      <c r="I276">
        <v>-2.34</v>
      </c>
      <c r="J276">
        <v>1240000</v>
      </c>
      <c r="K276">
        <v>1241000</v>
      </c>
      <c r="L276">
        <v>1205000</v>
      </c>
      <c r="M276">
        <v>168169</v>
      </c>
      <c r="N276">
        <v>204332629500</v>
      </c>
      <c r="O276">
        <v>51563401</v>
      </c>
      <c r="P276">
        <v>62494842012000</v>
      </c>
    </row>
    <row r="277" spans="1:16">
      <c r="A277" t="s">
        <v>25</v>
      </c>
      <c r="B277">
        <v>20260224</v>
      </c>
      <c r="C277">
        <v>12450</v>
      </c>
      <c r="D277" t="s">
        <v>26</v>
      </c>
      <c r="E277" t="s">
        <v>25</v>
      </c>
      <c r="F277" t="s">
        <v>17</v>
      </c>
      <c r="G277">
        <v>1241000</v>
      </c>
      <c r="H277">
        <v>5000</v>
      </c>
      <c r="I277">
        <v>0.4</v>
      </c>
      <c r="J277">
        <v>1243000</v>
      </c>
      <c r="K277">
        <v>1246000</v>
      </c>
      <c r="L277">
        <v>1201000</v>
      </c>
      <c r="M277">
        <v>172787</v>
      </c>
      <c r="N277">
        <v>212863699252</v>
      </c>
      <c r="O277">
        <v>51563401</v>
      </c>
      <c r="P277">
        <v>63990180641000</v>
      </c>
    </row>
    <row r="278" spans="1:16">
      <c r="A278" t="s">
        <v>25</v>
      </c>
      <c r="B278">
        <v>20260223</v>
      </c>
      <c r="C278">
        <v>12450</v>
      </c>
      <c r="D278" t="s">
        <v>26</v>
      </c>
      <c r="E278" t="s">
        <v>25</v>
      </c>
      <c r="F278" t="s">
        <v>17</v>
      </c>
      <c r="G278">
        <v>1236000</v>
      </c>
      <c r="H278">
        <v>-6000</v>
      </c>
      <c r="I278">
        <v>-0.48</v>
      </c>
      <c r="J278">
        <v>1241000</v>
      </c>
      <c r="K278">
        <v>1251000</v>
      </c>
      <c r="L278">
        <v>1215000</v>
      </c>
      <c r="M278">
        <v>196612</v>
      </c>
      <c r="N278">
        <v>242735584500</v>
      </c>
      <c r="O278">
        <v>51563401</v>
      </c>
      <c r="P278">
        <v>63732363636000</v>
      </c>
    </row>
    <row r="279" spans="1:16">
      <c r="A279" t="s">
        <v>25</v>
      </c>
      <c r="B279">
        <v>20260220</v>
      </c>
      <c r="C279">
        <v>12450</v>
      </c>
      <c r="D279" t="s">
        <v>26</v>
      </c>
      <c r="E279" t="s">
        <v>25</v>
      </c>
      <c r="F279" t="s">
        <v>17</v>
      </c>
      <c r="G279">
        <v>1242000</v>
      </c>
      <c r="H279">
        <v>93000</v>
      </c>
      <c r="I279">
        <v>8.09</v>
      </c>
      <c r="J279">
        <v>1224000</v>
      </c>
      <c r="K279">
        <v>1258000</v>
      </c>
      <c r="L279">
        <v>1192000</v>
      </c>
      <c r="M279">
        <v>443593</v>
      </c>
      <c r="N279">
        <v>545000267500</v>
      </c>
      <c r="O279">
        <v>51563401</v>
      </c>
      <c r="P279">
        <v>64041744042000</v>
      </c>
    </row>
    <row r="280" spans="1:16">
      <c r="A280" t="s">
        <v>25</v>
      </c>
      <c r="B280">
        <v>20260219</v>
      </c>
      <c r="C280">
        <v>12450</v>
      </c>
      <c r="D280" t="s">
        <v>26</v>
      </c>
      <c r="E280" t="s">
        <v>25</v>
      </c>
      <c r="F280" t="s">
        <v>17</v>
      </c>
      <c r="G280">
        <v>1149000</v>
      </c>
      <c r="H280">
        <v>44000</v>
      </c>
      <c r="I280">
        <v>3.98</v>
      </c>
      <c r="J280">
        <v>1199000</v>
      </c>
      <c r="K280">
        <v>1199000</v>
      </c>
      <c r="L280">
        <v>1131000</v>
      </c>
      <c r="M280">
        <v>190403</v>
      </c>
      <c r="N280">
        <v>218031158500</v>
      </c>
      <c r="O280">
        <v>51563401</v>
      </c>
      <c r="P280">
        <v>59246347749000</v>
      </c>
    </row>
    <row r="281" spans="1:16">
      <c r="A281" t="s">
        <v>25</v>
      </c>
      <c r="B281">
        <v>20260213</v>
      </c>
      <c r="C281">
        <v>12450</v>
      </c>
      <c r="D281" t="s">
        <v>26</v>
      </c>
      <c r="E281" t="s">
        <v>25</v>
      </c>
      <c r="F281" t="s">
        <v>17</v>
      </c>
      <c r="G281">
        <v>1105000</v>
      </c>
      <c r="H281">
        <v>-26000</v>
      </c>
      <c r="I281">
        <v>-2.2999999999999998</v>
      </c>
      <c r="J281">
        <v>1119000</v>
      </c>
      <c r="K281">
        <v>1128000</v>
      </c>
      <c r="L281">
        <v>1097000</v>
      </c>
      <c r="M281">
        <v>236946</v>
      </c>
      <c r="N281">
        <v>263449100500</v>
      </c>
      <c r="O281">
        <v>51563401</v>
      </c>
      <c r="P281">
        <v>56977558105000</v>
      </c>
    </row>
    <row r="282" spans="1:16">
      <c r="A282" t="s">
        <v>25</v>
      </c>
      <c r="B282">
        <v>20260212</v>
      </c>
      <c r="C282">
        <v>12450</v>
      </c>
      <c r="D282" t="s">
        <v>26</v>
      </c>
      <c r="E282" t="s">
        <v>25</v>
      </c>
      <c r="F282" t="s">
        <v>17</v>
      </c>
      <c r="G282">
        <v>1131000</v>
      </c>
      <c r="H282">
        <v>1000</v>
      </c>
      <c r="I282">
        <v>0.09</v>
      </c>
      <c r="J282">
        <v>1139000</v>
      </c>
      <c r="K282">
        <v>1140000</v>
      </c>
      <c r="L282">
        <v>1120000</v>
      </c>
      <c r="M282">
        <v>210941</v>
      </c>
      <c r="N282">
        <v>238034277000</v>
      </c>
      <c r="O282">
        <v>51563401</v>
      </c>
      <c r="P282">
        <v>58318206531000</v>
      </c>
    </row>
    <row r="283" spans="1:16">
      <c r="A283" t="s">
        <v>25</v>
      </c>
      <c r="B283">
        <v>20260211</v>
      </c>
      <c r="C283">
        <v>12450</v>
      </c>
      <c r="D283" t="s">
        <v>26</v>
      </c>
      <c r="E283" t="s">
        <v>25</v>
      </c>
      <c r="F283" t="s">
        <v>17</v>
      </c>
      <c r="G283">
        <v>1130000</v>
      </c>
      <c r="H283">
        <v>-16000</v>
      </c>
      <c r="I283">
        <v>-1.4</v>
      </c>
      <c r="J283">
        <v>1153000</v>
      </c>
      <c r="K283">
        <v>1163000</v>
      </c>
      <c r="L283">
        <v>1125000</v>
      </c>
      <c r="M283">
        <v>248096</v>
      </c>
      <c r="N283">
        <v>282302893328</v>
      </c>
      <c r="O283">
        <v>51563401</v>
      </c>
      <c r="P283">
        <v>58266643130000</v>
      </c>
    </row>
    <row r="284" spans="1:16">
      <c r="A284" t="s">
        <v>25</v>
      </c>
      <c r="B284">
        <v>20260210</v>
      </c>
      <c r="C284">
        <v>12450</v>
      </c>
      <c r="D284" t="s">
        <v>26</v>
      </c>
      <c r="E284" t="s">
        <v>25</v>
      </c>
      <c r="F284" t="s">
        <v>17</v>
      </c>
      <c r="G284">
        <v>1146000</v>
      </c>
      <c r="H284">
        <v>-47000</v>
      </c>
      <c r="I284">
        <v>-3.94</v>
      </c>
      <c r="J284">
        <v>1220000</v>
      </c>
      <c r="K284">
        <v>1249000</v>
      </c>
      <c r="L284">
        <v>1112000</v>
      </c>
      <c r="M284">
        <v>504416</v>
      </c>
      <c r="N284">
        <v>574068851829</v>
      </c>
      <c r="O284">
        <v>51563401</v>
      </c>
      <c r="P284">
        <v>59091657546000</v>
      </c>
    </row>
    <row r="285" spans="1:16">
      <c r="A285" t="s">
        <v>25</v>
      </c>
      <c r="B285">
        <v>20260209</v>
      </c>
      <c r="C285">
        <v>12450</v>
      </c>
      <c r="D285" t="s">
        <v>26</v>
      </c>
      <c r="E285" t="s">
        <v>25</v>
      </c>
      <c r="F285" t="s">
        <v>17</v>
      </c>
      <c r="G285">
        <v>1193000</v>
      </c>
      <c r="H285">
        <v>12000</v>
      </c>
      <c r="I285">
        <v>1.02</v>
      </c>
      <c r="J285">
        <v>1246000</v>
      </c>
      <c r="K285">
        <v>1260000</v>
      </c>
      <c r="L285">
        <v>1173000</v>
      </c>
      <c r="M285">
        <v>275049</v>
      </c>
      <c r="N285">
        <v>338107950500</v>
      </c>
      <c r="O285">
        <v>51563401</v>
      </c>
      <c r="P285">
        <v>61515137393000</v>
      </c>
    </row>
    <row r="286" spans="1:16">
      <c r="A286" t="s">
        <v>25</v>
      </c>
      <c r="B286">
        <v>20260206</v>
      </c>
      <c r="C286">
        <v>12450</v>
      </c>
      <c r="D286" t="s">
        <v>26</v>
      </c>
      <c r="E286" t="s">
        <v>25</v>
      </c>
      <c r="F286" t="s">
        <v>17</v>
      </c>
      <c r="G286">
        <v>1181000</v>
      </c>
      <c r="H286">
        <v>-46000</v>
      </c>
      <c r="I286">
        <v>-3.75</v>
      </c>
      <c r="J286">
        <v>1159000</v>
      </c>
      <c r="K286">
        <v>1192000</v>
      </c>
      <c r="L286">
        <v>1110000</v>
      </c>
      <c r="M286">
        <v>295504</v>
      </c>
      <c r="N286">
        <v>342100412000</v>
      </c>
      <c r="O286">
        <v>51563401</v>
      </c>
      <c r="P286">
        <v>60896376581000</v>
      </c>
    </row>
    <row r="287" spans="1:16">
      <c r="A287" t="s">
        <v>25</v>
      </c>
      <c r="B287">
        <v>20260205</v>
      </c>
      <c r="C287">
        <v>12450</v>
      </c>
      <c r="D287" t="s">
        <v>26</v>
      </c>
      <c r="E287" t="s">
        <v>25</v>
      </c>
      <c r="F287" t="s">
        <v>17</v>
      </c>
      <c r="G287">
        <v>1227000</v>
      </c>
      <c r="H287">
        <v>-97000</v>
      </c>
      <c r="I287">
        <v>-7.33</v>
      </c>
      <c r="J287">
        <v>1290000</v>
      </c>
      <c r="K287">
        <v>1300000</v>
      </c>
      <c r="L287">
        <v>1208000</v>
      </c>
      <c r="M287">
        <v>333625</v>
      </c>
      <c r="N287">
        <v>414383981500</v>
      </c>
      <c r="O287">
        <v>51563401</v>
      </c>
      <c r="P287">
        <v>63268293027000</v>
      </c>
    </row>
    <row r="288" spans="1:16">
      <c r="A288" t="s">
        <v>25</v>
      </c>
      <c r="B288">
        <v>20260204</v>
      </c>
      <c r="C288">
        <v>12450</v>
      </c>
      <c r="D288" t="s">
        <v>26</v>
      </c>
      <c r="E288" t="s">
        <v>25</v>
      </c>
      <c r="F288" t="s">
        <v>17</v>
      </c>
      <c r="G288">
        <v>1324000</v>
      </c>
      <c r="H288">
        <v>25000</v>
      </c>
      <c r="I288">
        <v>1.92</v>
      </c>
      <c r="J288">
        <v>1315000</v>
      </c>
      <c r="K288">
        <v>1333000</v>
      </c>
      <c r="L288">
        <v>1287000</v>
      </c>
      <c r="M288">
        <v>143922</v>
      </c>
      <c r="N288">
        <v>188803163000</v>
      </c>
      <c r="O288">
        <v>51563401</v>
      </c>
      <c r="P288">
        <v>68269942924000</v>
      </c>
    </row>
    <row r="289" spans="1:16">
      <c r="A289" t="s">
        <v>25</v>
      </c>
      <c r="B289">
        <v>20260203</v>
      </c>
      <c r="C289">
        <v>12450</v>
      </c>
      <c r="D289" t="s">
        <v>26</v>
      </c>
      <c r="E289" t="s">
        <v>25</v>
      </c>
      <c r="F289" t="s">
        <v>17</v>
      </c>
      <c r="G289">
        <v>1299000</v>
      </c>
      <c r="H289">
        <v>60000</v>
      </c>
      <c r="I289">
        <v>4.84</v>
      </c>
      <c r="J289">
        <v>1280000</v>
      </c>
      <c r="K289">
        <v>1315000</v>
      </c>
      <c r="L289">
        <v>1268000</v>
      </c>
      <c r="M289">
        <v>203785</v>
      </c>
      <c r="N289">
        <v>263753031500</v>
      </c>
      <c r="O289">
        <v>51563401</v>
      </c>
      <c r="P289">
        <v>66980857899000</v>
      </c>
    </row>
    <row r="290" spans="1:16">
      <c r="A290" t="s">
        <v>25</v>
      </c>
      <c r="B290">
        <v>20260202</v>
      </c>
      <c r="C290">
        <v>12450</v>
      </c>
      <c r="D290" t="s">
        <v>26</v>
      </c>
      <c r="E290" t="s">
        <v>25</v>
      </c>
      <c r="F290" t="s">
        <v>17</v>
      </c>
      <c r="G290">
        <v>1239000</v>
      </c>
      <c r="H290">
        <v>-61000</v>
      </c>
      <c r="I290">
        <v>-4.6900000000000004</v>
      </c>
      <c r="J290">
        <v>1320000</v>
      </c>
      <c r="K290">
        <v>1348000</v>
      </c>
      <c r="L290">
        <v>1207000</v>
      </c>
      <c r="M290">
        <v>312729</v>
      </c>
      <c r="N290">
        <v>397618806000</v>
      </c>
      <c r="O290">
        <v>51563401</v>
      </c>
      <c r="P290">
        <v>63887053839000</v>
      </c>
    </row>
    <row r="291" spans="1:16">
      <c r="A291" t="s">
        <v>25</v>
      </c>
      <c r="B291">
        <v>20260130</v>
      </c>
      <c r="C291">
        <v>12450</v>
      </c>
      <c r="D291" t="s">
        <v>26</v>
      </c>
      <c r="E291" t="s">
        <v>25</v>
      </c>
      <c r="F291" t="s">
        <v>17</v>
      </c>
      <c r="G291">
        <v>1300000</v>
      </c>
      <c r="H291">
        <v>0</v>
      </c>
      <c r="I291">
        <v>0</v>
      </c>
      <c r="J291">
        <v>1340000</v>
      </c>
      <c r="K291">
        <v>1348000</v>
      </c>
      <c r="L291">
        <v>1271000</v>
      </c>
      <c r="M291">
        <v>247057</v>
      </c>
      <c r="N291">
        <v>322009085500</v>
      </c>
      <c r="O291">
        <v>51563401</v>
      </c>
      <c r="P291">
        <v>67032421300000</v>
      </c>
    </row>
    <row r="292" spans="1:16">
      <c r="A292" t="s">
        <v>25</v>
      </c>
      <c r="B292">
        <v>20260129</v>
      </c>
      <c r="C292">
        <v>12450</v>
      </c>
      <c r="D292" t="s">
        <v>26</v>
      </c>
      <c r="E292" t="s">
        <v>25</v>
      </c>
      <c r="F292" t="s">
        <v>17</v>
      </c>
      <c r="G292">
        <v>1300000</v>
      </c>
      <c r="H292">
        <v>12000</v>
      </c>
      <c r="I292">
        <v>0.93</v>
      </c>
      <c r="J292">
        <v>1301000</v>
      </c>
      <c r="K292">
        <v>1329000</v>
      </c>
      <c r="L292">
        <v>1268000</v>
      </c>
      <c r="M292">
        <v>227097</v>
      </c>
      <c r="N292">
        <v>294414209500</v>
      </c>
      <c r="O292">
        <v>51563401</v>
      </c>
      <c r="P292">
        <v>67032421300000</v>
      </c>
    </row>
    <row r="293" spans="1:16">
      <c r="A293" t="s">
        <v>25</v>
      </c>
      <c r="B293">
        <v>20260128</v>
      </c>
      <c r="C293">
        <v>12450</v>
      </c>
      <c r="D293" t="s">
        <v>26</v>
      </c>
      <c r="E293" t="s">
        <v>25</v>
      </c>
      <c r="F293" t="s">
        <v>17</v>
      </c>
      <c r="G293">
        <v>1288000</v>
      </c>
      <c r="H293">
        <v>58000</v>
      </c>
      <c r="I293">
        <v>4.72</v>
      </c>
      <c r="J293">
        <v>1280000</v>
      </c>
      <c r="K293">
        <v>1299000</v>
      </c>
      <c r="L293">
        <v>1251000</v>
      </c>
      <c r="M293">
        <v>180905</v>
      </c>
      <c r="N293">
        <v>231289039500</v>
      </c>
      <c r="O293">
        <v>51563401</v>
      </c>
      <c r="P293">
        <v>66413660488000</v>
      </c>
    </row>
    <row r="294" spans="1:16">
      <c r="A294" t="s">
        <v>25</v>
      </c>
      <c r="B294">
        <v>20260127</v>
      </c>
      <c r="C294">
        <v>12450</v>
      </c>
      <c r="D294" t="s">
        <v>26</v>
      </c>
      <c r="E294" t="s">
        <v>25</v>
      </c>
      <c r="F294" t="s">
        <v>17</v>
      </c>
      <c r="G294">
        <v>1230000</v>
      </c>
      <c r="H294">
        <v>-32000</v>
      </c>
      <c r="I294">
        <v>-2.54</v>
      </c>
      <c r="J294">
        <v>1295000</v>
      </c>
      <c r="K294">
        <v>1295000</v>
      </c>
      <c r="L294">
        <v>1230000</v>
      </c>
      <c r="M294">
        <v>154527</v>
      </c>
      <c r="N294">
        <v>191788008000</v>
      </c>
      <c r="O294">
        <v>51563401</v>
      </c>
      <c r="P294">
        <v>63422983230000</v>
      </c>
    </row>
    <row r="295" spans="1:16">
      <c r="A295" t="s">
        <v>25</v>
      </c>
      <c r="B295">
        <v>20260126</v>
      </c>
      <c r="C295">
        <v>12450</v>
      </c>
      <c r="D295" t="s">
        <v>26</v>
      </c>
      <c r="E295" t="s">
        <v>25</v>
      </c>
      <c r="F295" t="s">
        <v>17</v>
      </c>
      <c r="G295">
        <v>1262000</v>
      </c>
      <c r="H295">
        <v>7000</v>
      </c>
      <c r="I295">
        <v>0.56000000000000005</v>
      </c>
      <c r="J295">
        <v>1268000</v>
      </c>
      <c r="K295">
        <v>1292000</v>
      </c>
      <c r="L295">
        <v>1258000</v>
      </c>
      <c r="M295">
        <v>126918</v>
      </c>
      <c r="N295">
        <v>161390384508</v>
      </c>
      <c r="O295">
        <v>51563401</v>
      </c>
      <c r="P295">
        <v>65073012062000</v>
      </c>
    </row>
    <row r="296" spans="1:16">
      <c r="A296" t="s">
        <v>25</v>
      </c>
      <c r="B296">
        <v>20260123</v>
      </c>
      <c r="C296">
        <v>12450</v>
      </c>
      <c r="D296" t="s">
        <v>26</v>
      </c>
      <c r="E296" t="s">
        <v>25</v>
      </c>
      <c r="F296" t="s">
        <v>17</v>
      </c>
      <c r="G296">
        <v>1255000</v>
      </c>
      <c r="H296">
        <v>-34000</v>
      </c>
      <c r="I296">
        <v>-2.64</v>
      </c>
      <c r="J296">
        <v>1281000</v>
      </c>
      <c r="K296">
        <v>1289000</v>
      </c>
      <c r="L296">
        <v>1234000</v>
      </c>
      <c r="M296">
        <v>260134</v>
      </c>
      <c r="N296">
        <v>326708122497</v>
      </c>
      <c r="O296">
        <v>51563401</v>
      </c>
      <c r="P296">
        <v>64712068255000</v>
      </c>
    </row>
    <row r="297" spans="1:16">
      <c r="A297" t="s">
        <v>25</v>
      </c>
      <c r="B297">
        <v>20260122</v>
      </c>
      <c r="C297">
        <v>12450</v>
      </c>
      <c r="D297" t="s">
        <v>26</v>
      </c>
      <c r="E297" t="s">
        <v>25</v>
      </c>
      <c r="F297" t="s">
        <v>17</v>
      </c>
      <c r="G297">
        <v>1289000</v>
      </c>
      <c r="H297">
        <v>-26000</v>
      </c>
      <c r="I297">
        <v>-1.98</v>
      </c>
      <c r="J297">
        <v>1292000</v>
      </c>
      <c r="K297">
        <v>1313000</v>
      </c>
      <c r="L297">
        <v>1270000</v>
      </c>
      <c r="M297">
        <v>205157</v>
      </c>
      <c r="N297">
        <v>265237033500</v>
      </c>
      <c r="O297">
        <v>51563401</v>
      </c>
      <c r="P297">
        <v>66465223889000</v>
      </c>
    </row>
    <row r="298" spans="1:16">
      <c r="A298" t="s">
        <v>25</v>
      </c>
      <c r="B298">
        <v>20260121</v>
      </c>
      <c r="C298">
        <v>12450</v>
      </c>
      <c r="D298" t="s">
        <v>26</v>
      </c>
      <c r="E298" t="s">
        <v>25</v>
      </c>
      <c r="F298" t="s">
        <v>17</v>
      </c>
      <c r="G298">
        <v>1315000</v>
      </c>
      <c r="H298">
        <v>6000</v>
      </c>
      <c r="I298">
        <v>0.46</v>
      </c>
      <c r="J298">
        <v>1312000</v>
      </c>
      <c r="K298">
        <v>1328000</v>
      </c>
      <c r="L298">
        <v>1281000</v>
      </c>
      <c r="M298">
        <v>264111</v>
      </c>
      <c r="N298">
        <v>343746904500</v>
      </c>
      <c r="O298">
        <v>51563401</v>
      </c>
      <c r="P298">
        <v>67805872315000</v>
      </c>
    </row>
    <row r="299" spans="1:16">
      <c r="A299" t="s">
        <v>25</v>
      </c>
      <c r="B299">
        <v>20260120</v>
      </c>
      <c r="C299">
        <v>12450</v>
      </c>
      <c r="D299" t="s">
        <v>26</v>
      </c>
      <c r="E299" t="s">
        <v>25</v>
      </c>
      <c r="F299" t="s">
        <v>17</v>
      </c>
      <c r="G299">
        <v>1309000</v>
      </c>
      <c r="H299">
        <v>-21000</v>
      </c>
      <c r="I299">
        <v>-1.58</v>
      </c>
      <c r="J299">
        <v>1345000</v>
      </c>
      <c r="K299">
        <v>1398000</v>
      </c>
      <c r="L299">
        <v>1294000</v>
      </c>
      <c r="M299">
        <v>222510</v>
      </c>
      <c r="N299">
        <v>296278170500</v>
      </c>
      <c r="O299">
        <v>51563401</v>
      </c>
      <c r="P299">
        <v>67496491909000</v>
      </c>
    </row>
    <row r="300" spans="1:16">
      <c r="A300" t="s">
        <v>25</v>
      </c>
      <c r="B300">
        <v>20260119</v>
      </c>
      <c r="C300">
        <v>12450</v>
      </c>
      <c r="D300" t="s">
        <v>26</v>
      </c>
      <c r="E300" t="s">
        <v>25</v>
      </c>
      <c r="F300" t="s">
        <v>17</v>
      </c>
      <c r="G300">
        <v>1330000</v>
      </c>
      <c r="H300">
        <v>31000</v>
      </c>
      <c r="I300">
        <v>2.39</v>
      </c>
      <c r="J300">
        <v>1316000</v>
      </c>
      <c r="K300">
        <v>1339000</v>
      </c>
      <c r="L300">
        <v>1292000</v>
      </c>
      <c r="M300">
        <v>194888</v>
      </c>
      <c r="N300">
        <v>257938125500</v>
      </c>
      <c r="O300">
        <v>51563401</v>
      </c>
      <c r="P300">
        <v>68579323330000</v>
      </c>
    </row>
    <row r="301" spans="1:16">
      <c r="A301" t="s">
        <v>25</v>
      </c>
      <c r="B301">
        <v>20260116</v>
      </c>
      <c r="C301">
        <v>12450</v>
      </c>
      <c r="D301" t="s">
        <v>26</v>
      </c>
      <c r="E301" t="s">
        <v>25</v>
      </c>
      <c r="F301" t="s">
        <v>17</v>
      </c>
      <c r="G301">
        <v>1299000</v>
      </c>
      <c r="H301">
        <v>5000</v>
      </c>
      <c r="I301">
        <v>0.39</v>
      </c>
      <c r="J301">
        <v>1308000</v>
      </c>
      <c r="K301">
        <v>1319000</v>
      </c>
      <c r="L301">
        <v>1279000</v>
      </c>
      <c r="M301">
        <v>291401</v>
      </c>
      <c r="N301">
        <v>378219434928</v>
      </c>
      <c r="O301">
        <v>51563401</v>
      </c>
      <c r="P301">
        <v>66980857899000</v>
      </c>
    </row>
    <row r="302" spans="1:16">
      <c r="A302" t="s">
        <v>25</v>
      </c>
      <c r="B302">
        <v>20260115</v>
      </c>
      <c r="C302">
        <v>12450</v>
      </c>
      <c r="D302" t="s">
        <v>26</v>
      </c>
      <c r="E302" t="s">
        <v>25</v>
      </c>
      <c r="F302" t="s">
        <v>17</v>
      </c>
      <c r="G302">
        <v>1294000</v>
      </c>
      <c r="H302">
        <v>25000</v>
      </c>
      <c r="I302">
        <v>1.97</v>
      </c>
      <c r="J302">
        <v>1312000</v>
      </c>
      <c r="K302">
        <v>1329000</v>
      </c>
      <c r="L302">
        <v>1269000</v>
      </c>
      <c r="M302">
        <v>220568</v>
      </c>
      <c r="N302">
        <v>284630704363</v>
      </c>
      <c r="O302">
        <v>51563401</v>
      </c>
      <c r="P302">
        <v>66723040894000</v>
      </c>
    </row>
    <row r="303" spans="1:16">
      <c r="A303" t="s">
        <v>25</v>
      </c>
      <c r="B303">
        <v>20260114</v>
      </c>
      <c r="C303">
        <v>12450</v>
      </c>
      <c r="D303" t="s">
        <v>26</v>
      </c>
      <c r="E303" t="s">
        <v>25</v>
      </c>
      <c r="F303" t="s">
        <v>17</v>
      </c>
      <c r="G303">
        <v>1269000</v>
      </c>
      <c r="H303">
        <v>-13000</v>
      </c>
      <c r="I303">
        <v>-1.01</v>
      </c>
      <c r="J303">
        <v>1279000</v>
      </c>
      <c r="K303">
        <v>1281000</v>
      </c>
      <c r="L303">
        <v>1249000</v>
      </c>
      <c r="M303">
        <v>182382</v>
      </c>
      <c r="N303">
        <v>230907198640</v>
      </c>
      <c r="O303">
        <v>51563401</v>
      </c>
      <c r="P303">
        <v>65433955869000</v>
      </c>
    </row>
    <row r="304" spans="1:16">
      <c r="A304" t="s">
        <v>25</v>
      </c>
      <c r="B304">
        <v>20260113</v>
      </c>
      <c r="C304">
        <v>12450</v>
      </c>
      <c r="D304" t="s">
        <v>26</v>
      </c>
      <c r="E304" t="s">
        <v>25</v>
      </c>
      <c r="F304" t="s">
        <v>17</v>
      </c>
      <c r="G304">
        <v>1282000</v>
      </c>
      <c r="H304">
        <v>70000</v>
      </c>
      <c r="I304">
        <v>5.78</v>
      </c>
      <c r="J304">
        <v>1229000</v>
      </c>
      <c r="K304">
        <v>1296000</v>
      </c>
      <c r="L304">
        <v>1212000</v>
      </c>
      <c r="M304">
        <v>322326</v>
      </c>
      <c r="N304">
        <v>409626024735</v>
      </c>
      <c r="O304">
        <v>51563401</v>
      </c>
      <c r="P304">
        <v>66104280082000</v>
      </c>
    </row>
    <row r="305" spans="1:16">
      <c r="A305" t="s">
        <v>25</v>
      </c>
      <c r="B305">
        <v>20260112</v>
      </c>
      <c r="C305">
        <v>12450</v>
      </c>
      <c r="D305" t="s">
        <v>26</v>
      </c>
      <c r="E305" t="s">
        <v>25</v>
      </c>
      <c r="F305" t="s">
        <v>17</v>
      </c>
      <c r="G305">
        <v>1212000</v>
      </c>
      <c r="H305">
        <v>-2000</v>
      </c>
      <c r="I305">
        <v>-0.16</v>
      </c>
      <c r="J305">
        <v>1256000</v>
      </c>
      <c r="K305">
        <v>1257000</v>
      </c>
      <c r="L305">
        <v>1186000</v>
      </c>
      <c r="M305">
        <v>282589</v>
      </c>
      <c r="N305">
        <v>342525799300</v>
      </c>
      <c r="O305">
        <v>51563401</v>
      </c>
      <c r="P305">
        <v>62494842012000</v>
      </c>
    </row>
    <row r="306" spans="1:16">
      <c r="A306" t="s">
        <v>25</v>
      </c>
      <c r="B306">
        <v>20260109</v>
      </c>
      <c r="C306">
        <v>12450</v>
      </c>
      <c r="D306" t="s">
        <v>26</v>
      </c>
      <c r="E306" t="s">
        <v>25</v>
      </c>
      <c r="F306" t="s">
        <v>17</v>
      </c>
      <c r="G306">
        <v>1214000</v>
      </c>
      <c r="H306">
        <v>124000</v>
      </c>
      <c r="I306">
        <v>11.38</v>
      </c>
      <c r="J306">
        <v>1101000</v>
      </c>
      <c r="K306">
        <v>1219000</v>
      </c>
      <c r="L306">
        <v>1099000</v>
      </c>
      <c r="M306">
        <v>575132</v>
      </c>
      <c r="N306">
        <v>678226931608</v>
      </c>
      <c r="O306">
        <v>51563401</v>
      </c>
      <c r="P306">
        <v>62597968814000</v>
      </c>
    </row>
    <row r="307" spans="1:16">
      <c r="A307" t="s">
        <v>25</v>
      </c>
      <c r="B307">
        <v>20260108</v>
      </c>
      <c r="C307">
        <v>12450</v>
      </c>
      <c r="D307" t="s">
        <v>26</v>
      </c>
      <c r="E307" t="s">
        <v>25</v>
      </c>
      <c r="F307" t="s">
        <v>17</v>
      </c>
      <c r="G307">
        <v>1090000</v>
      </c>
      <c r="H307">
        <v>80000</v>
      </c>
      <c r="I307">
        <v>7.92</v>
      </c>
      <c r="J307">
        <v>1051000</v>
      </c>
      <c r="K307">
        <v>1114000</v>
      </c>
      <c r="L307">
        <v>1025000</v>
      </c>
      <c r="M307">
        <v>508382</v>
      </c>
      <c r="N307">
        <v>553240769500</v>
      </c>
      <c r="O307">
        <v>51563401</v>
      </c>
      <c r="P307">
        <v>56204107090000</v>
      </c>
    </row>
    <row r="308" spans="1:16">
      <c r="A308" t="s">
        <v>25</v>
      </c>
      <c r="B308">
        <v>20260107</v>
      </c>
      <c r="C308">
        <v>12450</v>
      </c>
      <c r="D308" t="s">
        <v>26</v>
      </c>
      <c r="E308" t="s">
        <v>25</v>
      </c>
      <c r="F308" t="s">
        <v>17</v>
      </c>
      <c r="G308">
        <v>1010000</v>
      </c>
      <c r="H308">
        <v>-12000</v>
      </c>
      <c r="I308">
        <v>-1.17</v>
      </c>
      <c r="J308">
        <v>1033000</v>
      </c>
      <c r="K308">
        <v>1049000</v>
      </c>
      <c r="L308">
        <v>988000</v>
      </c>
      <c r="M308">
        <v>269662</v>
      </c>
      <c r="N308">
        <v>272432208000</v>
      </c>
      <c r="O308">
        <v>51563401</v>
      </c>
      <c r="P308">
        <v>52079035010000</v>
      </c>
    </row>
    <row r="309" spans="1:16">
      <c r="A309" t="s">
        <v>25</v>
      </c>
      <c r="B309">
        <v>20260106</v>
      </c>
      <c r="C309">
        <v>12450</v>
      </c>
      <c r="D309" t="s">
        <v>26</v>
      </c>
      <c r="E309" t="s">
        <v>25</v>
      </c>
      <c r="F309" t="s">
        <v>17</v>
      </c>
      <c r="G309">
        <v>1022000</v>
      </c>
      <c r="H309">
        <v>10000</v>
      </c>
      <c r="I309">
        <v>0.99</v>
      </c>
      <c r="J309">
        <v>997000</v>
      </c>
      <c r="K309">
        <v>1030000</v>
      </c>
      <c r="L309">
        <v>981000</v>
      </c>
      <c r="M309">
        <v>279979</v>
      </c>
      <c r="N309">
        <v>283588917000</v>
      </c>
      <c r="O309">
        <v>51563401</v>
      </c>
      <c r="P309">
        <v>52697795822000</v>
      </c>
    </row>
    <row r="310" spans="1:16">
      <c r="A310" t="s">
        <v>25</v>
      </c>
      <c r="B310">
        <v>20260105</v>
      </c>
      <c r="C310">
        <v>12450</v>
      </c>
      <c r="D310" t="s">
        <v>26</v>
      </c>
      <c r="E310" t="s">
        <v>25</v>
      </c>
      <c r="F310" t="s">
        <v>17</v>
      </c>
      <c r="G310">
        <v>1012000</v>
      </c>
      <c r="H310">
        <v>66000</v>
      </c>
      <c r="I310">
        <v>6.98</v>
      </c>
      <c r="J310">
        <v>969000</v>
      </c>
      <c r="K310">
        <v>1015000</v>
      </c>
      <c r="L310">
        <v>968000</v>
      </c>
      <c r="M310">
        <v>327727</v>
      </c>
      <c r="N310">
        <v>325547099150</v>
      </c>
      <c r="O310">
        <v>51563401</v>
      </c>
      <c r="P310">
        <v>52182161812000</v>
      </c>
    </row>
    <row r="311" spans="1:16">
      <c r="A311" t="s">
        <v>25</v>
      </c>
      <c r="B311">
        <v>20260102</v>
      </c>
      <c r="C311">
        <v>12450</v>
      </c>
      <c r="D311" t="s">
        <v>26</v>
      </c>
      <c r="E311" t="s">
        <v>25</v>
      </c>
      <c r="F311" t="s">
        <v>17</v>
      </c>
      <c r="G311">
        <v>946000</v>
      </c>
      <c r="H311">
        <v>5000</v>
      </c>
      <c r="I311">
        <v>0.53</v>
      </c>
      <c r="J311">
        <v>953000</v>
      </c>
      <c r="K311">
        <v>981000</v>
      </c>
      <c r="L311">
        <v>938000</v>
      </c>
      <c r="M311">
        <v>144603</v>
      </c>
      <c r="N311">
        <v>137942431000</v>
      </c>
      <c r="O311">
        <v>51563401</v>
      </c>
      <c r="P311">
        <v>48778977346000</v>
      </c>
    </row>
    <row r="312" spans="1:16">
      <c r="A312" t="s">
        <v>27</v>
      </c>
      <c r="B312">
        <v>20260403</v>
      </c>
      <c r="C312">
        <v>207940</v>
      </c>
      <c r="D312" t="s">
        <v>28</v>
      </c>
      <c r="E312" t="s">
        <v>27</v>
      </c>
      <c r="F312" t="s">
        <v>17</v>
      </c>
      <c r="G312">
        <v>1554000</v>
      </c>
      <c r="H312">
        <v>-31000</v>
      </c>
      <c r="I312">
        <v>-1.96</v>
      </c>
      <c r="J312">
        <v>1631000</v>
      </c>
      <c r="K312">
        <v>1631000</v>
      </c>
      <c r="L312">
        <v>1551000</v>
      </c>
      <c r="M312">
        <v>27956</v>
      </c>
      <c r="N312">
        <v>43864780500</v>
      </c>
      <c r="O312">
        <v>46290951</v>
      </c>
      <c r="P312">
        <v>71936137854000</v>
      </c>
    </row>
    <row r="313" spans="1:16">
      <c r="A313" t="s">
        <v>27</v>
      </c>
      <c r="B313">
        <v>20260402</v>
      </c>
      <c r="C313">
        <v>207940</v>
      </c>
      <c r="D313" t="s">
        <v>28</v>
      </c>
      <c r="E313" t="s">
        <v>27</v>
      </c>
      <c r="F313" t="s">
        <v>17</v>
      </c>
      <c r="G313">
        <v>1585000</v>
      </c>
      <c r="H313">
        <v>13000</v>
      </c>
      <c r="I313">
        <v>0.83</v>
      </c>
      <c r="J313">
        <v>1586000</v>
      </c>
      <c r="K313">
        <v>1657000</v>
      </c>
      <c r="L313">
        <v>1564000</v>
      </c>
      <c r="M313">
        <v>77387</v>
      </c>
      <c r="N313">
        <v>124531757000</v>
      </c>
      <c r="O313">
        <v>46290951</v>
      </c>
      <c r="P313">
        <v>73371157335000</v>
      </c>
    </row>
    <row r="314" spans="1:16">
      <c r="A314" t="s">
        <v>27</v>
      </c>
      <c r="B314">
        <v>20260401</v>
      </c>
      <c r="C314">
        <v>207940</v>
      </c>
      <c r="D314" t="s">
        <v>28</v>
      </c>
      <c r="E314" t="s">
        <v>27</v>
      </c>
      <c r="F314" t="s">
        <v>17</v>
      </c>
      <c r="G314">
        <v>1572000</v>
      </c>
      <c r="H314">
        <v>68000</v>
      </c>
      <c r="I314">
        <v>4.5199999999999996</v>
      </c>
      <c r="J314">
        <v>1570000</v>
      </c>
      <c r="K314">
        <v>1587000</v>
      </c>
      <c r="L314">
        <v>1500000</v>
      </c>
      <c r="M314">
        <v>51951</v>
      </c>
      <c r="N314">
        <v>80624483000</v>
      </c>
      <c r="O314">
        <v>46290951</v>
      </c>
      <c r="P314">
        <v>72769374972000</v>
      </c>
    </row>
    <row r="315" spans="1:16">
      <c r="A315" t="s">
        <v>27</v>
      </c>
      <c r="B315">
        <v>20260331</v>
      </c>
      <c r="C315">
        <v>207940</v>
      </c>
      <c r="D315" t="s">
        <v>28</v>
      </c>
      <c r="E315" t="s">
        <v>27</v>
      </c>
      <c r="F315" t="s">
        <v>17</v>
      </c>
      <c r="G315">
        <v>1504000</v>
      </c>
      <c r="H315">
        <v>-26000</v>
      </c>
      <c r="I315">
        <v>-1.7</v>
      </c>
      <c r="J315">
        <v>1515000</v>
      </c>
      <c r="K315">
        <v>1588000</v>
      </c>
      <c r="L315">
        <v>1480000</v>
      </c>
      <c r="M315">
        <v>82617</v>
      </c>
      <c r="N315">
        <v>126228891000</v>
      </c>
      <c r="O315">
        <v>46290951</v>
      </c>
      <c r="P315">
        <v>69621590304000</v>
      </c>
    </row>
    <row r="316" spans="1:16">
      <c r="A316" t="s">
        <v>27</v>
      </c>
      <c r="B316">
        <v>20260330</v>
      </c>
      <c r="C316">
        <v>207940</v>
      </c>
      <c r="D316" t="s">
        <v>28</v>
      </c>
      <c r="E316" t="s">
        <v>27</v>
      </c>
      <c r="F316" t="s">
        <v>17</v>
      </c>
      <c r="G316">
        <v>1530000</v>
      </c>
      <c r="H316">
        <v>-76000</v>
      </c>
      <c r="I316">
        <v>-4.7300000000000004</v>
      </c>
      <c r="J316">
        <v>1537000</v>
      </c>
      <c r="K316">
        <v>1550000</v>
      </c>
      <c r="L316">
        <v>1522000</v>
      </c>
      <c r="M316">
        <v>34318</v>
      </c>
      <c r="N316">
        <v>52933265500</v>
      </c>
      <c r="O316">
        <v>46290951</v>
      </c>
      <c r="P316">
        <v>70825155030000</v>
      </c>
    </row>
    <row r="317" spans="1:16">
      <c r="A317" t="s">
        <v>27</v>
      </c>
      <c r="B317">
        <v>20260327</v>
      </c>
      <c r="C317">
        <v>207940</v>
      </c>
      <c r="D317" t="s">
        <v>28</v>
      </c>
      <c r="E317" t="s">
        <v>27</v>
      </c>
      <c r="F317" t="s">
        <v>17</v>
      </c>
      <c r="G317">
        <v>1606000</v>
      </c>
      <c r="H317">
        <v>21000</v>
      </c>
      <c r="I317">
        <v>1.32</v>
      </c>
      <c r="J317">
        <v>1551000</v>
      </c>
      <c r="K317">
        <v>1608000</v>
      </c>
      <c r="L317">
        <v>1537000</v>
      </c>
      <c r="M317">
        <v>27116</v>
      </c>
      <c r="N317">
        <v>42876318000</v>
      </c>
      <c r="O317">
        <v>46290951</v>
      </c>
      <c r="P317">
        <v>74343267306000</v>
      </c>
    </row>
    <row r="318" spans="1:16">
      <c r="A318" t="s">
        <v>27</v>
      </c>
      <c r="B318">
        <v>20260326</v>
      </c>
      <c r="C318">
        <v>207940</v>
      </c>
      <c r="D318" t="s">
        <v>28</v>
      </c>
      <c r="E318" t="s">
        <v>27</v>
      </c>
      <c r="F318" t="s">
        <v>17</v>
      </c>
      <c r="G318">
        <v>1585000</v>
      </c>
      <c r="H318">
        <v>0</v>
      </c>
      <c r="I318">
        <v>0</v>
      </c>
      <c r="J318">
        <v>1608000</v>
      </c>
      <c r="K318">
        <v>1619000</v>
      </c>
      <c r="L318">
        <v>1581000</v>
      </c>
      <c r="M318">
        <v>30276</v>
      </c>
      <c r="N318">
        <v>48257209000</v>
      </c>
      <c r="O318">
        <v>46290951</v>
      </c>
      <c r="P318">
        <v>73371157335000</v>
      </c>
    </row>
    <row r="319" spans="1:16">
      <c r="A319" t="s">
        <v>27</v>
      </c>
      <c r="B319">
        <v>20260325</v>
      </c>
      <c r="C319">
        <v>207940</v>
      </c>
      <c r="D319" t="s">
        <v>28</v>
      </c>
      <c r="E319" t="s">
        <v>27</v>
      </c>
      <c r="F319" t="s">
        <v>17</v>
      </c>
      <c r="G319">
        <v>1585000</v>
      </c>
      <c r="H319">
        <v>38000</v>
      </c>
      <c r="I319">
        <v>2.46</v>
      </c>
      <c r="J319">
        <v>1578000</v>
      </c>
      <c r="K319">
        <v>1607000</v>
      </c>
      <c r="L319">
        <v>1540000</v>
      </c>
      <c r="M319">
        <v>35752</v>
      </c>
      <c r="N319">
        <v>56729508000</v>
      </c>
      <c r="O319">
        <v>46290951</v>
      </c>
      <c r="P319">
        <v>73371157335000</v>
      </c>
    </row>
    <row r="320" spans="1:16">
      <c r="A320" t="s">
        <v>27</v>
      </c>
      <c r="B320">
        <v>20260324</v>
      </c>
      <c r="C320">
        <v>207940</v>
      </c>
      <c r="D320" t="s">
        <v>28</v>
      </c>
      <c r="E320" t="s">
        <v>27</v>
      </c>
      <c r="F320" t="s">
        <v>17</v>
      </c>
      <c r="G320">
        <v>1547000</v>
      </c>
      <c r="H320">
        <v>24000</v>
      </c>
      <c r="I320">
        <v>1.58</v>
      </c>
      <c r="J320">
        <v>1569000</v>
      </c>
      <c r="K320">
        <v>1570000</v>
      </c>
      <c r="L320">
        <v>1519000</v>
      </c>
      <c r="M320">
        <v>27709</v>
      </c>
      <c r="N320">
        <v>42700978000</v>
      </c>
      <c r="O320">
        <v>46290951</v>
      </c>
      <c r="P320">
        <v>71612101197000</v>
      </c>
    </row>
    <row r="321" spans="1:16">
      <c r="A321" t="s">
        <v>27</v>
      </c>
      <c r="B321">
        <v>20260323</v>
      </c>
      <c r="C321">
        <v>207940</v>
      </c>
      <c r="D321" t="s">
        <v>28</v>
      </c>
      <c r="E321" t="s">
        <v>27</v>
      </c>
      <c r="F321" t="s">
        <v>17</v>
      </c>
      <c r="G321">
        <v>1523000</v>
      </c>
      <c r="H321">
        <v>-78000</v>
      </c>
      <c r="I321">
        <v>-4.87</v>
      </c>
      <c r="J321">
        <v>1556000</v>
      </c>
      <c r="K321">
        <v>1562000</v>
      </c>
      <c r="L321">
        <v>1523000</v>
      </c>
      <c r="M321">
        <v>32660</v>
      </c>
      <c r="N321">
        <v>50105675500</v>
      </c>
      <c r="O321">
        <v>46290951</v>
      </c>
      <c r="P321">
        <v>70501118373000</v>
      </c>
    </row>
    <row r="322" spans="1:16">
      <c r="A322" t="s">
        <v>27</v>
      </c>
      <c r="B322">
        <v>20260320</v>
      </c>
      <c r="C322">
        <v>207940</v>
      </c>
      <c r="D322" t="s">
        <v>28</v>
      </c>
      <c r="E322" t="s">
        <v>27</v>
      </c>
      <c r="F322" t="s">
        <v>17</v>
      </c>
      <c r="G322">
        <v>1601000</v>
      </c>
      <c r="H322">
        <v>16000</v>
      </c>
      <c r="I322">
        <v>1.01</v>
      </c>
      <c r="J322">
        <v>1599000</v>
      </c>
      <c r="K322">
        <v>1631000</v>
      </c>
      <c r="L322">
        <v>1595000</v>
      </c>
      <c r="M322">
        <v>31941</v>
      </c>
      <c r="N322">
        <v>51307692000</v>
      </c>
      <c r="O322">
        <v>46290951</v>
      </c>
      <c r="P322">
        <v>74111812551000</v>
      </c>
    </row>
    <row r="323" spans="1:16">
      <c r="A323" t="s">
        <v>27</v>
      </c>
      <c r="B323">
        <v>20260319</v>
      </c>
      <c r="C323">
        <v>207940</v>
      </c>
      <c r="D323" t="s">
        <v>28</v>
      </c>
      <c r="E323" t="s">
        <v>27</v>
      </c>
      <c r="F323" t="s">
        <v>17</v>
      </c>
      <c r="G323">
        <v>1585000</v>
      </c>
      <c r="H323">
        <v>-41000</v>
      </c>
      <c r="I323">
        <v>-2.52</v>
      </c>
      <c r="J323">
        <v>1597000</v>
      </c>
      <c r="K323">
        <v>1605000</v>
      </c>
      <c r="L323">
        <v>1585000</v>
      </c>
      <c r="M323">
        <v>30824</v>
      </c>
      <c r="N323">
        <v>49112364500</v>
      </c>
      <c r="O323">
        <v>46290951</v>
      </c>
      <c r="P323">
        <v>73371157335000</v>
      </c>
    </row>
    <row r="324" spans="1:16">
      <c r="A324" t="s">
        <v>27</v>
      </c>
      <c r="B324">
        <v>20260318</v>
      </c>
      <c r="C324">
        <v>207940</v>
      </c>
      <c r="D324" t="s">
        <v>28</v>
      </c>
      <c r="E324" t="s">
        <v>27</v>
      </c>
      <c r="F324" t="s">
        <v>17</v>
      </c>
      <c r="G324">
        <v>1626000</v>
      </c>
      <c r="H324">
        <v>39000</v>
      </c>
      <c r="I324">
        <v>2.46</v>
      </c>
      <c r="J324">
        <v>1600000</v>
      </c>
      <c r="K324">
        <v>1650000</v>
      </c>
      <c r="L324">
        <v>1598000</v>
      </c>
      <c r="M324">
        <v>50561</v>
      </c>
      <c r="N324">
        <v>82520036000</v>
      </c>
      <c r="O324">
        <v>46290951</v>
      </c>
      <c r="P324">
        <v>75269086326000</v>
      </c>
    </row>
    <row r="325" spans="1:16">
      <c r="A325" t="s">
        <v>27</v>
      </c>
      <c r="B325">
        <v>20260317</v>
      </c>
      <c r="C325">
        <v>207940</v>
      </c>
      <c r="D325" t="s">
        <v>28</v>
      </c>
      <c r="E325" t="s">
        <v>27</v>
      </c>
      <c r="F325" t="s">
        <v>17</v>
      </c>
      <c r="G325">
        <v>1587000</v>
      </c>
      <c r="H325">
        <v>19000</v>
      </c>
      <c r="I325">
        <v>1.21</v>
      </c>
      <c r="J325">
        <v>1589000</v>
      </c>
      <c r="K325">
        <v>1608000</v>
      </c>
      <c r="L325">
        <v>1582000</v>
      </c>
      <c r="M325">
        <v>29429</v>
      </c>
      <c r="N325">
        <v>46877969000</v>
      </c>
      <c r="O325">
        <v>46290951</v>
      </c>
      <c r="P325">
        <v>73463739237000</v>
      </c>
    </row>
    <row r="326" spans="1:16">
      <c r="A326" t="s">
        <v>27</v>
      </c>
      <c r="B326">
        <v>20260316</v>
      </c>
      <c r="C326">
        <v>207940</v>
      </c>
      <c r="D326" t="s">
        <v>28</v>
      </c>
      <c r="E326" t="s">
        <v>27</v>
      </c>
      <c r="F326" t="s">
        <v>17</v>
      </c>
      <c r="G326">
        <v>1568000</v>
      </c>
      <c r="H326">
        <v>-24000</v>
      </c>
      <c r="I326">
        <v>-1.51</v>
      </c>
      <c r="J326">
        <v>1590000</v>
      </c>
      <c r="K326">
        <v>1590000</v>
      </c>
      <c r="L326">
        <v>1551000</v>
      </c>
      <c r="M326">
        <v>29984</v>
      </c>
      <c r="N326">
        <v>46991273500</v>
      </c>
      <c r="O326">
        <v>46290951</v>
      </c>
      <c r="P326">
        <v>72584211168000</v>
      </c>
    </row>
    <row r="327" spans="1:16">
      <c r="A327" t="s">
        <v>27</v>
      </c>
      <c r="B327">
        <v>20260313</v>
      </c>
      <c r="C327">
        <v>207940</v>
      </c>
      <c r="D327" t="s">
        <v>28</v>
      </c>
      <c r="E327" t="s">
        <v>27</v>
      </c>
      <c r="F327" t="s">
        <v>17</v>
      </c>
      <c r="G327">
        <v>1592000</v>
      </c>
      <c r="H327">
        <v>-33000</v>
      </c>
      <c r="I327">
        <v>-2.0299999999999998</v>
      </c>
      <c r="J327">
        <v>1589000</v>
      </c>
      <c r="K327">
        <v>1599000</v>
      </c>
      <c r="L327">
        <v>1575000</v>
      </c>
      <c r="M327">
        <v>42424</v>
      </c>
      <c r="N327">
        <v>67588122000</v>
      </c>
      <c r="O327">
        <v>46290951</v>
      </c>
      <c r="P327">
        <v>73695193992000</v>
      </c>
    </row>
    <row r="328" spans="1:16">
      <c r="A328" t="s">
        <v>27</v>
      </c>
      <c r="B328">
        <v>20260312</v>
      </c>
      <c r="C328">
        <v>207940</v>
      </c>
      <c r="D328" t="s">
        <v>28</v>
      </c>
      <c r="E328" t="s">
        <v>27</v>
      </c>
      <c r="F328" t="s">
        <v>17</v>
      </c>
      <c r="G328">
        <v>1625000</v>
      </c>
      <c r="H328">
        <v>-32000</v>
      </c>
      <c r="I328">
        <v>-1.93</v>
      </c>
      <c r="J328">
        <v>1650000</v>
      </c>
      <c r="K328">
        <v>1650000</v>
      </c>
      <c r="L328">
        <v>1610000</v>
      </c>
      <c r="M328">
        <v>63692</v>
      </c>
      <c r="N328">
        <v>103189824500</v>
      </c>
      <c r="O328">
        <v>46290951</v>
      </c>
      <c r="P328">
        <v>75222795375000</v>
      </c>
    </row>
    <row r="329" spans="1:16">
      <c r="A329" t="s">
        <v>27</v>
      </c>
      <c r="B329">
        <v>20260311</v>
      </c>
      <c r="C329">
        <v>207940</v>
      </c>
      <c r="D329" t="s">
        <v>28</v>
      </c>
      <c r="E329" t="s">
        <v>27</v>
      </c>
      <c r="F329" t="s">
        <v>17</v>
      </c>
      <c r="G329">
        <v>1657000</v>
      </c>
      <c r="H329">
        <v>65000</v>
      </c>
      <c r="I329">
        <v>4.08</v>
      </c>
      <c r="J329">
        <v>1630000</v>
      </c>
      <c r="K329">
        <v>1693000</v>
      </c>
      <c r="L329">
        <v>1626000</v>
      </c>
      <c r="M329">
        <v>48088</v>
      </c>
      <c r="N329">
        <v>79992053000</v>
      </c>
      <c r="O329">
        <v>46290951</v>
      </c>
      <c r="P329">
        <v>76704105807000</v>
      </c>
    </row>
    <row r="330" spans="1:16">
      <c r="A330" t="s">
        <v>27</v>
      </c>
      <c r="B330">
        <v>20260310</v>
      </c>
      <c r="C330">
        <v>207940</v>
      </c>
      <c r="D330" t="s">
        <v>28</v>
      </c>
      <c r="E330" t="s">
        <v>27</v>
      </c>
      <c r="F330" t="s">
        <v>17</v>
      </c>
      <c r="G330">
        <v>1592000</v>
      </c>
      <c r="H330">
        <v>13000</v>
      </c>
      <c r="I330">
        <v>0.82</v>
      </c>
      <c r="J330">
        <v>1638000</v>
      </c>
      <c r="K330">
        <v>1640000</v>
      </c>
      <c r="L330">
        <v>1579000</v>
      </c>
      <c r="M330">
        <v>48257</v>
      </c>
      <c r="N330">
        <v>77074362500</v>
      </c>
      <c r="O330">
        <v>46290951</v>
      </c>
      <c r="P330">
        <v>73695193992000</v>
      </c>
    </row>
    <row r="331" spans="1:16">
      <c r="A331" t="s">
        <v>27</v>
      </c>
      <c r="B331">
        <v>20260309</v>
      </c>
      <c r="C331">
        <v>207940</v>
      </c>
      <c r="D331" t="s">
        <v>28</v>
      </c>
      <c r="E331" t="s">
        <v>27</v>
      </c>
      <c r="F331" t="s">
        <v>17</v>
      </c>
      <c r="G331">
        <v>1579000</v>
      </c>
      <c r="H331">
        <v>-65000</v>
      </c>
      <c r="I331">
        <v>-3.95</v>
      </c>
      <c r="J331">
        <v>1558000</v>
      </c>
      <c r="K331">
        <v>1602000</v>
      </c>
      <c r="L331">
        <v>1542000</v>
      </c>
      <c r="M331">
        <v>56445</v>
      </c>
      <c r="N331">
        <v>88200926500</v>
      </c>
      <c r="O331">
        <v>46290951</v>
      </c>
      <c r="P331">
        <v>73093411629000</v>
      </c>
    </row>
    <row r="332" spans="1:16">
      <c r="A332" t="s">
        <v>27</v>
      </c>
      <c r="B332">
        <v>20260306</v>
      </c>
      <c r="C332">
        <v>207940</v>
      </c>
      <c r="D332" t="s">
        <v>28</v>
      </c>
      <c r="E332" t="s">
        <v>27</v>
      </c>
      <c r="F332" t="s">
        <v>17</v>
      </c>
      <c r="G332">
        <v>1644000</v>
      </c>
      <c r="H332">
        <v>-3000</v>
      </c>
      <c r="I332">
        <v>-0.18</v>
      </c>
      <c r="J332">
        <v>1614000</v>
      </c>
      <c r="K332">
        <v>1668000</v>
      </c>
      <c r="L332">
        <v>1599000</v>
      </c>
      <c r="M332">
        <v>57347</v>
      </c>
      <c r="N332">
        <v>93819911500</v>
      </c>
      <c r="O332">
        <v>46290951</v>
      </c>
      <c r="P332">
        <v>76102323444000</v>
      </c>
    </row>
    <row r="333" spans="1:16">
      <c r="A333" t="s">
        <v>27</v>
      </c>
      <c r="B333">
        <v>20260305</v>
      </c>
      <c r="C333">
        <v>207940</v>
      </c>
      <c r="D333" t="s">
        <v>28</v>
      </c>
      <c r="E333" t="s">
        <v>27</v>
      </c>
      <c r="F333" t="s">
        <v>17</v>
      </c>
      <c r="G333">
        <v>1647000</v>
      </c>
      <c r="H333">
        <v>131000</v>
      </c>
      <c r="I333">
        <v>8.64</v>
      </c>
      <c r="J333">
        <v>1626000</v>
      </c>
      <c r="K333">
        <v>1669000</v>
      </c>
      <c r="L333">
        <v>1588000</v>
      </c>
      <c r="M333">
        <v>70178</v>
      </c>
      <c r="N333">
        <v>114000381500</v>
      </c>
      <c r="O333">
        <v>46290951</v>
      </c>
      <c r="P333">
        <v>76241196297000</v>
      </c>
    </row>
    <row r="334" spans="1:16">
      <c r="A334" t="s">
        <v>27</v>
      </c>
      <c r="B334">
        <v>20260304</v>
      </c>
      <c r="C334">
        <v>207940</v>
      </c>
      <c r="D334" t="s">
        <v>28</v>
      </c>
      <c r="E334" t="s">
        <v>27</v>
      </c>
      <c r="F334" t="s">
        <v>17</v>
      </c>
      <c r="G334">
        <v>1516000</v>
      </c>
      <c r="H334">
        <v>-165000</v>
      </c>
      <c r="I334">
        <v>-9.82</v>
      </c>
      <c r="J334">
        <v>1639000</v>
      </c>
      <c r="K334">
        <v>1650000</v>
      </c>
      <c r="L334">
        <v>1501000</v>
      </c>
      <c r="M334">
        <v>83414</v>
      </c>
      <c r="N334">
        <v>130242867500</v>
      </c>
      <c r="O334">
        <v>46290951</v>
      </c>
      <c r="P334">
        <v>70177081716000</v>
      </c>
    </row>
    <row r="335" spans="1:16">
      <c r="A335" t="s">
        <v>27</v>
      </c>
      <c r="B335">
        <v>20260303</v>
      </c>
      <c r="C335">
        <v>207940</v>
      </c>
      <c r="D335" t="s">
        <v>28</v>
      </c>
      <c r="E335" t="s">
        <v>27</v>
      </c>
      <c r="F335" t="s">
        <v>17</v>
      </c>
      <c r="G335">
        <v>1681000</v>
      </c>
      <c r="H335">
        <v>-97000</v>
      </c>
      <c r="I335">
        <v>-5.46</v>
      </c>
      <c r="J335">
        <v>1775000</v>
      </c>
      <c r="K335">
        <v>1775000</v>
      </c>
      <c r="L335">
        <v>1679000</v>
      </c>
      <c r="M335">
        <v>81261</v>
      </c>
      <c r="N335">
        <v>138713265000</v>
      </c>
      <c r="O335">
        <v>46290951</v>
      </c>
      <c r="P335">
        <v>77815088631000</v>
      </c>
    </row>
    <row r="336" spans="1:16">
      <c r="A336" t="s">
        <v>27</v>
      </c>
      <c r="B336">
        <v>20260227</v>
      </c>
      <c r="C336">
        <v>207940</v>
      </c>
      <c r="D336" t="s">
        <v>28</v>
      </c>
      <c r="E336" t="s">
        <v>27</v>
      </c>
      <c r="F336" t="s">
        <v>17</v>
      </c>
      <c r="G336">
        <v>1778000</v>
      </c>
      <c r="H336">
        <v>12000</v>
      </c>
      <c r="I336">
        <v>0.68</v>
      </c>
      <c r="J336">
        <v>1760000</v>
      </c>
      <c r="K336">
        <v>1778000</v>
      </c>
      <c r="L336">
        <v>1741000</v>
      </c>
      <c r="M336">
        <v>97725</v>
      </c>
      <c r="N336">
        <v>172883240500</v>
      </c>
      <c r="O336">
        <v>46290951</v>
      </c>
      <c r="P336">
        <v>82305310878000</v>
      </c>
    </row>
    <row r="337" spans="1:16">
      <c r="A337" t="s">
        <v>27</v>
      </c>
      <c r="B337">
        <v>20260226</v>
      </c>
      <c r="C337">
        <v>207940</v>
      </c>
      <c r="D337" t="s">
        <v>28</v>
      </c>
      <c r="E337" t="s">
        <v>27</v>
      </c>
      <c r="F337" t="s">
        <v>17</v>
      </c>
      <c r="G337">
        <v>1766000</v>
      </c>
      <c r="H337">
        <v>38000</v>
      </c>
      <c r="I337">
        <v>2.2000000000000002</v>
      </c>
      <c r="J337">
        <v>1728000</v>
      </c>
      <c r="K337">
        <v>1775000</v>
      </c>
      <c r="L337">
        <v>1728000</v>
      </c>
      <c r="M337">
        <v>88413</v>
      </c>
      <c r="N337">
        <v>154847555448</v>
      </c>
      <c r="O337">
        <v>46290951</v>
      </c>
      <c r="P337">
        <v>81749819466000</v>
      </c>
    </row>
    <row r="338" spans="1:16">
      <c r="A338" t="s">
        <v>27</v>
      </c>
      <c r="B338">
        <v>20260225</v>
      </c>
      <c r="C338">
        <v>207940</v>
      </c>
      <c r="D338" t="s">
        <v>28</v>
      </c>
      <c r="E338" t="s">
        <v>27</v>
      </c>
      <c r="F338" t="s">
        <v>17</v>
      </c>
      <c r="G338">
        <v>1728000</v>
      </c>
      <c r="H338">
        <v>5000</v>
      </c>
      <c r="I338">
        <v>0.28999999999999998</v>
      </c>
      <c r="J338">
        <v>1723000</v>
      </c>
      <c r="K338">
        <v>1732000</v>
      </c>
      <c r="L338">
        <v>1715000</v>
      </c>
      <c r="M338">
        <v>45641</v>
      </c>
      <c r="N338">
        <v>78713216000</v>
      </c>
      <c r="O338">
        <v>46290951</v>
      </c>
      <c r="P338">
        <v>79990763328000</v>
      </c>
    </row>
    <row r="339" spans="1:16">
      <c r="A339" t="s">
        <v>27</v>
      </c>
      <c r="B339">
        <v>20260224</v>
      </c>
      <c r="C339">
        <v>207940</v>
      </c>
      <c r="D339" t="s">
        <v>28</v>
      </c>
      <c r="E339" t="s">
        <v>27</v>
      </c>
      <c r="F339" t="s">
        <v>17</v>
      </c>
      <c r="G339">
        <v>1723000</v>
      </c>
      <c r="H339">
        <v>6000</v>
      </c>
      <c r="I339">
        <v>0.35</v>
      </c>
      <c r="J339">
        <v>1747000</v>
      </c>
      <c r="K339">
        <v>1747000</v>
      </c>
      <c r="L339">
        <v>1719000</v>
      </c>
      <c r="M339">
        <v>47116</v>
      </c>
      <c r="N339">
        <v>81298237000</v>
      </c>
      <c r="O339">
        <v>46290951</v>
      </c>
      <c r="P339">
        <v>79759308573000</v>
      </c>
    </row>
    <row r="340" spans="1:16">
      <c r="A340" t="s">
        <v>27</v>
      </c>
      <c r="B340">
        <v>20260223</v>
      </c>
      <c r="C340">
        <v>207940</v>
      </c>
      <c r="D340" t="s">
        <v>28</v>
      </c>
      <c r="E340" t="s">
        <v>27</v>
      </c>
      <c r="F340" t="s">
        <v>17</v>
      </c>
      <c r="G340">
        <v>1717000</v>
      </c>
      <c r="H340">
        <v>-19000</v>
      </c>
      <c r="I340">
        <v>-1.0900000000000001</v>
      </c>
      <c r="J340">
        <v>1741000</v>
      </c>
      <c r="K340">
        <v>1757000</v>
      </c>
      <c r="L340">
        <v>1713000</v>
      </c>
      <c r="M340">
        <v>67316</v>
      </c>
      <c r="N340">
        <v>116394567670</v>
      </c>
      <c r="O340">
        <v>46290951</v>
      </c>
      <c r="P340">
        <v>79481562867000</v>
      </c>
    </row>
    <row r="341" spans="1:16">
      <c r="A341" t="s">
        <v>27</v>
      </c>
      <c r="B341">
        <v>20260220</v>
      </c>
      <c r="C341">
        <v>207940</v>
      </c>
      <c r="D341" t="s">
        <v>28</v>
      </c>
      <c r="E341" t="s">
        <v>27</v>
      </c>
      <c r="F341" t="s">
        <v>17</v>
      </c>
      <c r="G341">
        <v>1736000</v>
      </c>
      <c r="H341">
        <v>16000</v>
      </c>
      <c r="I341">
        <v>0.93</v>
      </c>
      <c r="J341">
        <v>1729000</v>
      </c>
      <c r="K341">
        <v>1739000</v>
      </c>
      <c r="L341">
        <v>1727000</v>
      </c>
      <c r="M341">
        <v>32604</v>
      </c>
      <c r="N341">
        <v>56540195000</v>
      </c>
      <c r="O341">
        <v>46290951</v>
      </c>
      <c r="P341">
        <v>80361090936000</v>
      </c>
    </row>
    <row r="342" spans="1:16">
      <c r="A342" t="s">
        <v>27</v>
      </c>
      <c r="B342">
        <v>20260219</v>
      </c>
      <c r="C342">
        <v>207940</v>
      </c>
      <c r="D342" t="s">
        <v>28</v>
      </c>
      <c r="E342" t="s">
        <v>27</v>
      </c>
      <c r="F342" t="s">
        <v>17</v>
      </c>
      <c r="G342">
        <v>1720000</v>
      </c>
      <c r="H342">
        <v>10000</v>
      </c>
      <c r="I342">
        <v>0.57999999999999996</v>
      </c>
      <c r="J342">
        <v>1712000</v>
      </c>
      <c r="K342">
        <v>1753000</v>
      </c>
      <c r="L342">
        <v>1712000</v>
      </c>
      <c r="M342">
        <v>40847</v>
      </c>
      <c r="N342">
        <v>70669137000</v>
      </c>
      <c r="O342">
        <v>46290951</v>
      </c>
      <c r="P342">
        <v>79620435720000</v>
      </c>
    </row>
    <row r="343" spans="1:16">
      <c r="A343" t="s">
        <v>27</v>
      </c>
      <c r="B343">
        <v>20260213</v>
      </c>
      <c r="C343">
        <v>207940</v>
      </c>
      <c r="D343" t="s">
        <v>28</v>
      </c>
      <c r="E343" t="s">
        <v>27</v>
      </c>
      <c r="F343" t="s">
        <v>17</v>
      </c>
      <c r="G343">
        <v>1710000</v>
      </c>
      <c r="H343">
        <v>-9000</v>
      </c>
      <c r="I343">
        <v>-0.52</v>
      </c>
      <c r="J343">
        <v>1710000</v>
      </c>
      <c r="K343">
        <v>1715000</v>
      </c>
      <c r="L343">
        <v>1702000</v>
      </c>
      <c r="M343">
        <v>30115</v>
      </c>
      <c r="N343">
        <v>51458025500</v>
      </c>
      <c r="O343">
        <v>46290951</v>
      </c>
      <c r="P343">
        <v>79157526210000</v>
      </c>
    </row>
    <row r="344" spans="1:16">
      <c r="A344" t="s">
        <v>27</v>
      </c>
      <c r="B344">
        <v>20260212</v>
      </c>
      <c r="C344">
        <v>207940</v>
      </c>
      <c r="D344" t="s">
        <v>28</v>
      </c>
      <c r="E344" t="s">
        <v>27</v>
      </c>
      <c r="F344" t="s">
        <v>17</v>
      </c>
      <c r="G344">
        <v>1719000</v>
      </c>
      <c r="H344">
        <v>7000</v>
      </c>
      <c r="I344">
        <v>0.41</v>
      </c>
      <c r="J344">
        <v>1727000</v>
      </c>
      <c r="K344">
        <v>1728000</v>
      </c>
      <c r="L344">
        <v>1707000</v>
      </c>
      <c r="M344">
        <v>39569</v>
      </c>
      <c r="N344">
        <v>67822427500</v>
      </c>
      <c r="O344">
        <v>46290951</v>
      </c>
      <c r="P344">
        <v>79574144769000</v>
      </c>
    </row>
    <row r="345" spans="1:16">
      <c r="A345" t="s">
        <v>27</v>
      </c>
      <c r="B345">
        <v>20260211</v>
      </c>
      <c r="C345">
        <v>207940</v>
      </c>
      <c r="D345" t="s">
        <v>28</v>
      </c>
      <c r="E345" t="s">
        <v>27</v>
      </c>
      <c r="F345" t="s">
        <v>17</v>
      </c>
      <c r="G345">
        <v>1712000</v>
      </c>
      <c r="H345">
        <v>2000</v>
      </c>
      <c r="I345">
        <v>0.12</v>
      </c>
      <c r="J345">
        <v>1732000</v>
      </c>
      <c r="K345">
        <v>1743000</v>
      </c>
      <c r="L345">
        <v>1710000</v>
      </c>
      <c r="M345">
        <v>31291</v>
      </c>
      <c r="N345">
        <v>53808843000</v>
      </c>
      <c r="O345">
        <v>46290951</v>
      </c>
      <c r="P345">
        <v>79250108112000</v>
      </c>
    </row>
    <row r="346" spans="1:16">
      <c r="A346" t="s">
        <v>27</v>
      </c>
      <c r="B346">
        <v>20260210</v>
      </c>
      <c r="C346">
        <v>207940</v>
      </c>
      <c r="D346" t="s">
        <v>28</v>
      </c>
      <c r="E346" t="s">
        <v>27</v>
      </c>
      <c r="F346" t="s">
        <v>17</v>
      </c>
      <c r="G346">
        <v>1710000</v>
      </c>
      <c r="H346">
        <v>16000</v>
      </c>
      <c r="I346">
        <v>0.94</v>
      </c>
      <c r="J346">
        <v>1705000</v>
      </c>
      <c r="K346">
        <v>1740000</v>
      </c>
      <c r="L346">
        <v>1691000</v>
      </c>
      <c r="M346">
        <v>46371</v>
      </c>
      <c r="N346">
        <v>79288452500</v>
      </c>
      <c r="O346">
        <v>46290951</v>
      </c>
      <c r="P346">
        <v>79157526210000</v>
      </c>
    </row>
    <row r="347" spans="1:16">
      <c r="A347" t="s">
        <v>27</v>
      </c>
      <c r="B347">
        <v>20260209</v>
      </c>
      <c r="C347">
        <v>207940</v>
      </c>
      <c r="D347" t="s">
        <v>28</v>
      </c>
      <c r="E347" t="s">
        <v>27</v>
      </c>
      <c r="F347" t="s">
        <v>17</v>
      </c>
      <c r="G347">
        <v>1694000</v>
      </c>
      <c r="H347">
        <v>26000</v>
      </c>
      <c r="I347">
        <v>1.56</v>
      </c>
      <c r="J347">
        <v>1704000</v>
      </c>
      <c r="K347">
        <v>1717000</v>
      </c>
      <c r="L347">
        <v>1676000</v>
      </c>
      <c r="M347">
        <v>57218</v>
      </c>
      <c r="N347">
        <v>96960079500</v>
      </c>
      <c r="O347">
        <v>46290951</v>
      </c>
      <c r="P347">
        <v>78416870994000</v>
      </c>
    </row>
    <row r="348" spans="1:16">
      <c r="A348" t="s">
        <v>27</v>
      </c>
      <c r="B348">
        <v>20260206</v>
      </c>
      <c r="C348">
        <v>207940</v>
      </c>
      <c r="D348" t="s">
        <v>28</v>
      </c>
      <c r="E348" t="s">
        <v>27</v>
      </c>
      <c r="F348" t="s">
        <v>17</v>
      </c>
      <c r="G348">
        <v>1668000</v>
      </c>
      <c r="H348">
        <v>-32000</v>
      </c>
      <c r="I348">
        <v>-1.88</v>
      </c>
      <c r="J348">
        <v>1688000</v>
      </c>
      <c r="K348">
        <v>1688000</v>
      </c>
      <c r="L348">
        <v>1637000</v>
      </c>
      <c r="M348">
        <v>57738</v>
      </c>
      <c r="N348">
        <v>95567675000</v>
      </c>
      <c r="O348">
        <v>46290951</v>
      </c>
      <c r="P348">
        <v>77213306268000</v>
      </c>
    </row>
    <row r="349" spans="1:16">
      <c r="A349" t="s">
        <v>27</v>
      </c>
      <c r="B349">
        <v>20260205</v>
      </c>
      <c r="C349">
        <v>207940</v>
      </c>
      <c r="D349" t="s">
        <v>28</v>
      </c>
      <c r="E349" t="s">
        <v>27</v>
      </c>
      <c r="F349" t="s">
        <v>17</v>
      </c>
      <c r="G349">
        <v>1700000</v>
      </c>
      <c r="H349">
        <v>-59000</v>
      </c>
      <c r="I349">
        <v>-3.35</v>
      </c>
      <c r="J349">
        <v>1792000</v>
      </c>
      <c r="K349">
        <v>1795000</v>
      </c>
      <c r="L349">
        <v>1700000</v>
      </c>
      <c r="M349">
        <v>59550</v>
      </c>
      <c r="N349">
        <v>102906216500</v>
      </c>
      <c r="O349">
        <v>46290951</v>
      </c>
      <c r="P349">
        <v>78694616700000</v>
      </c>
    </row>
    <row r="350" spans="1:16">
      <c r="A350" t="s">
        <v>27</v>
      </c>
      <c r="B350">
        <v>20260204</v>
      </c>
      <c r="C350">
        <v>207940</v>
      </c>
      <c r="D350" t="s">
        <v>28</v>
      </c>
      <c r="E350" t="s">
        <v>27</v>
      </c>
      <c r="F350" t="s">
        <v>17</v>
      </c>
      <c r="G350">
        <v>1759000</v>
      </c>
      <c r="H350">
        <v>10000</v>
      </c>
      <c r="I350">
        <v>0.56999999999999995</v>
      </c>
      <c r="J350">
        <v>1755000</v>
      </c>
      <c r="K350">
        <v>1778000</v>
      </c>
      <c r="L350">
        <v>1745000</v>
      </c>
      <c r="M350">
        <v>55355</v>
      </c>
      <c r="N350">
        <v>97456532500</v>
      </c>
      <c r="O350">
        <v>46290951</v>
      </c>
      <c r="P350">
        <v>81425782809000</v>
      </c>
    </row>
    <row r="351" spans="1:16">
      <c r="A351" t="s">
        <v>27</v>
      </c>
      <c r="B351">
        <v>20260203</v>
      </c>
      <c r="C351">
        <v>207940</v>
      </c>
      <c r="D351" t="s">
        <v>28</v>
      </c>
      <c r="E351" t="s">
        <v>27</v>
      </c>
      <c r="F351" t="s">
        <v>17</v>
      </c>
      <c r="G351">
        <v>1749000</v>
      </c>
      <c r="H351">
        <v>38000</v>
      </c>
      <c r="I351">
        <v>2.2200000000000002</v>
      </c>
      <c r="J351">
        <v>1717000</v>
      </c>
      <c r="K351">
        <v>1756000</v>
      </c>
      <c r="L351">
        <v>1712000</v>
      </c>
      <c r="M351">
        <v>50120</v>
      </c>
      <c r="N351">
        <v>87157472500</v>
      </c>
      <c r="O351">
        <v>46290951</v>
      </c>
      <c r="P351">
        <v>80962873299000</v>
      </c>
    </row>
    <row r="352" spans="1:16">
      <c r="A352" t="s">
        <v>27</v>
      </c>
      <c r="B352">
        <v>20260202</v>
      </c>
      <c r="C352">
        <v>207940</v>
      </c>
      <c r="D352" t="s">
        <v>28</v>
      </c>
      <c r="E352" t="s">
        <v>27</v>
      </c>
      <c r="F352" t="s">
        <v>17</v>
      </c>
      <c r="G352">
        <v>1711000</v>
      </c>
      <c r="H352">
        <v>-34000</v>
      </c>
      <c r="I352">
        <v>-1.95</v>
      </c>
      <c r="J352">
        <v>1745000</v>
      </c>
      <c r="K352">
        <v>1763000</v>
      </c>
      <c r="L352">
        <v>1705000</v>
      </c>
      <c r="M352">
        <v>67005</v>
      </c>
      <c r="N352">
        <v>115381471000</v>
      </c>
      <c r="O352">
        <v>46290951</v>
      </c>
      <c r="P352">
        <v>79203817161000</v>
      </c>
    </row>
    <row r="353" spans="1:16">
      <c r="A353" t="s">
        <v>27</v>
      </c>
      <c r="B353">
        <v>20260130</v>
      </c>
      <c r="C353">
        <v>207940</v>
      </c>
      <c r="D353" t="s">
        <v>28</v>
      </c>
      <c r="E353" t="s">
        <v>27</v>
      </c>
      <c r="F353" t="s">
        <v>17</v>
      </c>
      <c r="G353">
        <v>1745000</v>
      </c>
      <c r="H353">
        <v>-31000</v>
      </c>
      <c r="I353">
        <v>-1.75</v>
      </c>
      <c r="J353">
        <v>1781000</v>
      </c>
      <c r="K353">
        <v>1782000</v>
      </c>
      <c r="L353">
        <v>1745000</v>
      </c>
      <c r="M353">
        <v>63642</v>
      </c>
      <c r="N353">
        <v>111756045000</v>
      </c>
      <c r="O353">
        <v>46290951</v>
      </c>
      <c r="P353">
        <v>80777709495000</v>
      </c>
    </row>
    <row r="354" spans="1:16">
      <c r="A354" t="s">
        <v>27</v>
      </c>
      <c r="B354">
        <v>20260129</v>
      </c>
      <c r="C354">
        <v>207940</v>
      </c>
      <c r="D354" t="s">
        <v>28</v>
      </c>
      <c r="E354" t="s">
        <v>27</v>
      </c>
      <c r="F354" t="s">
        <v>17</v>
      </c>
      <c r="G354">
        <v>1776000</v>
      </c>
      <c r="H354">
        <v>-15000</v>
      </c>
      <c r="I354">
        <v>-0.84</v>
      </c>
      <c r="J354">
        <v>1796000</v>
      </c>
      <c r="K354">
        <v>1798000</v>
      </c>
      <c r="L354">
        <v>1765000</v>
      </c>
      <c r="M354">
        <v>67355</v>
      </c>
      <c r="N354">
        <v>119772214500</v>
      </c>
      <c r="O354">
        <v>46290951</v>
      </c>
      <c r="P354">
        <v>82212728976000</v>
      </c>
    </row>
    <row r="355" spans="1:16">
      <c r="A355" t="s">
        <v>27</v>
      </c>
      <c r="B355">
        <v>20260128</v>
      </c>
      <c r="C355">
        <v>207940</v>
      </c>
      <c r="D355" t="s">
        <v>28</v>
      </c>
      <c r="E355" t="s">
        <v>27</v>
      </c>
      <c r="F355" t="s">
        <v>17</v>
      </c>
      <c r="G355">
        <v>1791000</v>
      </c>
      <c r="H355">
        <v>1000</v>
      </c>
      <c r="I355">
        <v>0.06</v>
      </c>
      <c r="J355">
        <v>1802000</v>
      </c>
      <c r="K355">
        <v>1814000</v>
      </c>
      <c r="L355">
        <v>1785000</v>
      </c>
      <c r="M355">
        <v>59883</v>
      </c>
      <c r="N355">
        <v>107273070000</v>
      </c>
      <c r="O355">
        <v>46290951</v>
      </c>
      <c r="P355">
        <v>82907093241000</v>
      </c>
    </row>
    <row r="356" spans="1:16">
      <c r="A356" t="s">
        <v>27</v>
      </c>
      <c r="B356">
        <v>20260127</v>
      </c>
      <c r="C356">
        <v>207940</v>
      </c>
      <c r="D356" t="s">
        <v>28</v>
      </c>
      <c r="E356" t="s">
        <v>27</v>
      </c>
      <c r="F356" t="s">
        <v>17</v>
      </c>
      <c r="G356">
        <v>1790000</v>
      </c>
      <c r="H356">
        <v>-17000</v>
      </c>
      <c r="I356">
        <v>-0.94</v>
      </c>
      <c r="J356">
        <v>1808000</v>
      </c>
      <c r="K356">
        <v>1809000</v>
      </c>
      <c r="L356">
        <v>1790000</v>
      </c>
      <c r="M356">
        <v>74402</v>
      </c>
      <c r="N356">
        <v>133562411000</v>
      </c>
      <c r="O356">
        <v>46290951</v>
      </c>
      <c r="P356">
        <v>82860802290000</v>
      </c>
    </row>
    <row r="357" spans="1:16">
      <c r="A357" t="s">
        <v>27</v>
      </c>
      <c r="B357">
        <v>20260126</v>
      </c>
      <c r="C357">
        <v>207940</v>
      </c>
      <c r="D357" t="s">
        <v>28</v>
      </c>
      <c r="E357" t="s">
        <v>27</v>
      </c>
      <c r="F357" t="s">
        <v>17</v>
      </c>
      <c r="G357">
        <v>1807000</v>
      </c>
      <c r="H357">
        <v>5000</v>
      </c>
      <c r="I357">
        <v>0.28000000000000003</v>
      </c>
      <c r="J357">
        <v>1805000</v>
      </c>
      <c r="K357">
        <v>1819000</v>
      </c>
      <c r="L357">
        <v>1793000</v>
      </c>
      <c r="M357">
        <v>72980</v>
      </c>
      <c r="N357">
        <v>131562984000</v>
      </c>
      <c r="O357">
        <v>46290951</v>
      </c>
      <c r="P357">
        <v>83647748457000</v>
      </c>
    </row>
    <row r="358" spans="1:16">
      <c r="A358" t="s">
        <v>27</v>
      </c>
      <c r="B358">
        <v>20260123</v>
      </c>
      <c r="C358">
        <v>207940</v>
      </c>
      <c r="D358" t="s">
        <v>28</v>
      </c>
      <c r="E358" t="s">
        <v>27</v>
      </c>
      <c r="F358" t="s">
        <v>17</v>
      </c>
      <c r="G358">
        <v>1802000</v>
      </c>
      <c r="H358">
        <v>24000</v>
      </c>
      <c r="I358">
        <v>1.35</v>
      </c>
      <c r="J358">
        <v>1794000</v>
      </c>
      <c r="K358">
        <v>1808000</v>
      </c>
      <c r="L358">
        <v>1790000</v>
      </c>
      <c r="M358">
        <v>62438</v>
      </c>
      <c r="N358">
        <v>112333805164</v>
      </c>
      <c r="O358">
        <v>46290951</v>
      </c>
      <c r="P358">
        <v>83416293702000</v>
      </c>
    </row>
    <row r="359" spans="1:16">
      <c r="A359" t="s">
        <v>27</v>
      </c>
      <c r="B359">
        <v>20260122</v>
      </c>
      <c r="C359">
        <v>207940</v>
      </c>
      <c r="D359" t="s">
        <v>28</v>
      </c>
      <c r="E359" t="s">
        <v>27</v>
      </c>
      <c r="F359" t="s">
        <v>17</v>
      </c>
      <c r="G359">
        <v>1778000</v>
      </c>
      <c r="H359">
        <v>-95000</v>
      </c>
      <c r="I359">
        <v>-5.07</v>
      </c>
      <c r="J359">
        <v>1874000</v>
      </c>
      <c r="K359">
        <v>1888000</v>
      </c>
      <c r="L359">
        <v>1778000</v>
      </c>
      <c r="M359">
        <v>182684</v>
      </c>
      <c r="N359">
        <v>328006219500</v>
      </c>
      <c r="O359">
        <v>46290951</v>
      </c>
      <c r="P359">
        <v>82305310878000</v>
      </c>
    </row>
    <row r="360" spans="1:16">
      <c r="A360" t="s">
        <v>27</v>
      </c>
      <c r="B360">
        <v>20260121</v>
      </c>
      <c r="C360">
        <v>207940</v>
      </c>
      <c r="D360" t="s">
        <v>28</v>
      </c>
      <c r="E360" t="s">
        <v>27</v>
      </c>
      <c r="F360" t="s">
        <v>17</v>
      </c>
      <c r="G360">
        <v>1873000</v>
      </c>
      <c r="H360">
        <v>-47000</v>
      </c>
      <c r="I360">
        <v>-2.4500000000000002</v>
      </c>
      <c r="J360">
        <v>1909000</v>
      </c>
      <c r="K360">
        <v>1909000</v>
      </c>
      <c r="L360">
        <v>1870000</v>
      </c>
      <c r="M360">
        <v>59612</v>
      </c>
      <c r="N360">
        <v>112191096500</v>
      </c>
      <c r="O360">
        <v>46290951</v>
      </c>
      <c r="P360">
        <v>86702951223000</v>
      </c>
    </row>
    <row r="361" spans="1:16">
      <c r="A361" t="s">
        <v>27</v>
      </c>
      <c r="B361">
        <v>20260120</v>
      </c>
      <c r="C361">
        <v>207940</v>
      </c>
      <c r="D361" t="s">
        <v>28</v>
      </c>
      <c r="E361" t="s">
        <v>27</v>
      </c>
      <c r="F361" t="s">
        <v>17</v>
      </c>
      <c r="G361">
        <v>1920000</v>
      </c>
      <c r="H361">
        <v>-1000</v>
      </c>
      <c r="I361">
        <v>-0.05</v>
      </c>
      <c r="J361">
        <v>1922000</v>
      </c>
      <c r="K361">
        <v>1942000</v>
      </c>
      <c r="L361">
        <v>1912000</v>
      </c>
      <c r="M361">
        <v>42737</v>
      </c>
      <c r="N361">
        <v>82257584500</v>
      </c>
      <c r="O361">
        <v>46290951</v>
      </c>
      <c r="P361">
        <v>88878625920000</v>
      </c>
    </row>
    <row r="362" spans="1:16">
      <c r="A362" t="s">
        <v>27</v>
      </c>
      <c r="B362">
        <v>20260119</v>
      </c>
      <c r="C362">
        <v>207940</v>
      </c>
      <c r="D362" t="s">
        <v>28</v>
      </c>
      <c r="E362" t="s">
        <v>27</v>
      </c>
      <c r="F362" t="s">
        <v>17</v>
      </c>
      <c r="G362">
        <v>1921000</v>
      </c>
      <c r="H362">
        <v>-26000</v>
      </c>
      <c r="I362">
        <v>-1.34</v>
      </c>
      <c r="J362">
        <v>1927000</v>
      </c>
      <c r="K362">
        <v>1940000</v>
      </c>
      <c r="L362">
        <v>1900000</v>
      </c>
      <c r="M362">
        <v>44904</v>
      </c>
      <c r="N362">
        <v>86333896500</v>
      </c>
      <c r="O362">
        <v>46290951</v>
      </c>
      <c r="P362">
        <v>88924916871000</v>
      </c>
    </row>
    <row r="363" spans="1:16">
      <c r="A363" t="s">
        <v>27</v>
      </c>
      <c r="B363">
        <v>20260116</v>
      </c>
      <c r="C363">
        <v>207940</v>
      </c>
      <c r="D363" t="s">
        <v>28</v>
      </c>
      <c r="E363" t="s">
        <v>27</v>
      </c>
      <c r="F363" t="s">
        <v>17</v>
      </c>
      <c r="G363">
        <v>1947000</v>
      </c>
      <c r="H363">
        <v>-18000</v>
      </c>
      <c r="I363">
        <v>-0.92</v>
      </c>
      <c r="J363">
        <v>1980000</v>
      </c>
      <c r="K363">
        <v>1981000</v>
      </c>
      <c r="L363">
        <v>1895000</v>
      </c>
      <c r="M363">
        <v>68134</v>
      </c>
      <c r="N363">
        <v>131227502500</v>
      </c>
      <c r="O363">
        <v>46290951</v>
      </c>
      <c r="P363">
        <v>90128481597000</v>
      </c>
    </row>
    <row r="364" spans="1:16">
      <c r="A364" t="s">
        <v>27</v>
      </c>
      <c r="B364">
        <v>20260115</v>
      </c>
      <c r="C364">
        <v>207940</v>
      </c>
      <c r="D364" t="s">
        <v>28</v>
      </c>
      <c r="E364" t="s">
        <v>27</v>
      </c>
      <c r="F364" t="s">
        <v>17</v>
      </c>
      <c r="G364">
        <v>1965000</v>
      </c>
      <c r="H364">
        <v>38000</v>
      </c>
      <c r="I364">
        <v>1.97</v>
      </c>
      <c r="J364">
        <v>1930000</v>
      </c>
      <c r="K364">
        <v>1987000</v>
      </c>
      <c r="L364">
        <v>1921000</v>
      </c>
      <c r="M364">
        <v>70485</v>
      </c>
      <c r="N364">
        <v>138679814500</v>
      </c>
      <c r="O364">
        <v>46290951</v>
      </c>
      <c r="P364">
        <v>90961718715000</v>
      </c>
    </row>
    <row r="365" spans="1:16">
      <c r="A365" t="s">
        <v>27</v>
      </c>
      <c r="B365">
        <v>20260114</v>
      </c>
      <c r="C365">
        <v>207940</v>
      </c>
      <c r="D365" t="s">
        <v>28</v>
      </c>
      <c r="E365" t="s">
        <v>27</v>
      </c>
      <c r="F365" t="s">
        <v>17</v>
      </c>
      <c r="G365">
        <v>1927000</v>
      </c>
      <c r="H365">
        <v>19000</v>
      </c>
      <c r="I365">
        <v>1</v>
      </c>
      <c r="J365">
        <v>1924000</v>
      </c>
      <c r="K365">
        <v>1948000</v>
      </c>
      <c r="L365">
        <v>1912000</v>
      </c>
      <c r="M365">
        <v>86681</v>
      </c>
      <c r="N365">
        <v>167131953552</v>
      </c>
      <c r="O365">
        <v>46290951</v>
      </c>
      <c r="P365">
        <v>89202662577000</v>
      </c>
    </row>
    <row r="366" spans="1:16">
      <c r="A366" t="s">
        <v>27</v>
      </c>
      <c r="B366">
        <v>20260113</v>
      </c>
      <c r="C366">
        <v>207940</v>
      </c>
      <c r="D366" t="s">
        <v>28</v>
      </c>
      <c r="E366" t="s">
        <v>27</v>
      </c>
      <c r="F366" t="s">
        <v>17</v>
      </c>
      <c r="G366">
        <v>1908000</v>
      </c>
      <c r="H366">
        <v>49000</v>
      </c>
      <c r="I366">
        <v>2.64</v>
      </c>
      <c r="J366">
        <v>1885000</v>
      </c>
      <c r="K366">
        <v>1944000</v>
      </c>
      <c r="L366">
        <v>1881000</v>
      </c>
      <c r="M366">
        <v>77125</v>
      </c>
      <c r="N366">
        <v>147795098500</v>
      </c>
      <c r="O366">
        <v>46290951</v>
      </c>
      <c r="P366">
        <v>88323134508000</v>
      </c>
    </row>
    <row r="367" spans="1:16">
      <c r="A367" t="s">
        <v>27</v>
      </c>
      <c r="B367">
        <v>20260112</v>
      </c>
      <c r="C367">
        <v>207940</v>
      </c>
      <c r="D367" t="s">
        <v>28</v>
      </c>
      <c r="E367" t="s">
        <v>27</v>
      </c>
      <c r="F367" t="s">
        <v>17</v>
      </c>
      <c r="G367">
        <v>1859000</v>
      </c>
      <c r="H367">
        <v>-19000</v>
      </c>
      <c r="I367">
        <v>-1.01</v>
      </c>
      <c r="J367">
        <v>1899000</v>
      </c>
      <c r="K367">
        <v>1915000</v>
      </c>
      <c r="L367">
        <v>1845000</v>
      </c>
      <c r="M367">
        <v>68736</v>
      </c>
      <c r="N367">
        <v>128434843500</v>
      </c>
      <c r="O367">
        <v>46290951</v>
      </c>
      <c r="P367">
        <v>86054877909000</v>
      </c>
    </row>
    <row r="368" spans="1:16">
      <c r="A368" t="s">
        <v>27</v>
      </c>
      <c r="B368">
        <v>20260109</v>
      </c>
      <c r="C368">
        <v>207940</v>
      </c>
      <c r="D368" t="s">
        <v>28</v>
      </c>
      <c r="E368" t="s">
        <v>27</v>
      </c>
      <c r="F368" t="s">
        <v>17</v>
      </c>
      <c r="G368">
        <v>1878000</v>
      </c>
      <c r="H368">
        <v>-7000</v>
      </c>
      <c r="I368">
        <v>-0.37</v>
      </c>
      <c r="J368">
        <v>1875000</v>
      </c>
      <c r="K368">
        <v>1879000</v>
      </c>
      <c r="L368">
        <v>1834000</v>
      </c>
      <c r="M368">
        <v>70385</v>
      </c>
      <c r="N368">
        <v>131242689000</v>
      </c>
      <c r="O368">
        <v>46290951</v>
      </c>
      <c r="P368">
        <v>86934405978000</v>
      </c>
    </row>
    <row r="369" spans="1:16">
      <c r="A369" t="s">
        <v>27</v>
      </c>
      <c r="B369">
        <v>20260108</v>
      </c>
      <c r="C369">
        <v>207940</v>
      </c>
      <c r="D369" t="s">
        <v>28</v>
      </c>
      <c r="E369" t="s">
        <v>27</v>
      </c>
      <c r="F369" t="s">
        <v>17</v>
      </c>
      <c r="G369">
        <v>1885000</v>
      </c>
      <c r="H369">
        <v>118000</v>
      </c>
      <c r="I369">
        <v>6.68</v>
      </c>
      <c r="J369">
        <v>1767000</v>
      </c>
      <c r="K369">
        <v>1900000</v>
      </c>
      <c r="L369">
        <v>1766000</v>
      </c>
      <c r="M369">
        <v>128454</v>
      </c>
      <c r="N369">
        <v>238420330500</v>
      </c>
      <c r="O369">
        <v>46290951</v>
      </c>
      <c r="P369">
        <v>87258442635000</v>
      </c>
    </row>
    <row r="370" spans="1:16">
      <c r="A370" t="s">
        <v>27</v>
      </c>
      <c r="B370">
        <v>20260107</v>
      </c>
      <c r="C370">
        <v>207940</v>
      </c>
      <c r="D370" t="s">
        <v>28</v>
      </c>
      <c r="E370" t="s">
        <v>27</v>
      </c>
      <c r="F370" t="s">
        <v>17</v>
      </c>
      <c r="G370">
        <v>1767000</v>
      </c>
      <c r="H370">
        <v>46000</v>
      </c>
      <c r="I370">
        <v>2.67</v>
      </c>
      <c r="J370">
        <v>1736000</v>
      </c>
      <c r="K370">
        <v>1789000</v>
      </c>
      <c r="L370">
        <v>1730000</v>
      </c>
      <c r="M370">
        <v>61546</v>
      </c>
      <c r="N370">
        <v>108404400000</v>
      </c>
      <c r="O370">
        <v>46290951</v>
      </c>
      <c r="P370">
        <v>81796110417000</v>
      </c>
    </row>
    <row r="371" spans="1:16">
      <c r="A371" t="s">
        <v>27</v>
      </c>
      <c r="B371">
        <v>20260106</v>
      </c>
      <c r="C371">
        <v>207940</v>
      </c>
      <c r="D371" t="s">
        <v>28</v>
      </c>
      <c r="E371" t="s">
        <v>27</v>
      </c>
      <c r="F371" t="s">
        <v>17</v>
      </c>
      <c r="G371">
        <v>1721000</v>
      </c>
      <c r="H371">
        <v>8000</v>
      </c>
      <c r="I371">
        <v>0.47</v>
      </c>
      <c r="J371">
        <v>1720000</v>
      </c>
      <c r="K371">
        <v>1735000</v>
      </c>
      <c r="L371">
        <v>1710000</v>
      </c>
      <c r="M371">
        <v>36813</v>
      </c>
      <c r="N371">
        <v>63338060500</v>
      </c>
      <c r="O371">
        <v>46290951</v>
      </c>
      <c r="P371">
        <v>79666726671000</v>
      </c>
    </row>
    <row r="372" spans="1:16">
      <c r="A372" t="s">
        <v>27</v>
      </c>
      <c r="B372">
        <v>20260105</v>
      </c>
      <c r="C372">
        <v>207940</v>
      </c>
      <c r="D372" t="s">
        <v>28</v>
      </c>
      <c r="E372" t="s">
        <v>27</v>
      </c>
      <c r="F372" t="s">
        <v>17</v>
      </c>
      <c r="G372">
        <v>1713000</v>
      </c>
      <c r="H372">
        <v>30000</v>
      </c>
      <c r="I372">
        <v>1.78</v>
      </c>
      <c r="J372">
        <v>1673000</v>
      </c>
      <c r="K372">
        <v>1724000</v>
      </c>
      <c r="L372">
        <v>1671000</v>
      </c>
      <c r="M372">
        <v>51390</v>
      </c>
      <c r="N372">
        <v>87508499000</v>
      </c>
      <c r="O372">
        <v>46290951</v>
      </c>
      <c r="P372">
        <v>79296399063000</v>
      </c>
    </row>
    <row r="373" spans="1:16">
      <c r="A373" t="s">
        <v>27</v>
      </c>
      <c r="B373">
        <v>20260102</v>
      </c>
      <c r="C373">
        <v>207940</v>
      </c>
      <c r="D373" t="s">
        <v>28</v>
      </c>
      <c r="E373" t="s">
        <v>27</v>
      </c>
      <c r="F373" t="s">
        <v>17</v>
      </c>
      <c r="G373">
        <v>1683000</v>
      </c>
      <c r="H373">
        <v>-12000</v>
      </c>
      <c r="I373">
        <v>-0.71</v>
      </c>
      <c r="J373">
        <v>1695000</v>
      </c>
      <c r="K373">
        <v>1709000</v>
      </c>
      <c r="L373">
        <v>1679000</v>
      </c>
      <c r="M373">
        <v>46684</v>
      </c>
      <c r="N373">
        <v>78699495500</v>
      </c>
      <c r="O373">
        <v>46290951</v>
      </c>
      <c r="P373">
        <v>77907670533000</v>
      </c>
    </row>
    <row r="374" spans="1:16">
      <c r="A374" t="s">
        <v>29</v>
      </c>
      <c r="B374">
        <v>20260403</v>
      </c>
      <c r="C374">
        <v>402340</v>
      </c>
      <c r="D374" t="s">
        <v>30</v>
      </c>
      <c r="E374" t="s">
        <v>29</v>
      </c>
      <c r="F374" t="s">
        <v>17</v>
      </c>
      <c r="G374">
        <v>483000</v>
      </c>
      <c r="H374">
        <v>13500</v>
      </c>
      <c r="I374">
        <v>2.88</v>
      </c>
      <c r="J374">
        <v>480500</v>
      </c>
      <c r="K374">
        <v>488000</v>
      </c>
      <c r="L374">
        <v>469250</v>
      </c>
      <c r="M374">
        <v>457740</v>
      </c>
      <c r="N374">
        <v>219101193264</v>
      </c>
      <c r="O374">
        <v>132087115</v>
      </c>
      <c r="P374">
        <v>63798076545000</v>
      </c>
    </row>
    <row r="375" spans="1:16">
      <c r="A375" t="s">
        <v>29</v>
      </c>
      <c r="B375">
        <v>20260402</v>
      </c>
      <c r="C375">
        <v>402340</v>
      </c>
      <c r="D375" t="s">
        <v>30</v>
      </c>
      <c r="E375" t="s">
        <v>29</v>
      </c>
      <c r="F375" t="s">
        <v>17</v>
      </c>
      <c r="G375">
        <v>469500</v>
      </c>
      <c r="H375">
        <v>-31500</v>
      </c>
      <c r="I375">
        <v>-6.29</v>
      </c>
      <c r="J375">
        <v>514000</v>
      </c>
      <c r="K375">
        <v>522000</v>
      </c>
      <c r="L375">
        <v>460000</v>
      </c>
      <c r="M375">
        <v>682876</v>
      </c>
      <c r="N375">
        <v>327790525750</v>
      </c>
      <c r="O375">
        <v>132087115</v>
      </c>
      <c r="P375">
        <v>62014900492500</v>
      </c>
    </row>
    <row r="376" spans="1:16">
      <c r="A376" t="s">
        <v>29</v>
      </c>
      <c r="B376">
        <v>20260401</v>
      </c>
      <c r="C376">
        <v>402340</v>
      </c>
      <c r="D376" t="s">
        <v>30</v>
      </c>
      <c r="E376" t="s">
        <v>29</v>
      </c>
      <c r="F376" t="s">
        <v>17</v>
      </c>
      <c r="G376">
        <v>501000</v>
      </c>
      <c r="H376">
        <v>34500</v>
      </c>
      <c r="I376">
        <v>7.4</v>
      </c>
      <c r="J376">
        <v>508000</v>
      </c>
      <c r="K376">
        <v>515000</v>
      </c>
      <c r="L376">
        <v>486000</v>
      </c>
      <c r="M376">
        <v>904715</v>
      </c>
      <c r="N376">
        <v>450439309250</v>
      </c>
      <c r="O376">
        <v>132087115</v>
      </c>
      <c r="P376">
        <v>66175644615000</v>
      </c>
    </row>
    <row r="377" spans="1:16">
      <c r="A377" t="s">
        <v>29</v>
      </c>
      <c r="B377">
        <v>20260331</v>
      </c>
      <c r="C377">
        <v>402340</v>
      </c>
      <c r="D377" t="s">
        <v>30</v>
      </c>
      <c r="E377" t="s">
        <v>29</v>
      </c>
      <c r="F377" t="s">
        <v>17</v>
      </c>
      <c r="G377">
        <v>466500</v>
      </c>
      <c r="H377">
        <v>-43500</v>
      </c>
      <c r="I377">
        <v>-8.5299999999999994</v>
      </c>
      <c r="J377">
        <v>473500</v>
      </c>
      <c r="K377">
        <v>488000</v>
      </c>
      <c r="L377">
        <v>462500</v>
      </c>
      <c r="M377">
        <v>1428264</v>
      </c>
      <c r="N377">
        <v>674284717000</v>
      </c>
      <c r="O377">
        <v>132087115</v>
      </c>
      <c r="P377">
        <v>61618639147500</v>
      </c>
    </row>
    <row r="378" spans="1:16">
      <c r="A378" t="s">
        <v>29</v>
      </c>
      <c r="B378">
        <v>20260330</v>
      </c>
      <c r="C378">
        <v>402340</v>
      </c>
      <c r="D378" t="s">
        <v>30</v>
      </c>
      <c r="E378" t="s">
        <v>29</v>
      </c>
      <c r="F378" t="s">
        <v>17</v>
      </c>
      <c r="G378">
        <v>510000</v>
      </c>
      <c r="H378">
        <v>-34000</v>
      </c>
      <c r="I378">
        <v>-6.25</v>
      </c>
      <c r="J378">
        <v>503000</v>
      </c>
      <c r="K378">
        <v>516000</v>
      </c>
      <c r="L378">
        <v>500000</v>
      </c>
      <c r="M378">
        <v>625397</v>
      </c>
      <c r="N378">
        <v>317488795720</v>
      </c>
      <c r="O378">
        <v>132087115</v>
      </c>
      <c r="P378">
        <v>67364428650000</v>
      </c>
    </row>
    <row r="379" spans="1:16">
      <c r="A379" t="s">
        <v>29</v>
      </c>
      <c r="B379">
        <v>20260327</v>
      </c>
      <c r="C379">
        <v>402340</v>
      </c>
      <c r="D379" t="s">
        <v>30</v>
      </c>
      <c r="E379" t="s">
        <v>29</v>
      </c>
      <c r="F379" t="s">
        <v>17</v>
      </c>
      <c r="G379">
        <v>544000</v>
      </c>
      <c r="H379">
        <v>-14000</v>
      </c>
      <c r="I379">
        <v>-2.5099999999999998</v>
      </c>
      <c r="J379">
        <v>528000</v>
      </c>
      <c r="K379">
        <v>549000</v>
      </c>
      <c r="L379">
        <v>521000</v>
      </c>
      <c r="M379">
        <v>616056</v>
      </c>
      <c r="N379">
        <v>331120880000</v>
      </c>
      <c r="O379">
        <v>132087115</v>
      </c>
      <c r="P379">
        <v>71855390560000</v>
      </c>
    </row>
    <row r="380" spans="1:16">
      <c r="A380" t="s">
        <v>29</v>
      </c>
      <c r="B380">
        <v>20260326</v>
      </c>
      <c r="C380">
        <v>402340</v>
      </c>
      <c r="D380" t="s">
        <v>30</v>
      </c>
      <c r="E380" t="s">
        <v>29</v>
      </c>
      <c r="F380" t="s">
        <v>17</v>
      </c>
      <c r="G380">
        <v>558000</v>
      </c>
      <c r="H380">
        <v>-47000</v>
      </c>
      <c r="I380">
        <v>-7.77</v>
      </c>
      <c r="J380">
        <v>592000</v>
      </c>
      <c r="K380">
        <v>594000</v>
      </c>
      <c r="L380">
        <v>556000</v>
      </c>
      <c r="M380">
        <v>600622</v>
      </c>
      <c r="N380">
        <v>342129964500</v>
      </c>
      <c r="O380">
        <v>132087115</v>
      </c>
      <c r="P380">
        <v>73704610170000</v>
      </c>
    </row>
    <row r="381" spans="1:16">
      <c r="A381" t="s">
        <v>29</v>
      </c>
      <c r="B381">
        <v>20260325</v>
      </c>
      <c r="C381">
        <v>402340</v>
      </c>
      <c r="D381" t="s">
        <v>30</v>
      </c>
      <c r="E381" t="s">
        <v>29</v>
      </c>
      <c r="F381" t="s">
        <v>17</v>
      </c>
      <c r="G381">
        <v>605000</v>
      </c>
      <c r="H381">
        <v>10000</v>
      </c>
      <c r="I381">
        <v>1.68</v>
      </c>
      <c r="J381">
        <v>614000</v>
      </c>
      <c r="K381">
        <v>633000</v>
      </c>
      <c r="L381">
        <v>602000</v>
      </c>
      <c r="M381">
        <v>521309</v>
      </c>
      <c r="N381">
        <v>319583766476</v>
      </c>
      <c r="O381">
        <v>132087115</v>
      </c>
      <c r="P381">
        <v>79912704575000</v>
      </c>
    </row>
    <row r="382" spans="1:16">
      <c r="A382" t="s">
        <v>29</v>
      </c>
      <c r="B382">
        <v>20260324</v>
      </c>
      <c r="C382">
        <v>402340</v>
      </c>
      <c r="D382" t="s">
        <v>30</v>
      </c>
      <c r="E382" t="s">
        <v>29</v>
      </c>
      <c r="F382" t="s">
        <v>17</v>
      </c>
      <c r="G382">
        <v>595000</v>
      </c>
      <c r="H382">
        <v>38000</v>
      </c>
      <c r="I382">
        <v>6.82</v>
      </c>
      <c r="J382">
        <v>591000</v>
      </c>
      <c r="K382">
        <v>598000</v>
      </c>
      <c r="L382">
        <v>564000</v>
      </c>
      <c r="M382">
        <v>679224</v>
      </c>
      <c r="N382">
        <v>397814307500</v>
      </c>
      <c r="O382">
        <v>132087115</v>
      </c>
      <c r="P382">
        <v>78591833425000</v>
      </c>
    </row>
    <row r="383" spans="1:16">
      <c r="A383" t="s">
        <v>29</v>
      </c>
      <c r="B383">
        <v>20260323</v>
      </c>
      <c r="C383">
        <v>402340</v>
      </c>
      <c r="D383" t="s">
        <v>30</v>
      </c>
      <c r="E383" t="s">
        <v>29</v>
      </c>
      <c r="F383" t="s">
        <v>17</v>
      </c>
      <c r="G383">
        <v>557000</v>
      </c>
      <c r="H383">
        <v>-51000</v>
      </c>
      <c r="I383">
        <v>-8.39</v>
      </c>
      <c r="J383">
        <v>564000</v>
      </c>
      <c r="K383">
        <v>571000</v>
      </c>
      <c r="L383">
        <v>536000</v>
      </c>
      <c r="M383">
        <v>779508</v>
      </c>
      <c r="N383">
        <v>432807846000</v>
      </c>
      <c r="O383">
        <v>132087115</v>
      </c>
      <c r="P383">
        <v>73572523055000</v>
      </c>
    </row>
    <row r="384" spans="1:16">
      <c r="A384" t="s">
        <v>29</v>
      </c>
      <c r="B384">
        <v>20260320</v>
      </c>
      <c r="C384">
        <v>402340</v>
      </c>
      <c r="D384" t="s">
        <v>30</v>
      </c>
      <c r="E384" t="s">
        <v>29</v>
      </c>
      <c r="F384" t="s">
        <v>17</v>
      </c>
      <c r="G384">
        <v>608000</v>
      </c>
      <c r="H384">
        <v>-3000</v>
      </c>
      <c r="I384">
        <v>-0.49</v>
      </c>
      <c r="J384">
        <v>617000</v>
      </c>
      <c r="K384">
        <v>618000</v>
      </c>
      <c r="L384">
        <v>595000</v>
      </c>
      <c r="M384">
        <v>656130</v>
      </c>
      <c r="N384">
        <v>397131736500</v>
      </c>
      <c r="O384">
        <v>132087115</v>
      </c>
      <c r="P384">
        <v>80308965920000</v>
      </c>
    </row>
    <row r="385" spans="1:16">
      <c r="A385" t="s">
        <v>29</v>
      </c>
      <c r="B385">
        <v>20260319</v>
      </c>
      <c r="C385">
        <v>402340</v>
      </c>
      <c r="D385" t="s">
        <v>30</v>
      </c>
      <c r="E385" t="s">
        <v>29</v>
      </c>
      <c r="F385" t="s">
        <v>17</v>
      </c>
      <c r="G385">
        <v>611000</v>
      </c>
      <c r="H385">
        <v>-19000</v>
      </c>
      <c r="I385">
        <v>-3.02</v>
      </c>
      <c r="J385">
        <v>606000</v>
      </c>
      <c r="K385">
        <v>627000</v>
      </c>
      <c r="L385">
        <v>600000</v>
      </c>
      <c r="M385">
        <v>399104</v>
      </c>
      <c r="N385">
        <v>244324009000</v>
      </c>
      <c r="O385">
        <v>132087115</v>
      </c>
      <c r="P385">
        <v>80705227265000</v>
      </c>
    </row>
    <row r="386" spans="1:16">
      <c r="A386" t="s">
        <v>29</v>
      </c>
      <c r="B386">
        <v>20260318</v>
      </c>
      <c r="C386">
        <v>402340</v>
      </c>
      <c r="D386" t="s">
        <v>30</v>
      </c>
      <c r="E386" t="s">
        <v>29</v>
      </c>
      <c r="F386" t="s">
        <v>17</v>
      </c>
      <c r="G386">
        <v>630000</v>
      </c>
      <c r="H386">
        <v>43000</v>
      </c>
      <c r="I386">
        <v>7.33</v>
      </c>
      <c r="J386">
        <v>612000</v>
      </c>
      <c r="K386">
        <v>637000</v>
      </c>
      <c r="L386">
        <v>608000</v>
      </c>
      <c r="M386">
        <v>559150</v>
      </c>
      <c r="N386">
        <v>348487375500</v>
      </c>
      <c r="O386">
        <v>132087115</v>
      </c>
      <c r="P386">
        <v>83214882450000</v>
      </c>
    </row>
    <row r="387" spans="1:16">
      <c r="A387" t="s">
        <v>29</v>
      </c>
      <c r="B387">
        <v>20260317</v>
      </c>
      <c r="C387">
        <v>402340</v>
      </c>
      <c r="D387" t="s">
        <v>30</v>
      </c>
      <c r="E387" t="s">
        <v>29</v>
      </c>
      <c r="F387" t="s">
        <v>17</v>
      </c>
      <c r="G387">
        <v>587000</v>
      </c>
      <c r="H387">
        <v>25000</v>
      </c>
      <c r="I387">
        <v>4.45</v>
      </c>
      <c r="J387">
        <v>589000</v>
      </c>
      <c r="K387">
        <v>608000</v>
      </c>
      <c r="L387">
        <v>580000</v>
      </c>
      <c r="M387">
        <v>479303</v>
      </c>
      <c r="N387">
        <v>285444734000</v>
      </c>
      <c r="O387">
        <v>132087115</v>
      </c>
      <c r="P387">
        <v>77535136505000</v>
      </c>
    </row>
    <row r="388" spans="1:16">
      <c r="A388" t="s">
        <v>29</v>
      </c>
      <c r="B388">
        <v>20260316</v>
      </c>
      <c r="C388">
        <v>402340</v>
      </c>
      <c r="D388" t="s">
        <v>30</v>
      </c>
      <c r="E388" t="s">
        <v>29</v>
      </c>
      <c r="F388" t="s">
        <v>17</v>
      </c>
      <c r="G388">
        <v>562000</v>
      </c>
      <c r="H388">
        <v>28000</v>
      </c>
      <c r="I388">
        <v>5.24</v>
      </c>
      <c r="J388">
        <v>536000</v>
      </c>
      <c r="K388">
        <v>571000</v>
      </c>
      <c r="L388">
        <v>532000</v>
      </c>
      <c r="M388">
        <v>523408</v>
      </c>
      <c r="N388">
        <v>288451545928</v>
      </c>
      <c r="O388">
        <v>132087115</v>
      </c>
      <c r="P388">
        <v>74232958630000</v>
      </c>
    </row>
    <row r="389" spans="1:16">
      <c r="A389" t="s">
        <v>29</v>
      </c>
      <c r="B389">
        <v>20260313</v>
      </c>
      <c r="C389">
        <v>402340</v>
      </c>
      <c r="D389" t="s">
        <v>30</v>
      </c>
      <c r="E389" t="s">
        <v>29</v>
      </c>
      <c r="F389" t="s">
        <v>17</v>
      </c>
      <c r="G389">
        <v>534000</v>
      </c>
      <c r="H389">
        <v>-20000</v>
      </c>
      <c r="I389">
        <v>-3.61</v>
      </c>
      <c r="J389">
        <v>530000</v>
      </c>
      <c r="K389">
        <v>544000</v>
      </c>
      <c r="L389">
        <v>517000</v>
      </c>
      <c r="M389">
        <v>420495</v>
      </c>
      <c r="N389">
        <v>224571439000</v>
      </c>
      <c r="O389">
        <v>132087115</v>
      </c>
      <c r="P389">
        <v>70534519410000</v>
      </c>
    </row>
    <row r="390" spans="1:16">
      <c r="A390" t="s">
        <v>29</v>
      </c>
      <c r="B390">
        <v>20260312</v>
      </c>
      <c r="C390">
        <v>402340</v>
      </c>
      <c r="D390" t="s">
        <v>30</v>
      </c>
      <c r="E390" t="s">
        <v>29</v>
      </c>
      <c r="F390" t="s">
        <v>17</v>
      </c>
      <c r="G390">
        <v>554000</v>
      </c>
      <c r="H390">
        <v>-11000</v>
      </c>
      <c r="I390">
        <v>-1.95</v>
      </c>
      <c r="J390">
        <v>550000</v>
      </c>
      <c r="K390">
        <v>567000</v>
      </c>
      <c r="L390">
        <v>546000</v>
      </c>
      <c r="M390">
        <v>351861</v>
      </c>
      <c r="N390">
        <v>195100909000</v>
      </c>
      <c r="O390">
        <v>132087115</v>
      </c>
      <c r="P390">
        <v>73176261710000</v>
      </c>
    </row>
    <row r="391" spans="1:16">
      <c r="A391" t="s">
        <v>29</v>
      </c>
      <c r="B391">
        <v>20260311</v>
      </c>
      <c r="C391">
        <v>402340</v>
      </c>
      <c r="D391" t="s">
        <v>30</v>
      </c>
      <c r="E391" t="s">
        <v>29</v>
      </c>
      <c r="F391" t="s">
        <v>17</v>
      </c>
      <c r="G391">
        <v>565000</v>
      </c>
      <c r="H391">
        <v>11000</v>
      </c>
      <c r="I391">
        <v>1.99</v>
      </c>
      <c r="J391">
        <v>575000</v>
      </c>
      <c r="K391">
        <v>593000</v>
      </c>
      <c r="L391">
        <v>557000</v>
      </c>
      <c r="M391">
        <v>342332</v>
      </c>
      <c r="N391">
        <v>197854399000</v>
      </c>
      <c r="O391">
        <v>132087115</v>
      </c>
      <c r="P391">
        <v>74629219975000</v>
      </c>
    </row>
    <row r="392" spans="1:16">
      <c r="A392" t="s">
        <v>29</v>
      </c>
      <c r="B392">
        <v>20260310</v>
      </c>
      <c r="C392">
        <v>402340</v>
      </c>
      <c r="D392" t="s">
        <v>30</v>
      </c>
      <c r="E392" t="s">
        <v>29</v>
      </c>
      <c r="F392" t="s">
        <v>17</v>
      </c>
      <c r="G392">
        <v>554000</v>
      </c>
      <c r="H392">
        <v>45000</v>
      </c>
      <c r="I392">
        <v>8.84</v>
      </c>
      <c r="J392">
        <v>549000</v>
      </c>
      <c r="K392">
        <v>568000</v>
      </c>
      <c r="L392">
        <v>535000</v>
      </c>
      <c r="M392">
        <v>505516</v>
      </c>
      <c r="N392">
        <v>278490921000</v>
      </c>
      <c r="O392">
        <v>132087115</v>
      </c>
      <c r="P392">
        <v>73176261710000</v>
      </c>
    </row>
    <row r="393" spans="1:16">
      <c r="A393" t="s">
        <v>29</v>
      </c>
      <c r="B393">
        <v>20260309</v>
      </c>
      <c r="C393">
        <v>402340</v>
      </c>
      <c r="D393" t="s">
        <v>30</v>
      </c>
      <c r="E393" t="s">
        <v>29</v>
      </c>
      <c r="F393" t="s">
        <v>17</v>
      </c>
      <c r="G393">
        <v>509000</v>
      </c>
      <c r="H393">
        <v>-44000</v>
      </c>
      <c r="I393">
        <v>-7.96</v>
      </c>
      <c r="J393">
        <v>498500</v>
      </c>
      <c r="K393">
        <v>512000</v>
      </c>
      <c r="L393">
        <v>485500</v>
      </c>
      <c r="M393">
        <v>742409</v>
      </c>
      <c r="N393">
        <v>369110846900</v>
      </c>
      <c r="O393">
        <v>132087115</v>
      </c>
      <c r="P393">
        <v>67232341535000</v>
      </c>
    </row>
    <row r="394" spans="1:16">
      <c r="A394" t="s">
        <v>29</v>
      </c>
      <c r="B394">
        <v>20260306</v>
      </c>
      <c r="C394">
        <v>402340</v>
      </c>
      <c r="D394" t="s">
        <v>30</v>
      </c>
      <c r="E394" t="s">
        <v>29</v>
      </c>
      <c r="F394" t="s">
        <v>17</v>
      </c>
      <c r="G394">
        <v>553000</v>
      </c>
      <c r="H394">
        <v>-13000</v>
      </c>
      <c r="I394">
        <v>-2.2999999999999998</v>
      </c>
      <c r="J394">
        <v>539000</v>
      </c>
      <c r="K394">
        <v>554000</v>
      </c>
      <c r="L394">
        <v>520500</v>
      </c>
      <c r="M394">
        <v>578081</v>
      </c>
      <c r="N394">
        <v>312432890000</v>
      </c>
      <c r="O394">
        <v>132087115</v>
      </c>
      <c r="P394">
        <v>73044174595000</v>
      </c>
    </row>
    <row r="395" spans="1:16">
      <c r="A395" t="s">
        <v>29</v>
      </c>
      <c r="B395">
        <v>20260305</v>
      </c>
      <c r="C395">
        <v>402340</v>
      </c>
      <c r="D395" t="s">
        <v>30</v>
      </c>
      <c r="E395" t="s">
        <v>29</v>
      </c>
      <c r="F395" t="s">
        <v>17</v>
      </c>
      <c r="G395">
        <v>566000</v>
      </c>
      <c r="H395">
        <v>59000</v>
      </c>
      <c r="I395">
        <v>11.64</v>
      </c>
      <c r="J395">
        <v>583000</v>
      </c>
      <c r="K395">
        <v>594000</v>
      </c>
      <c r="L395">
        <v>554000</v>
      </c>
      <c r="M395">
        <v>782233</v>
      </c>
      <c r="N395">
        <v>449905195000</v>
      </c>
      <c r="O395">
        <v>132087115</v>
      </c>
      <c r="P395">
        <v>74761307090000</v>
      </c>
    </row>
    <row r="396" spans="1:16">
      <c r="A396" t="s">
        <v>29</v>
      </c>
      <c r="B396">
        <v>20260304</v>
      </c>
      <c r="C396">
        <v>402340</v>
      </c>
      <c r="D396" t="s">
        <v>30</v>
      </c>
      <c r="E396" t="s">
        <v>29</v>
      </c>
      <c r="F396" t="s">
        <v>17</v>
      </c>
      <c r="G396">
        <v>507000</v>
      </c>
      <c r="H396">
        <v>-74000</v>
      </c>
      <c r="I396">
        <v>-12.74</v>
      </c>
      <c r="J396">
        <v>549000</v>
      </c>
      <c r="K396">
        <v>579000</v>
      </c>
      <c r="L396">
        <v>489000</v>
      </c>
      <c r="M396">
        <v>1146627</v>
      </c>
      <c r="N396">
        <v>604117597000</v>
      </c>
      <c r="O396">
        <v>132087115</v>
      </c>
      <c r="P396">
        <v>66968167305000</v>
      </c>
    </row>
    <row r="397" spans="1:16">
      <c r="A397" t="s">
        <v>29</v>
      </c>
      <c r="B397">
        <v>20260303</v>
      </c>
      <c r="C397">
        <v>402340</v>
      </c>
      <c r="D397" t="s">
        <v>30</v>
      </c>
      <c r="E397" t="s">
        <v>29</v>
      </c>
      <c r="F397" t="s">
        <v>17</v>
      </c>
      <c r="G397">
        <v>581000</v>
      </c>
      <c r="H397">
        <v>-64000</v>
      </c>
      <c r="I397">
        <v>-9.92</v>
      </c>
      <c r="J397">
        <v>642000</v>
      </c>
      <c r="K397">
        <v>643000</v>
      </c>
      <c r="L397">
        <v>578000</v>
      </c>
      <c r="M397">
        <v>694465</v>
      </c>
      <c r="N397">
        <v>422560386000</v>
      </c>
      <c r="O397">
        <v>132087115</v>
      </c>
      <c r="P397">
        <v>76742613815000</v>
      </c>
    </row>
    <row r="398" spans="1:16">
      <c r="A398" t="s">
        <v>29</v>
      </c>
      <c r="B398">
        <v>20260227</v>
      </c>
      <c r="C398">
        <v>402340</v>
      </c>
      <c r="D398" t="s">
        <v>30</v>
      </c>
      <c r="E398" t="s">
        <v>29</v>
      </c>
      <c r="F398" t="s">
        <v>17</v>
      </c>
      <c r="G398">
        <v>645000</v>
      </c>
      <c r="H398">
        <v>-34000</v>
      </c>
      <c r="I398">
        <v>-5.01</v>
      </c>
      <c r="J398">
        <v>654000</v>
      </c>
      <c r="K398">
        <v>676000</v>
      </c>
      <c r="L398">
        <v>636000</v>
      </c>
      <c r="M398">
        <v>1032548</v>
      </c>
      <c r="N398">
        <v>670634356055</v>
      </c>
      <c r="O398">
        <v>132087115</v>
      </c>
      <c r="P398">
        <v>85196189175000</v>
      </c>
    </row>
    <row r="399" spans="1:16">
      <c r="A399" t="s">
        <v>29</v>
      </c>
      <c r="B399">
        <v>20260226</v>
      </c>
      <c r="C399">
        <v>402340</v>
      </c>
      <c r="D399" t="s">
        <v>30</v>
      </c>
      <c r="E399" t="s">
        <v>29</v>
      </c>
      <c r="F399" t="s">
        <v>17</v>
      </c>
      <c r="G399">
        <v>679000</v>
      </c>
      <c r="H399">
        <v>32000</v>
      </c>
      <c r="I399">
        <v>4.95</v>
      </c>
      <c r="J399">
        <v>659000</v>
      </c>
      <c r="K399">
        <v>681000</v>
      </c>
      <c r="L399">
        <v>648000</v>
      </c>
      <c r="M399">
        <v>778181</v>
      </c>
      <c r="N399">
        <v>515895204541</v>
      </c>
      <c r="O399">
        <v>132087115</v>
      </c>
      <c r="P399">
        <v>89687151085000</v>
      </c>
    </row>
    <row r="400" spans="1:16">
      <c r="A400" t="s">
        <v>29</v>
      </c>
      <c r="B400">
        <v>20260225</v>
      </c>
      <c r="C400">
        <v>402340</v>
      </c>
      <c r="D400" t="s">
        <v>30</v>
      </c>
      <c r="E400" t="s">
        <v>29</v>
      </c>
      <c r="F400" t="s">
        <v>17</v>
      </c>
      <c r="G400">
        <v>647000</v>
      </c>
      <c r="H400">
        <v>30000</v>
      </c>
      <c r="I400">
        <v>4.8600000000000003</v>
      </c>
      <c r="J400">
        <v>630000</v>
      </c>
      <c r="K400">
        <v>660000</v>
      </c>
      <c r="L400">
        <v>621000</v>
      </c>
      <c r="M400">
        <v>673059</v>
      </c>
      <c r="N400">
        <v>432135910884</v>
      </c>
      <c r="O400">
        <v>132087115</v>
      </c>
      <c r="P400">
        <v>85460363405000</v>
      </c>
    </row>
    <row r="401" spans="1:16">
      <c r="A401" t="s">
        <v>29</v>
      </c>
      <c r="B401">
        <v>20260224</v>
      </c>
      <c r="C401">
        <v>402340</v>
      </c>
      <c r="D401" t="s">
        <v>30</v>
      </c>
      <c r="E401" t="s">
        <v>29</v>
      </c>
      <c r="F401" t="s">
        <v>17</v>
      </c>
      <c r="G401">
        <v>617000</v>
      </c>
      <c r="H401">
        <v>37000</v>
      </c>
      <c r="I401">
        <v>6.38</v>
      </c>
      <c r="J401">
        <v>577000</v>
      </c>
      <c r="K401">
        <v>634000</v>
      </c>
      <c r="L401">
        <v>572000</v>
      </c>
      <c r="M401">
        <v>712701</v>
      </c>
      <c r="N401">
        <v>437672237632</v>
      </c>
      <c r="O401">
        <v>132087115</v>
      </c>
      <c r="P401">
        <v>81497749955000</v>
      </c>
    </row>
    <row r="402" spans="1:16">
      <c r="A402" t="s">
        <v>29</v>
      </c>
      <c r="B402">
        <v>20260223</v>
      </c>
      <c r="C402">
        <v>402340</v>
      </c>
      <c r="D402" t="s">
        <v>30</v>
      </c>
      <c r="E402" t="s">
        <v>29</v>
      </c>
      <c r="F402" t="s">
        <v>17</v>
      </c>
      <c r="G402">
        <v>580000</v>
      </c>
      <c r="H402">
        <v>0</v>
      </c>
      <c r="I402">
        <v>0</v>
      </c>
      <c r="J402">
        <v>590000</v>
      </c>
      <c r="K402">
        <v>597000</v>
      </c>
      <c r="L402">
        <v>564000</v>
      </c>
      <c r="M402">
        <v>551340</v>
      </c>
      <c r="N402">
        <v>319359144000</v>
      </c>
      <c r="O402">
        <v>132087115</v>
      </c>
      <c r="P402">
        <v>76610526700000</v>
      </c>
    </row>
    <row r="403" spans="1:16">
      <c r="A403" t="s">
        <v>29</v>
      </c>
      <c r="B403">
        <v>20260220</v>
      </c>
      <c r="C403">
        <v>402340</v>
      </c>
      <c r="D403" t="s">
        <v>30</v>
      </c>
      <c r="E403" t="s">
        <v>29</v>
      </c>
      <c r="F403" t="s">
        <v>17</v>
      </c>
      <c r="G403">
        <v>580000</v>
      </c>
      <c r="H403">
        <v>14000</v>
      </c>
      <c r="I403">
        <v>2.4700000000000002</v>
      </c>
      <c r="J403">
        <v>566000</v>
      </c>
      <c r="K403">
        <v>585000</v>
      </c>
      <c r="L403">
        <v>547000</v>
      </c>
      <c r="M403">
        <v>731445</v>
      </c>
      <c r="N403">
        <v>415838797500</v>
      </c>
      <c r="O403">
        <v>132087115</v>
      </c>
      <c r="P403">
        <v>76610526700000</v>
      </c>
    </row>
    <row r="404" spans="1:16">
      <c r="A404" t="s">
        <v>29</v>
      </c>
      <c r="B404">
        <v>20260219</v>
      </c>
      <c r="C404">
        <v>402340</v>
      </c>
      <c r="D404" t="s">
        <v>30</v>
      </c>
      <c r="E404" t="s">
        <v>29</v>
      </c>
      <c r="F404" t="s">
        <v>17</v>
      </c>
      <c r="G404">
        <v>566000</v>
      </c>
      <c r="H404">
        <v>8000</v>
      </c>
      <c r="I404">
        <v>1.43</v>
      </c>
      <c r="J404">
        <v>589000</v>
      </c>
      <c r="K404">
        <v>590000</v>
      </c>
      <c r="L404">
        <v>562000</v>
      </c>
      <c r="M404">
        <v>493870</v>
      </c>
      <c r="N404">
        <v>283006683000</v>
      </c>
      <c r="O404">
        <v>132087115</v>
      </c>
      <c r="P404">
        <v>74761307090000</v>
      </c>
    </row>
    <row r="405" spans="1:16">
      <c r="A405" t="s">
        <v>29</v>
      </c>
      <c r="B405">
        <v>20260213</v>
      </c>
      <c r="C405">
        <v>402340</v>
      </c>
      <c r="D405" t="s">
        <v>30</v>
      </c>
      <c r="E405" t="s">
        <v>29</v>
      </c>
      <c r="F405" t="s">
        <v>17</v>
      </c>
      <c r="G405">
        <v>558000</v>
      </c>
      <c r="H405">
        <v>-12000</v>
      </c>
      <c r="I405">
        <v>-2.11</v>
      </c>
      <c r="J405">
        <v>565000</v>
      </c>
      <c r="K405">
        <v>586000</v>
      </c>
      <c r="L405">
        <v>557000</v>
      </c>
      <c r="M405">
        <v>457489</v>
      </c>
      <c r="N405">
        <v>260925471500</v>
      </c>
      <c r="O405">
        <v>132087115</v>
      </c>
      <c r="P405">
        <v>73704610170000</v>
      </c>
    </row>
    <row r="406" spans="1:16">
      <c r="A406" t="s">
        <v>29</v>
      </c>
      <c r="B406">
        <v>20260212</v>
      </c>
      <c r="C406">
        <v>402340</v>
      </c>
      <c r="D406" t="s">
        <v>30</v>
      </c>
      <c r="E406" t="s">
        <v>29</v>
      </c>
      <c r="F406" t="s">
        <v>17</v>
      </c>
      <c r="G406">
        <v>570000</v>
      </c>
      <c r="H406">
        <v>38000</v>
      </c>
      <c r="I406">
        <v>7.14</v>
      </c>
      <c r="J406">
        <v>555000</v>
      </c>
      <c r="K406">
        <v>570000</v>
      </c>
      <c r="L406">
        <v>548000</v>
      </c>
      <c r="M406">
        <v>747204</v>
      </c>
      <c r="N406">
        <v>420752811934</v>
      </c>
      <c r="O406">
        <v>132087115</v>
      </c>
      <c r="P406">
        <v>75289655550000</v>
      </c>
    </row>
    <row r="407" spans="1:16">
      <c r="A407" t="s">
        <v>29</v>
      </c>
      <c r="B407">
        <v>20260211</v>
      </c>
      <c r="C407">
        <v>402340</v>
      </c>
      <c r="D407" t="s">
        <v>30</v>
      </c>
      <c r="E407" t="s">
        <v>29</v>
      </c>
      <c r="F407" t="s">
        <v>17</v>
      </c>
      <c r="G407">
        <v>532000</v>
      </c>
      <c r="H407">
        <v>-11000</v>
      </c>
      <c r="I407">
        <v>-2.0299999999999998</v>
      </c>
      <c r="J407">
        <v>540000</v>
      </c>
      <c r="K407">
        <v>542000</v>
      </c>
      <c r="L407">
        <v>523000</v>
      </c>
      <c r="M407">
        <v>395925</v>
      </c>
      <c r="N407">
        <v>211587199500</v>
      </c>
      <c r="O407">
        <v>132087115</v>
      </c>
      <c r="P407">
        <v>70270345180000</v>
      </c>
    </row>
    <row r="408" spans="1:16">
      <c r="A408" t="s">
        <v>29</v>
      </c>
      <c r="B408">
        <v>20260210</v>
      </c>
      <c r="C408">
        <v>402340</v>
      </c>
      <c r="D408" t="s">
        <v>30</v>
      </c>
      <c r="E408" t="s">
        <v>29</v>
      </c>
      <c r="F408" t="s">
        <v>17</v>
      </c>
      <c r="G408">
        <v>543000</v>
      </c>
      <c r="H408">
        <v>-20000</v>
      </c>
      <c r="I408">
        <v>-3.55</v>
      </c>
      <c r="J408">
        <v>570000</v>
      </c>
      <c r="K408">
        <v>574000</v>
      </c>
      <c r="L408">
        <v>538000</v>
      </c>
      <c r="M408">
        <v>534386</v>
      </c>
      <c r="N408">
        <v>295205381435</v>
      </c>
      <c r="O408">
        <v>132087115</v>
      </c>
      <c r="P408">
        <v>71723303445000</v>
      </c>
    </row>
    <row r="409" spans="1:16">
      <c r="A409" t="s">
        <v>29</v>
      </c>
      <c r="B409">
        <v>20260209</v>
      </c>
      <c r="C409">
        <v>402340</v>
      </c>
      <c r="D409" t="s">
        <v>30</v>
      </c>
      <c r="E409" t="s">
        <v>29</v>
      </c>
      <c r="F409" t="s">
        <v>17</v>
      </c>
      <c r="G409">
        <v>563000</v>
      </c>
      <c r="H409">
        <v>49000</v>
      </c>
      <c r="I409">
        <v>9.5299999999999994</v>
      </c>
      <c r="J409">
        <v>548000</v>
      </c>
      <c r="K409">
        <v>577000</v>
      </c>
      <c r="L409">
        <v>543000</v>
      </c>
      <c r="M409">
        <v>873884</v>
      </c>
      <c r="N409">
        <v>494357961000</v>
      </c>
      <c r="O409">
        <v>132087115</v>
      </c>
      <c r="P409">
        <v>74365045745000</v>
      </c>
    </row>
    <row r="410" spans="1:16">
      <c r="A410" t="s">
        <v>29</v>
      </c>
      <c r="B410">
        <v>20260206</v>
      </c>
      <c r="C410">
        <v>402340</v>
      </c>
      <c r="D410" t="s">
        <v>30</v>
      </c>
      <c r="E410" t="s">
        <v>29</v>
      </c>
      <c r="F410" t="s">
        <v>17</v>
      </c>
      <c r="G410">
        <v>514000</v>
      </c>
      <c r="H410">
        <v>-20000</v>
      </c>
      <c r="I410">
        <v>-3.75</v>
      </c>
      <c r="J410">
        <v>510000</v>
      </c>
      <c r="K410">
        <v>523000</v>
      </c>
      <c r="L410">
        <v>492000</v>
      </c>
      <c r="M410">
        <v>1175181</v>
      </c>
      <c r="N410">
        <v>596353753685</v>
      </c>
      <c r="O410">
        <v>132087115</v>
      </c>
      <c r="P410">
        <v>67892777110000</v>
      </c>
    </row>
    <row r="411" spans="1:16">
      <c r="A411" t="s">
        <v>29</v>
      </c>
      <c r="B411">
        <v>20260205</v>
      </c>
      <c r="C411">
        <v>402340</v>
      </c>
      <c r="D411" t="s">
        <v>30</v>
      </c>
      <c r="E411" t="s">
        <v>29</v>
      </c>
      <c r="F411" t="s">
        <v>17</v>
      </c>
      <c r="G411">
        <v>534000</v>
      </c>
      <c r="H411">
        <v>-35000</v>
      </c>
      <c r="I411">
        <v>-6.15</v>
      </c>
      <c r="J411">
        <v>523000</v>
      </c>
      <c r="K411">
        <v>561000</v>
      </c>
      <c r="L411">
        <v>523000</v>
      </c>
      <c r="M411">
        <v>1108307</v>
      </c>
      <c r="N411">
        <v>597219636500</v>
      </c>
      <c r="O411">
        <v>132087115</v>
      </c>
      <c r="P411">
        <v>70534519410000</v>
      </c>
    </row>
    <row r="412" spans="1:16">
      <c r="A412" t="s">
        <v>29</v>
      </c>
      <c r="B412">
        <v>20260204</v>
      </c>
      <c r="C412">
        <v>402340</v>
      </c>
      <c r="D412" t="s">
        <v>30</v>
      </c>
      <c r="E412" t="s">
        <v>29</v>
      </c>
      <c r="F412" t="s">
        <v>17</v>
      </c>
      <c r="G412">
        <v>569000</v>
      </c>
      <c r="H412">
        <v>23000</v>
      </c>
      <c r="I412">
        <v>4.21</v>
      </c>
      <c r="J412">
        <v>542000</v>
      </c>
      <c r="K412">
        <v>576000</v>
      </c>
      <c r="L412">
        <v>532000</v>
      </c>
      <c r="M412">
        <v>1009177</v>
      </c>
      <c r="N412">
        <v>568459007720</v>
      </c>
      <c r="O412">
        <v>132087115</v>
      </c>
      <c r="P412">
        <v>75157568435000</v>
      </c>
    </row>
    <row r="413" spans="1:16">
      <c r="A413" t="s">
        <v>29</v>
      </c>
      <c r="B413">
        <v>20260203</v>
      </c>
      <c r="C413">
        <v>402340</v>
      </c>
      <c r="D413" t="s">
        <v>30</v>
      </c>
      <c r="E413" t="s">
        <v>29</v>
      </c>
      <c r="F413" t="s">
        <v>17</v>
      </c>
      <c r="G413">
        <v>546000</v>
      </c>
      <c r="H413">
        <v>41000</v>
      </c>
      <c r="I413">
        <v>8.1199999999999992</v>
      </c>
      <c r="J413">
        <v>542000</v>
      </c>
      <c r="K413">
        <v>549000</v>
      </c>
      <c r="L413">
        <v>522000</v>
      </c>
      <c r="M413">
        <v>1374761</v>
      </c>
      <c r="N413">
        <v>740106474784</v>
      </c>
      <c r="O413">
        <v>132087115</v>
      </c>
      <c r="P413">
        <v>72119564790000</v>
      </c>
    </row>
    <row r="414" spans="1:16">
      <c r="A414" t="s">
        <v>29</v>
      </c>
      <c r="B414">
        <v>20260202</v>
      </c>
      <c r="C414">
        <v>402340</v>
      </c>
      <c r="D414" t="s">
        <v>30</v>
      </c>
      <c r="E414" t="s">
        <v>29</v>
      </c>
      <c r="F414" t="s">
        <v>17</v>
      </c>
      <c r="G414">
        <v>505000</v>
      </c>
      <c r="H414">
        <v>-65000</v>
      </c>
      <c r="I414">
        <v>-11.4</v>
      </c>
      <c r="J414">
        <v>537000</v>
      </c>
      <c r="K414">
        <v>557000</v>
      </c>
      <c r="L414">
        <v>493500</v>
      </c>
      <c r="M414">
        <v>1337758</v>
      </c>
      <c r="N414">
        <v>693950199485</v>
      </c>
      <c r="O414">
        <v>132087115</v>
      </c>
      <c r="P414">
        <v>66703993075000</v>
      </c>
    </row>
    <row r="415" spans="1:16">
      <c r="A415" t="s">
        <v>29</v>
      </c>
      <c r="B415">
        <v>20260130</v>
      </c>
      <c r="C415">
        <v>402340</v>
      </c>
      <c r="D415" t="s">
        <v>30</v>
      </c>
      <c r="E415" t="s">
        <v>29</v>
      </c>
      <c r="F415" t="s">
        <v>17</v>
      </c>
      <c r="G415">
        <v>570000</v>
      </c>
      <c r="H415">
        <v>39000</v>
      </c>
      <c r="I415">
        <v>7.34</v>
      </c>
      <c r="J415">
        <v>524000</v>
      </c>
      <c r="K415">
        <v>581000</v>
      </c>
      <c r="L415">
        <v>520000</v>
      </c>
      <c r="M415">
        <v>895623</v>
      </c>
      <c r="N415">
        <v>501262513000</v>
      </c>
      <c r="O415">
        <v>132087115</v>
      </c>
      <c r="P415">
        <v>75289655550000</v>
      </c>
    </row>
    <row r="416" spans="1:16">
      <c r="A416" t="s">
        <v>29</v>
      </c>
      <c r="B416">
        <v>20260129</v>
      </c>
      <c r="C416">
        <v>402340</v>
      </c>
      <c r="D416" t="s">
        <v>30</v>
      </c>
      <c r="E416" t="s">
        <v>29</v>
      </c>
      <c r="F416" t="s">
        <v>17</v>
      </c>
      <c r="G416">
        <v>531000</v>
      </c>
      <c r="H416">
        <v>27000</v>
      </c>
      <c r="I416">
        <v>5.36</v>
      </c>
      <c r="J416">
        <v>528000</v>
      </c>
      <c r="K416">
        <v>536000</v>
      </c>
      <c r="L416">
        <v>500000</v>
      </c>
      <c r="M416">
        <v>858102</v>
      </c>
      <c r="N416">
        <v>448814728981</v>
      </c>
      <c r="O416">
        <v>132087115</v>
      </c>
      <c r="P416">
        <v>70138258065000</v>
      </c>
    </row>
    <row r="417" spans="1:16">
      <c r="A417" t="s">
        <v>29</v>
      </c>
      <c r="B417">
        <v>20260128</v>
      </c>
      <c r="C417">
        <v>402340</v>
      </c>
      <c r="D417" t="s">
        <v>30</v>
      </c>
      <c r="E417" t="s">
        <v>29</v>
      </c>
      <c r="F417" t="s">
        <v>17</v>
      </c>
      <c r="G417">
        <v>504000</v>
      </c>
      <c r="H417">
        <v>31000</v>
      </c>
      <c r="I417">
        <v>6.55</v>
      </c>
      <c r="J417">
        <v>482000</v>
      </c>
      <c r="K417">
        <v>507000</v>
      </c>
      <c r="L417">
        <v>476500</v>
      </c>
      <c r="M417">
        <v>536054</v>
      </c>
      <c r="N417">
        <v>265683142977</v>
      </c>
      <c r="O417">
        <v>132087115</v>
      </c>
      <c r="P417">
        <v>66571905960000</v>
      </c>
    </row>
    <row r="418" spans="1:16">
      <c r="A418" t="s">
        <v>29</v>
      </c>
      <c r="B418">
        <v>20260127</v>
      </c>
      <c r="C418">
        <v>402340</v>
      </c>
      <c r="D418" t="s">
        <v>30</v>
      </c>
      <c r="E418" t="s">
        <v>29</v>
      </c>
      <c r="F418" t="s">
        <v>17</v>
      </c>
      <c r="G418">
        <v>473000</v>
      </c>
      <c r="H418">
        <v>32000</v>
      </c>
      <c r="I418">
        <v>7.26</v>
      </c>
      <c r="J418">
        <v>444500</v>
      </c>
      <c r="K418">
        <v>483500</v>
      </c>
      <c r="L418">
        <v>436500</v>
      </c>
      <c r="M418">
        <v>676907</v>
      </c>
      <c r="N418">
        <v>317098315000</v>
      </c>
      <c r="O418">
        <v>132087115</v>
      </c>
      <c r="P418">
        <v>62477205395000</v>
      </c>
    </row>
    <row r="419" spans="1:16">
      <c r="A419" t="s">
        <v>29</v>
      </c>
      <c r="B419">
        <v>20260126</v>
      </c>
      <c r="C419">
        <v>402340</v>
      </c>
      <c r="D419" t="s">
        <v>30</v>
      </c>
      <c r="E419" t="s">
        <v>29</v>
      </c>
      <c r="F419" t="s">
        <v>17</v>
      </c>
      <c r="G419">
        <v>441000</v>
      </c>
      <c r="H419">
        <v>-4500</v>
      </c>
      <c r="I419">
        <v>-1.01</v>
      </c>
      <c r="J419">
        <v>442500</v>
      </c>
      <c r="K419">
        <v>447000</v>
      </c>
      <c r="L419">
        <v>435000</v>
      </c>
      <c r="M419">
        <v>334124</v>
      </c>
      <c r="N419">
        <v>147656257001</v>
      </c>
      <c r="O419">
        <v>132087115</v>
      </c>
      <c r="P419">
        <v>58250417715000</v>
      </c>
    </row>
    <row r="420" spans="1:16">
      <c r="A420" t="s">
        <v>29</v>
      </c>
      <c r="B420">
        <v>20260123</v>
      </c>
      <c r="C420">
        <v>402340</v>
      </c>
      <c r="D420" t="s">
        <v>30</v>
      </c>
      <c r="E420" t="s">
        <v>29</v>
      </c>
      <c r="F420" t="s">
        <v>17</v>
      </c>
      <c r="G420">
        <v>445500</v>
      </c>
      <c r="H420">
        <v>-1000</v>
      </c>
      <c r="I420">
        <v>-0.22</v>
      </c>
      <c r="J420">
        <v>451000</v>
      </c>
      <c r="K420">
        <v>451500</v>
      </c>
      <c r="L420">
        <v>434500</v>
      </c>
      <c r="M420">
        <v>322700</v>
      </c>
      <c r="N420">
        <v>142825533000</v>
      </c>
      <c r="O420">
        <v>132087115</v>
      </c>
      <c r="P420">
        <v>58844809732500</v>
      </c>
    </row>
    <row r="421" spans="1:16">
      <c r="A421" t="s">
        <v>29</v>
      </c>
      <c r="B421">
        <v>20260122</v>
      </c>
      <c r="C421">
        <v>402340</v>
      </c>
      <c r="D421" t="s">
        <v>30</v>
      </c>
      <c r="E421" t="s">
        <v>29</v>
      </c>
      <c r="F421" t="s">
        <v>17</v>
      </c>
      <c r="G421">
        <v>446500</v>
      </c>
      <c r="H421">
        <v>16500</v>
      </c>
      <c r="I421">
        <v>3.84</v>
      </c>
      <c r="J421">
        <v>430500</v>
      </c>
      <c r="K421">
        <v>466000</v>
      </c>
      <c r="L421">
        <v>430000</v>
      </c>
      <c r="M421">
        <v>572111</v>
      </c>
      <c r="N421">
        <v>256890598184</v>
      </c>
      <c r="O421">
        <v>132087115</v>
      </c>
      <c r="P421">
        <v>58976896847500</v>
      </c>
    </row>
    <row r="422" spans="1:16">
      <c r="A422" t="s">
        <v>29</v>
      </c>
      <c r="B422">
        <v>20260121</v>
      </c>
      <c r="C422">
        <v>402340</v>
      </c>
      <c r="D422" t="s">
        <v>30</v>
      </c>
      <c r="E422" t="s">
        <v>29</v>
      </c>
      <c r="F422" t="s">
        <v>17</v>
      </c>
      <c r="G422">
        <v>430000</v>
      </c>
      <c r="H422">
        <v>3000</v>
      </c>
      <c r="I422">
        <v>0.7</v>
      </c>
      <c r="J422">
        <v>422000</v>
      </c>
      <c r="K422">
        <v>438000</v>
      </c>
      <c r="L422">
        <v>413500</v>
      </c>
      <c r="M422">
        <v>406209</v>
      </c>
      <c r="N422">
        <v>174274278750</v>
      </c>
      <c r="O422">
        <v>132087115</v>
      </c>
      <c r="P422">
        <v>56797459450000</v>
      </c>
    </row>
    <row r="423" spans="1:16">
      <c r="A423" t="s">
        <v>29</v>
      </c>
      <c r="B423">
        <v>20260120</v>
      </c>
      <c r="C423">
        <v>402340</v>
      </c>
      <c r="D423" t="s">
        <v>30</v>
      </c>
      <c r="E423" t="s">
        <v>29</v>
      </c>
      <c r="F423" t="s">
        <v>17</v>
      </c>
      <c r="G423">
        <v>427000</v>
      </c>
      <c r="H423">
        <v>-8500</v>
      </c>
      <c r="I423">
        <v>-1.95</v>
      </c>
      <c r="J423">
        <v>431000</v>
      </c>
      <c r="K423">
        <v>439000</v>
      </c>
      <c r="L423">
        <v>424000</v>
      </c>
      <c r="M423">
        <v>389355</v>
      </c>
      <c r="N423">
        <v>167117009042</v>
      </c>
      <c r="O423">
        <v>132087115</v>
      </c>
      <c r="P423">
        <v>56401198105000</v>
      </c>
    </row>
    <row r="424" spans="1:16">
      <c r="A424" t="s">
        <v>29</v>
      </c>
      <c r="B424">
        <v>20260119</v>
      </c>
      <c r="C424">
        <v>402340</v>
      </c>
      <c r="D424" t="s">
        <v>30</v>
      </c>
      <c r="E424" t="s">
        <v>29</v>
      </c>
      <c r="F424" t="s">
        <v>17</v>
      </c>
      <c r="G424">
        <v>435500</v>
      </c>
      <c r="H424">
        <v>-11000</v>
      </c>
      <c r="I424">
        <v>-2.46</v>
      </c>
      <c r="J424">
        <v>439500</v>
      </c>
      <c r="K424">
        <v>443500</v>
      </c>
      <c r="L424">
        <v>425000</v>
      </c>
      <c r="M424">
        <v>434118</v>
      </c>
      <c r="N424">
        <v>188523656750</v>
      </c>
      <c r="O424">
        <v>132087115</v>
      </c>
      <c r="P424">
        <v>57523938582500</v>
      </c>
    </row>
    <row r="425" spans="1:16">
      <c r="A425" t="s">
        <v>29</v>
      </c>
      <c r="B425">
        <v>20260116</v>
      </c>
      <c r="C425">
        <v>402340</v>
      </c>
      <c r="D425" t="s">
        <v>30</v>
      </c>
      <c r="E425" t="s">
        <v>29</v>
      </c>
      <c r="F425" t="s">
        <v>17</v>
      </c>
      <c r="G425">
        <v>446500</v>
      </c>
      <c r="H425">
        <v>17000</v>
      </c>
      <c r="I425">
        <v>3.96</v>
      </c>
      <c r="J425">
        <v>430500</v>
      </c>
      <c r="K425">
        <v>452000</v>
      </c>
      <c r="L425">
        <v>424500</v>
      </c>
      <c r="M425">
        <v>501455</v>
      </c>
      <c r="N425">
        <v>220260564500</v>
      </c>
      <c r="O425">
        <v>132087115</v>
      </c>
      <c r="P425">
        <v>58976896847500</v>
      </c>
    </row>
    <row r="426" spans="1:16">
      <c r="A426" t="s">
        <v>29</v>
      </c>
      <c r="B426">
        <v>20260115</v>
      </c>
      <c r="C426">
        <v>402340</v>
      </c>
      <c r="D426" t="s">
        <v>30</v>
      </c>
      <c r="E426" t="s">
        <v>29</v>
      </c>
      <c r="F426" t="s">
        <v>17</v>
      </c>
      <c r="G426">
        <v>429500</v>
      </c>
      <c r="H426">
        <v>-6000</v>
      </c>
      <c r="I426">
        <v>-1.38</v>
      </c>
      <c r="J426">
        <v>428500</v>
      </c>
      <c r="K426">
        <v>434000</v>
      </c>
      <c r="L426">
        <v>418500</v>
      </c>
      <c r="M426">
        <v>383174</v>
      </c>
      <c r="N426">
        <v>162872400000</v>
      </c>
      <c r="O426">
        <v>132087115</v>
      </c>
      <c r="P426">
        <v>56731415892500</v>
      </c>
    </row>
    <row r="427" spans="1:16">
      <c r="A427" t="s">
        <v>29</v>
      </c>
      <c r="B427">
        <v>20260114</v>
      </c>
      <c r="C427">
        <v>402340</v>
      </c>
      <c r="D427" t="s">
        <v>30</v>
      </c>
      <c r="E427" t="s">
        <v>29</v>
      </c>
      <c r="F427" t="s">
        <v>17</v>
      </c>
      <c r="G427">
        <v>435500</v>
      </c>
      <c r="H427">
        <v>9000</v>
      </c>
      <c r="I427">
        <v>2.11</v>
      </c>
      <c r="J427">
        <v>430000</v>
      </c>
      <c r="K427">
        <v>437000</v>
      </c>
      <c r="L427">
        <v>420000</v>
      </c>
      <c r="M427">
        <v>352280</v>
      </c>
      <c r="N427">
        <v>150912070500</v>
      </c>
      <c r="O427">
        <v>132087115</v>
      </c>
      <c r="P427">
        <v>57523938582500</v>
      </c>
    </row>
    <row r="428" spans="1:16">
      <c r="A428" t="s">
        <v>29</v>
      </c>
      <c r="B428">
        <v>20260113</v>
      </c>
      <c r="C428">
        <v>402340</v>
      </c>
      <c r="D428" t="s">
        <v>30</v>
      </c>
      <c r="E428" t="s">
        <v>29</v>
      </c>
      <c r="F428" t="s">
        <v>17</v>
      </c>
      <c r="G428">
        <v>426500</v>
      </c>
      <c r="H428">
        <v>-1000</v>
      </c>
      <c r="I428">
        <v>-0.23</v>
      </c>
      <c r="J428">
        <v>431500</v>
      </c>
      <c r="K428">
        <v>435000</v>
      </c>
      <c r="L428">
        <v>418000</v>
      </c>
      <c r="M428">
        <v>285414</v>
      </c>
      <c r="N428">
        <v>121343532500</v>
      </c>
      <c r="O428">
        <v>132087115</v>
      </c>
      <c r="P428">
        <v>56335154547500</v>
      </c>
    </row>
    <row r="429" spans="1:16">
      <c r="A429" t="s">
        <v>29</v>
      </c>
      <c r="B429">
        <v>20260112</v>
      </c>
      <c r="C429">
        <v>402340</v>
      </c>
      <c r="D429" t="s">
        <v>30</v>
      </c>
      <c r="E429" t="s">
        <v>29</v>
      </c>
      <c r="F429" t="s">
        <v>17</v>
      </c>
      <c r="G429">
        <v>427500</v>
      </c>
      <c r="H429">
        <v>-3000</v>
      </c>
      <c r="I429">
        <v>-0.7</v>
      </c>
      <c r="J429">
        <v>436500</v>
      </c>
      <c r="K429">
        <v>440000</v>
      </c>
      <c r="L429">
        <v>418500</v>
      </c>
      <c r="M429">
        <v>345451</v>
      </c>
      <c r="N429">
        <v>147633479750</v>
      </c>
      <c r="O429">
        <v>132087115</v>
      </c>
      <c r="P429">
        <v>56467241662500</v>
      </c>
    </row>
    <row r="430" spans="1:16">
      <c r="A430" t="s">
        <v>29</v>
      </c>
      <c r="B430">
        <v>20260109</v>
      </c>
      <c r="C430">
        <v>402340</v>
      </c>
      <c r="D430" t="s">
        <v>30</v>
      </c>
      <c r="E430" t="s">
        <v>29</v>
      </c>
      <c r="F430" t="s">
        <v>17</v>
      </c>
      <c r="G430">
        <v>430500</v>
      </c>
      <c r="H430">
        <v>0</v>
      </c>
      <c r="I430">
        <v>0</v>
      </c>
      <c r="J430">
        <v>424000</v>
      </c>
      <c r="K430">
        <v>433500</v>
      </c>
      <c r="L430">
        <v>416000</v>
      </c>
      <c r="M430">
        <v>422888</v>
      </c>
      <c r="N430">
        <v>180211888500</v>
      </c>
      <c r="O430">
        <v>132087115</v>
      </c>
      <c r="P430">
        <v>56863503007500</v>
      </c>
    </row>
    <row r="431" spans="1:16">
      <c r="A431" t="s">
        <v>29</v>
      </c>
      <c r="B431">
        <v>20260108</v>
      </c>
      <c r="C431">
        <v>402340</v>
      </c>
      <c r="D431" t="s">
        <v>30</v>
      </c>
      <c r="E431" t="s">
        <v>29</v>
      </c>
      <c r="F431" t="s">
        <v>17</v>
      </c>
      <c r="G431">
        <v>430500</v>
      </c>
      <c r="H431">
        <v>1000</v>
      </c>
      <c r="I431">
        <v>0.23</v>
      </c>
      <c r="J431">
        <v>425000</v>
      </c>
      <c r="K431">
        <v>446000</v>
      </c>
      <c r="L431">
        <v>420500</v>
      </c>
      <c r="M431">
        <v>674047</v>
      </c>
      <c r="N431">
        <v>291081302750</v>
      </c>
      <c r="O431">
        <v>132087115</v>
      </c>
      <c r="P431">
        <v>56863503007500</v>
      </c>
    </row>
    <row r="432" spans="1:16">
      <c r="A432" t="s">
        <v>29</v>
      </c>
      <c r="B432">
        <v>20260107</v>
      </c>
      <c r="C432">
        <v>402340</v>
      </c>
      <c r="D432" t="s">
        <v>30</v>
      </c>
      <c r="E432" t="s">
        <v>29</v>
      </c>
      <c r="F432" t="s">
        <v>17</v>
      </c>
      <c r="G432">
        <v>429500</v>
      </c>
      <c r="H432">
        <v>-2500</v>
      </c>
      <c r="I432">
        <v>-0.57999999999999996</v>
      </c>
      <c r="J432">
        <v>434000</v>
      </c>
      <c r="K432">
        <v>450500</v>
      </c>
      <c r="L432">
        <v>420500</v>
      </c>
      <c r="M432">
        <v>644927</v>
      </c>
      <c r="N432">
        <v>277548689000</v>
      </c>
      <c r="O432">
        <v>132087115</v>
      </c>
      <c r="P432">
        <v>56731415892500</v>
      </c>
    </row>
    <row r="433" spans="1:16">
      <c r="A433" t="s">
        <v>29</v>
      </c>
      <c r="B433">
        <v>20260106</v>
      </c>
      <c r="C433">
        <v>402340</v>
      </c>
      <c r="D433" t="s">
        <v>30</v>
      </c>
      <c r="E433" t="s">
        <v>29</v>
      </c>
      <c r="F433" t="s">
        <v>17</v>
      </c>
      <c r="G433">
        <v>432000</v>
      </c>
      <c r="H433">
        <v>16000</v>
      </c>
      <c r="I433">
        <v>3.85</v>
      </c>
      <c r="J433">
        <v>409500</v>
      </c>
      <c r="K433">
        <v>434500</v>
      </c>
      <c r="L433">
        <v>402500</v>
      </c>
      <c r="M433">
        <v>724519</v>
      </c>
      <c r="N433">
        <v>306692046798</v>
      </c>
      <c r="O433">
        <v>132087115</v>
      </c>
      <c r="P433">
        <v>57061633680000</v>
      </c>
    </row>
    <row r="434" spans="1:16">
      <c r="A434" t="s">
        <v>29</v>
      </c>
      <c r="B434">
        <v>20260105</v>
      </c>
      <c r="C434">
        <v>402340</v>
      </c>
      <c r="D434" t="s">
        <v>30</v>
      </c>
      <c r="E434" t="s">
        <v>29</v>
      </c>
      <c r="F434" t="s">
        <v>17</v>
      </c>
      <c r="G434">
        <v>416000</v>
      </c>
      <c r="H434">
        <v>24000</v>
      </c>
      <c r="I434">
        <v>6.12</v>
      </c>
      <c r="J434">
        <v>407500</v>
      </c>
      <c r="K434">
        <v>416000</v>
      </c>
      <c r="L434">
        <v>398500</v>
      </c>
      <c r="M434">
        <v>645953</v>
      </c>
      <c r="N434">
        <v>263885163250</v>
      </c>
      <c r="O434">
        <v>132087115</v>
      </c>
      <c r="P434">
        <v>54948239840000</v>
      </c>
    </row>
    <row r="435" spans="1:16">
      <c r="A435" t="s">
        <v>29</v>
      </c>
      <c r="B435">
        <v>20260102</v>
      </c>
      <c r="C435">
        <v>402340</v>
      </c>
      <c r="D435" t="s">
        <v>30</v>
      </c>
      <c r="E435" t="s">
        <v>29</v>
      </c>
      <c r="F435" t="s">
        <v>17</v>
      </c>
      <c r="G435">
        <v>392000</v>
      </c>
      <c r="H435">
        <v>24000</v>
      </c>
      <c r="I435">
        <v>6.52</v>
      </c>
      <c r="J435">
        <v>368500</v>
      </c>
      <c r="K435">
        <v>392000</v>
      </c>
      <c r="L435">
        <v>364500</v>
      </c>
      <c r="M435">
        <v>423146</v>
      </c>
      <c r="N435">
        <v>161568007250</v>
      </c>
      <c r="O435">
        <v>132087115</v>
      </c>
      <c r="P435">
        <v>51778149080000</v>
      </c>
    </row>
    <row r="436" spans="1:16">
      <c r="A436" t="s">
        <v>31</v>
      </c>
      <c r="B436">
        <v>20260403</v>
      </c>
      <c r="C436">
        <v>34020</v>
      </c>
      <c r="D436" t="s">
        <v>32</v>
      </c>
      <c r="E436" t="s">
        <v>31</v>
      </c>
      <c r="F436" t="s">
        <v>17</v>
      </c>
      <c r="G436">
        <v>96600</v>
      </c>
      <c r="H436">
        <v>3000</v>
      </c>
      <c r="I436">
        <v>3.21</v>
      </c>
      <c r="J436">
        <v>96200</v>
      </c>
      <c r="K436">
        <v>97400</v>
      </c>
      <c r="L436">
        <v>95300</v>
      </c>
      <c r="M436">
        <v>2522536</v>
      </c>
      <c r="N436">
        <v>243449840350</v>
      </c>
      <c r="O436">
        <v>640561146</v>
      </c>
      <c r="P436">
        <v>61878206703600</v>
      </c>
    </row>
    <row r="437" spans="1:16">
      <c r="A437" t="s">
        <v>31</v>
      </c>
      <c r="B437">
        <v>20260402</v>
      </c>
      <c r="C437">
        <v>34020</v>
      </c>
      <c r="D437" t="s">
        <v>32</v>
      </c>
      <c r="E437" t="s">
        <v>31</v>
      </c>
      <c r="F437" t="s">
        <v>17</v>
      </c>
      <c r="G437">
        <v>93600</v>
      </c>
      <c r="H437">
        <v>-6000</v>
      </c>
      <c r="I437">
        <v>-6.02</v>
      </c>
      <c r="J437">
        <v>100500</v>
      </c>
      <c r="K437">
        <v>101400</v>
      </c>
      <c r="L437">
        <v>92500</v>
      </c>
      <c r="M437">
        <v>5180190</v>
      </c>
      <c r="N437">
        <v>499879012350</v>
      </c>
      <c r="O437">
        <v>640561146</v>
      </c>
      <c r="P437">
        <v>59956523265600</v>
      </c>
    </row>
    <row r="438" spans="1:16">
      <c r="A438" t="s">
        <v>31</v>
      </c>
      <c r="B438">
        <v>20260401</v>
      </c>
      <c r="C438">
        <v>34020</v>
      </c>
      <c r="D438" t="s">
        <v>32</v>
      </c>
      <c r="E438" t="s">
        <v>31</v>
      </c>
      <c r="F438" t="s">
        <v>17</v>
      </c>
      <c r="G438">
        <v>99600</v>
      </c>
      <c r="H438">
        <v>7800</v>
      </c>
      <c r="I438">
        <v>8.5</v>
      </c>
      <c r="J438">
        <v>97800</v>
      </c>
      <c r="K438">
        <v>100400</v>
      </c>
      <c r="L438">
        <v>96000</v>
      </c>
      <c r="M438">
        <v>3416180</v>
      </c>
      <c r="N438">
        <v>336145345700</v>
      </c>
      <c r="O438">
        <v>640561146</v>
      </c>
      <c r="P438">
        <v>63799890141600</v>
      </c>
    </row>
    <row r="439" spans="1:16">
      <c r="A439" t="s">
        <v>31</v>
      </c>
      <c r="B439">
        <v>20260331</v>
      </c>
      <c r="C439">
        <v>34020</v>
      </c>
      <c r="D439" t="s">
        <v>32</v>
      </c>
      <c r="E439" t="s">
        <v>31</v>
      </c>
      <c r="F439" t="s">
        <v>17</v>
      </c>
      <c r="G439">
        <v>91800</v>
      </c>
      <c r="H439">
        <v>-2400</v>
      </c>
      <c r="I439">
        <v>-2.5499999999999998</v>
      </c>
      <c r="J439">
        <v>94900</v>
      </c>
      <c r="K439">
        <v>95900</v>
      </c>
      <c r="L439">
        <v>91100</v>
      </c>
      <c r="M439">
        <v>4215936</v>
      </c>
      <c r="N439">
        <v>392882858950</v>
      </c>
      <c r="O439">
        <v>640561146</v>
      </c>
      <c r="P439">
        <v>58803513202800</v>
      </c>
    </row>
    <row r="440" spans="1:16">
      <c r="A440" t="s">
        <v>31</v>
      </c>
      <c r="B440">
        <v>20260330</v>
      </c>
      <c r="C440">
        <v>34020</v>
      </c>
      <c r="D440" t="s">
        <v>32</v>
      </c>
      <c r="E440" t="s">
        <v>31</v>
      </c>
      <c r="F440" t="s">
        <v>17</v>
      </c>
      <c r="G440">
        <v>94200</v>
      </c>
      <c r="H440">
        <v>-3900</v>
      </c>
      <c r="I440">
        <v>-3.98</v>
      </c>
      <c r="J440">
        <v>93000</v>
      </c>
      <c r="K440">
        <v>94500</v>
      </c>
      <c r="L440">
        <v>91400</v>
      </c>
      <c r="M440">
        <v>2828606</v>
      </c>
      <c r="N440">
        <v>263916279200</v>
      </c>
      <c r="O440">
        <v>640561146</v>
      </c>
      <c r="P440">
        <v>60340859953200</v>
      </c>
    </row>
    <row r="441" spans="1:16">
      <c r="A441" t="s">
        <v>31</v>
      </c>
      <c r="B441">
        <v>20260327</v>
      </c>
      <c r="C441">
        <v>34020</v>
      </c>
      <c r="D441" t="s">
        <v>32</v>
      </c>
      <c r="E441" t="s">
        <v>31</v>
      </c>
      <c r="F441" t="s">
        <v>17</v>
      </c>
      <c r="G441">
        <v>98100</v>
      </c>
      <c r="H441">
        <v>-2800</v>
      </c>
      <c r="I441">
        <v>-2.78</v>
      </c>
      <c r="J441">
        <v>97700</v>
      </c>
      <c r="K441">
        <v>99200</v>
      </c>
      <c r="L441">
        <v>95100</v>
      </c>
      <c r="M441">
        <v>3549743</v>
      </c>
      <c r="N441">
        <v>344355383700</v>
      </c>
      <c r="O441">
        <v>640561146</v>
      </c>
      <c r="P441">
        <v>62839048422600</v>
      </c>
    </row>
    <row r="442" spans="1:16">
      <c r="A442" t="s">
        <v>31</v>
      </c>
      <c r="B442">
        <v>20260326</v>
      </c>
      <c r="C442">
        <v>34020</v>
      </c>
      <c r="D442" t="s">
        <v>32</v>
      </c>
      <c r="E442" t="s">
        <v>31</v>
      </c>
      <c r="F442" t="s">
        <v>17</v>
      </c>
      <c r="G442">
        <v>100900</v>
      </c>
      <c r="H442">
        <v>-1700</v>
      </c>
      <c r="I442">
        <v>-1.66</v>
      </c>
      <c r="J442">
        <v>103000</v>
      </c>
      <c r="K442">
        <v>104200</v>
      </c>
      <c r="L442">
        <v>99600</v>
      </c>
      <c r="M442">
        <v>2606678</v>
      </c>
      <c r="N442">
        <v>264439232900</v>
      </c>
      <c r="O442">
        <v>640561146</v>
      </c>
      <c r="P442">
        <v>64632619631400</v>
      </c>
    </row>
    <row r="443" spans="1:16">
      <c r="A443" t="s">
        <v>31</v>
      </c>
      <c r="B443">
        <v>20260325</v>
      </c>
      <c r="C443">
        <v>34020</v>
      </c>
      <c r="D443" t="s">
        <v>32</v>
      </c>
      <c r="E443" t="s">
        <v>31</v>
      </c>
      <c r="F443" t="s">
        <v>17</v>
      </c>
      <c r="G443">
        <v>102600</v>
      </c>
      <c r="H443">
        <v>2500</v>
      </c>
      <c r="I443">
        <v>2.5</v>
      </c>
      <c r="J443">
        <v>102400</v>
      </c>
      <c r="K443">
        <v>104800</v>
      </c>
      <c r="L443">
        <v>101300</v>
      </c>
      <c r="M443">
        <v>3200148</v>
      </c>
      <c r="N443">
        <v>329479456250</v>
      </c>
      <c r="O443">
        <v>640561146</v>
      </c>
      <c r="P443">
        <v>65721573579600</v>
      </c>
    </row>
    <row r="444" spans="1:16">
      <c r="A444" t="s">
        <v>31</v>
      </c>
      <c r="B444">
        <v>20260324</v>
      </c>
      <c r="C444">
        <v>34020</v>
      </c>
      <c r="D444" t="s">
        <v>32</v>
      </c>
      <c r="E444" t="s">
        <v>31</v>
      </c>
      <c r="F444" t="s">
        <v>17</v>
      </c>
      <c r="G444">
        <v>100100</v>
      </c>
      <c r="H444">
        <v>-600</v>
      </c>
      <c r="I444">
        <v>-0.6</v>
      </c>
      <c r="J444">
        <v>105700</v>
      </c>
      <c r="K444">
        <v>106800</v>
      </c>
      <c r="L444">
        <v>97200</v>
      </c>
      <c r="M444">
        <v>5096704</v>
      </c>
      <c r="N444">
        <v>511780385450</v>
      </c>
      <c r="O444">
        <v>640561146</v>
      </c>
      <c r="P444">
        <v>64120170714600</v>
      </c>
    </row>
    <row r="445" spans="1:16">
      <c r="A445" t="s">
        <v>31</v>
      </c>
      <c r="B445">
        <v>20260323</v>
      </c>
      <c r="C445">
        <v>34020</v>
      </c>
      <c r="D445" t="s">
        <v>32</v>
      </c>
      <c r="E445" t="s">
        <v>31</v>
      </c>
      <c r="F445" t="s">
        <v>17</v>
      </c>
      <c r="G445">
        <v>100700</v>
      </c>
      <c r="H445">
        <v>-8900</v>
      </c>
      <c r="I445">
        <v>-8.1199999999999992</v>
      </c>
      <c r="J445">
        <v>107100</v>
      </c>
      <c r="K445">
        <v>107200</v>
      </c>
      <c r="L445">
        <v>100400</v>
      </c>
      <c r="M445">
        <v>6026425</v>
      </c>
      <c r="N445">
        <v>620153260750</v>
      </c>
      <c r="O445">
        <v>640561146</v>
      </c>
      <c r="P445">
        <v>64504507402200</v>
      </c>
    </row>
    <row r="446" spans="1:16">
      <c r="A446" t="s">
        <v>31</v>
      </c>
      <c r="B446">
        <v>20260320</v>
      </c>
      <c r="C446">
        <v>34020</v>
      </c>
      <c r="D446" t="s">
        <v>32</v>
      </c>
      <c r="E446" t="s">
        <v>31</v>
      </c>
      <c r="F446" t="s">
        <v>17</v>
      </c>
      <c r="G446">
        <v>109600</v>
      </c>
      <c r="H446">
        <v>3300</v>
      </c>
      <c r="I446">
        <v>3.1</v>
      </c>
      <c r="J446">
        <v>107500</v>
      </c>
      <c r="K446">
        <v>112100</v>
      </c>
      <c r="L446">
        <v>105600</v>
      </c>
      <c r="M446">
        <v>8066734</v>
      </c>
      <c r="N446">
        <v>883741173750</v>
      </c>
      <c r="O446">
        <v>640561146</v>
      </c>
      <c r="P446">
        <v>70205501601600</v>
      </c>
    </row>
    <row r="447" spans="1:16">
      <c r="A447" t="s">
        <v>31</v>
      </c>
      <c r="B447">
        <v>20260319</v>
      </c>
      <c r="C447">
        <v>34020</v>
      </c>
      <c r="D447" t="s">
        <v>32</v>
      </c>
      <c r="E447" t="s">
        <v>31</v>
      </c>
      <c r="F447" t="s">
        <v>17</v>
      </c>
      <c r="G447">
        <v>106300</v>
      </c>
      <c r="H447">
        <v>-1000</v>
      </c>
      <c r="I447">
        <v>-0.93</v>
      </c>
      <c r="J447">
        <v>105100</v>
      </c>
      <c r="K447">
        <v>108500</v>
      </c>
      <c r="L447">
        <v>105000</v>
      </c>
      <c r="M447">
        <v>3330546</v>
      </c>
      <c r="N447">
        <v>355790847500</v>
      </c>
      <c r="O447">
        <v>640561146</v>
      </c>
      <c r="P447">
        <v>68091649819800</v>
      </c>
    </row>
    <row r="448" spans="1:16">
      <c r="A448" t="s">
        <v>31</v>
      </c>
      <c r="B448">
        <v>20260318</v>
      </c>
      <c r="C448">
        <v>34020</v>
      </c>
      <c r="D448" t="s">
        <v>32</v>
      </c>
      <c r="E448" t="s">
        <v>31</v>
      </c>
      <c r="F448" t="s">
        <v>17</v>
      </c>
      <c r="G448">
        <v>107300</v>
      </c>
      <c r="H448">
        <v>2900</v>
      </c>
      <c r="I448">
        <v>2.78</v>
      </c>
      <c r="J448">
        <v>106800</v>
      </c>
      <c r="K448">
        <v>108600</v>
      </c>
      <c r="L448">
        <v>106500</v>
      </c>
      <c r="M448">
        <v>4134308</v>
      </c>
      <c r="N448">
        <v>444320594650</v>
      </c>
      <c r="O448">
        <v>640561146</v>
      </c>
      <c r="P448">
        <v>68732210965800</v>
      </c>
    </row>
    <row r="449" spans="1:16">
      <c r="A449" t="s">
        <v>31</v>
      </c>
      <c r="B449">
        <v>20260317</v>
      </c>
      <c r="C449">
        <v>34020</v>
      </c>
      <c r="D449" t="s">
        <v>32</v>
      </c>
      <c r="E449" t="s">
        <v>31</v>
      </c>
      <c r="F449" t="s">
        <v>17</v>
      </c>
      <c r="G449">
        <v>104400</v>
      </c>
      <c r="H449">
        <v>-1300</v>
      </c>
      <c r="I449">
        <v>-1.23</v>
      </c>
      <c r="J449">
        <v>107100</v>
      </c>
      <c r="K449">
        <v>107200</v>
      </c>
      <c r="L449">
        <v>104400</v>
      </c>
      <c r="M449">
        <v>3105960</v>
      </c>
      <c r="N449">
        <v>328097131850</v>
      </c>
      <c r="O449">
        <v>640561146</v>
      </c>
      <c r="P449">
        <v>66874583642400</v>
      </c>
    </row>
    <row r="450" spans="1:16">
      <c r="A450" t="s">
        <v>31</v>
      </c>
      <c r="B450">
        <v>20260316</v>
      </c>
      <c r="C450">
        <v>34020</v>
      </c>
      <c r="D450" t="s">
        <v>32</v>
      </c>
      <c r="E450" t="s">
        <v>31</v>
      </c>
      <c r="F450" t="s">
        <v>17</v>
      </c>
      <c r="G450">
        <v>105700</v>
      </c>
      <c r="H450">
        <v>-800</v>
      </c>
      <c r="I450">
        <v>-0.75</v>
      </c>
      <c r="J450">
        <v>108000</v>
      </c>
      <c r="K450">
        <v>110700</v>
      </c>
      <c r="L450">
        <v>105000</v>
      </c>
      <c r="M450">
        <v>5817407</v>
      </c>
      <c r="N450">
        <v>625366585850</v>
      </c>
      <c r="O450">
        <v>640561146</v>
      </c>
      <c r="P450">
        <v>67707313132200</v>
      </c>
    </row>
    <row r="451" spans="1:16">
      <c r="A451" t="s">
        <v>31</v>
      </c>
      <c r="B451">
        <v>20260313</v>
      </c>
      <c r="C451">
        <v>34020</v>
      </c>
      <c r="D451" t="s">
        <v>32</v>
      </c>
      <c r="E451" t="s">
        <v>31</v>
      </c>
      <c r="F451" t="s">
        <v>17</v>
      </c>
      <c r="G451">
        <v>106500</v>
      </c>
      <c r="H451">
        <v>3000</v>
      </c>
      <c r="I451">
        <v>2.9</v>
      </c>
      <c r="J451">
        <v>100700</v>
      </c>
      <c r="K451">
        <v>108500</v>
      </c>
      <c r="L451">
        <v>100700</v>
      </c>
      <c r="M451">
        <v>9435079</v>
      </c>
      <c r="N451">
        <v>998176857000</v>
      </c>
      <c r="O451">
        <v>640561146</v>
      </c>
      <c r="P451">
        <v>68219762049000</v>
      </c>
    </row>
    <row r="452" spans="1:16">
      <c r="A452" t="s">
        <v>31</v>
      </c>
      <c r="B452">
        <v>20260312</v>
      </c>
      <c r="C452">
        <v>34020</v>
      </c>
      <c r="D452" t="s">
        <v>32</v>
      </c>
      <c r="E452" t="s">
        <v>31</v>
      </c>
      <c r="F452" t="s">
        <v>17</v>
      </c>
      <c r="G452">
        <v>103500</v>
      </c>
      <c r="H452">
        <v>2500</v>
      </c>
      <c r="I452">
        <v>2.48</v>
      </c>
      <c r="J452">
        <v>101000</v>
      </c>
      <c r="K452">
        <v>104600</v>
      </c>
      <c r="L452">
        <v>101000</v>
      </c>
      <c r="M452">
        <v>4875165</v>
      </c>
      <c r="N452">
        <v>503147590750</v>
      </c>
      <c r="O452">
        <v>640561146</v>
      </c>
      <c r="P452">
        <v>66298078611000</v>
      </c>
    </row>
    <row r="453" spans="1:16">
      <c r="A453" t="s">
        <v>31</v>
      </c>
      <c r="B453">
        <v>20260311</v>
      </c>
      <c r="C453">
        <v>34020</v>
      </c>
      <c r="D453" t="s">
        <v>32</v>
      </c>
      <c r="E453" t="s">
        <v>31</v>
      </c>
      <c r="F453" t="s">
        <v>17</v>
      </c>
      <c r="G453">
        <v>101000</v>
      </c>
      <c r="H453">
        <v>-1500</v>
      </c>
      <c r="I453">
        <v>-1.46</v>
      </c>
      <c r="J453">
        <v>103800</v>
      </c>
      <c r="K453">
        <v>104500</v>
      </c>
      <c r="L453">
        <v>99200</v>
      </c>
      <c r="M453">
        <v>6103321</v>
      </c>
      <c r="N453">
        <v>623885885200</v>
      </c>
      <c r="O453">
        <v>640561146</v>
      </c>
      <c r="P453">
        <v>64696675746000</v>
      </c>
    </row>
    <row r="454" spans="1:16">
      <c r="A454" t="s">
        <v>31</v>
      </c>
      <c r="B454">
        <v>20260310</v>
      </c>
      <c r="C454">
        <v>34020</v>
      </c>
      <c r="D454" t="s">
        <v>32</v>
      </c>
      <c r="E454" t="s">
        <v>31</v>
      </c>
      <c r="F454" t="s">
        <v>17</v>
      </c>
      <c r="G454">
        <v>102500</v>
      </c>
      <c r="H454">
        <v>6300</v>
      </c>
      <c r="I454">
        <v>6.55</v>
      </c>
      <c r="J454">
        <v>100300</v>
      </c>
      <c r="K454">
        <v>104900</v>
      </c>
      <c r="L454">
        <v>99900</v>
      </c>
      <c r="M454">
        <v>10814168</v>
      </c>
      <c r="N454">
        <v>1110025892200</v>
      </c>
      <c r="O454">
        <v>640561146</v>
      </c>
      <c r="P454">
        <v>65657517465000</v>
      </c>
    </row>
    <row r="455" spans="1:16">
      <c r="A455" t="s">
        <v>31</v>
      </c>
      <c r="B455">
        <v>20260309</v>
      </c>
      <c r="C455">
        <v>34020</v>
      </c>
      <c r="D455" t="s">
        <v>32</v>
      </c>
      <c r="E455" t="s">
        <v>31</v>
      </c>
      <c r="F455" t="s">
        <v>17</v>
      </c>
      <c r="G455">
        <v>96200</v>
      </c>
      <c r="H455">
        <v>-1800</v>
      </c>
      <c r="I455">
        <v>-1.84</v>
      </c>
      <c r="J455">
        <v>98600</v>
      </c>
      <c r="K455">
        <v>99700</v>
      </c>
      <c r="L455">
        <v>91500</v>
      </c>
      <c r="M455">
        <v>7957034</v>
      </c>
      <c r="N455">
        <v>755264928950</v>
      </c>
      <c r="O455">
        <v>640561146</v>
      </c>
      <c r="P455">
        <v>61621982245200</v>
      </c>
    </row>
    <row r="456" spans="1:16">
      <c r="A456" t="s">
        <v>31</v>
      </c>
      <c r="B456">
        <v>20260306</v>
      </c>
      <c r="C456">
        <v>34020</v>
      </c>
      <c r="D456" t="s">
        <v>32</v>
      </c>
      <c r="E456" t="s">
        <v>31</v>
      </c>
      <c r="F456" t="s">
        <v>17</v>
      </c>
      <c r="G456">
        <v>98000</v>
      </c>
      <c r="H456">
        <v>7500</v>
      </c>
      <c r="I456">
        <v>8.2899999999999991</v>
      </c>
      <c r="J456">
        <v>88600</v>
      </c>
      <c r="K456">
        <v>98200</v>
      </c>
      <c r="L456">
        <v>88600</v>
      </c>
      <c r="M456">
        <v>7901291</v>
      </c>
      <c r="N456">
        <v>743406153950</v>
      </c>
      <c r="O456">
        <v>640561146</v>
      </c>
      <c r="P456">
        <v>62774992308000</v>
      </c>
    </row>
    <row r="457" spans="1:16">
      <c r="A457" t="s">
        <v>31</v>
      </c>
      <c r="B457">
        <v>20260305</v>
      </c>
      <c r="C457">
        <v>34020</v>
      </c>
      <c r="D457" t="s">
        <v>32</v>
      </c>
      <c r="E457" t="s">
        <v>31</v>
      </c>
      <c r="F457" t="s">
        <v>17</v>
      </c>
      <c r="G457">
        <v>90500</v>
      </c>
      <c r="H457">
        <v>9900</v>
      </c>
      <c r="I457">
        <v>12.28</v>
      </c>
      <c r="J457">
        <v>91000</v>
      </c>
      <c r="K457">
        <v>93200</v>
      </c>
      <c r="L457">
        <v>89100</v>
      </c>
      <c r="M457">
        <v>6781072</v>
      </c>
      <c r="N457">
        <v>618458039100</v>
      </c>
      <c r="O457">
        <v>640561146</v>
      </c>
      <c r="P457">
        <v>57970783713000</v>
      </c>
    </row>
    <row r="458" spans="1:16">
      <c r="A458" t="s">
        <v>31</v>
      </c>
      <c r="B458">
        <v>20260304</v>
      </c>
      <c r="C458">
        <v>34020</v>
      </c>
      <c r="D458" t="s">
        <v>32</v>
      </c>
      <c r="E458" t="s">
        <v>31</v>
      </c>
      <c r="F458" t="s">
        <v>17</v>
      </c>
      <c r="G458">
        <v>80600</v>
      </c>
      <c r="H458">
        <v>-16300</v>
      </c>
      <c r="I458">
        <v>-16.82</v>
      </c>
      <c r="J458">
        <v>91300</v>
      </c>
      <c r="K458">
        <v>93300</v>
      </c>
      <c r="L458">
        <v>79000</v>
      </c>
      <c r="M458">
        <v>13364978</v>
      </c>
      <c r="N458">
        <v>1143781825250</v>
      </c>
      <c r="O458">
        <v>640561146</v>
      </c>
      <c r="P458">
        <v>51629228367600</v>
      </c>
    </row>
    <row r="459" spans="1:16">
      <c r="A459" t="s">
        <v>31</v>
      </c>
      <c r="B459">
        <v>20260303</v>
      </c>
      <c r="C459">
        <v>34020</v>
      </c>
      <c r="D459" t="s">
        <v>32</v>
      </c>
      <c r="E459" t="s">
        <v>31</v>
      </c>
      <c r="F459" t="s">
        <v>17</v>
      </c>
      <c r="G459">
        <v>96900</v>
      </c>
      <c r="H459">
        <v>-9400</v>
      </c>
      <c r="I459">
        <v>-8.84</v>
      </c>
      <c r="J459">
        <v>104700</v>
      </c>
      <c r="K459">
        <v>106200</v>
      </c>
      <c r="L459">
        <v>96700</v>
      </c>
      <c r="M459">
        <v>7514576</v>
      </c>
      <c r="N459">
        <v>758293873350</v>
      </c>
      <c r="O459">
        <v>640561146</v>
      </c>
      <c r="P459">
        <v>62070375047400</v>
      </c>
    </row>
    <row r="460" spans="1:16">
      <c r="A460" t="s">
        <v>31</v>
      </c>
      <c r="B460">
        <v>20260227</v>
      </c>
      <c r="C460">
        <v>34020</v>
      </c>
      <c r="D460" t="s">
        <v>32</v>
      </c>
      <c r="E460" t="s">
        <v>31</v>
      </c>
      <c r="F460" t="s">
        <v>17</v>
      </c>
      <c r="G460">
        <v>106300</v>
      </c>
      <c r="H460">
        <v>2500</v>
      </c>
      <c r="I460">
        <v>2.41</v>
      </c>
      <c r="J460">
        <v>105500</v>
      </c>
      <c r="K460">
        <v>110200</v>
      </c>
      <c r="L460">
        <v>105500</v>
      </c>
      <c r="M460">
        <v>8296804</v>
      </c>
      <c r="N460">
        <v>893945398600</v>
      </c>
      <c r="O460">
        <v>640561146</v>
      </c>
      <c r="P460">
        <v>68091649819800</v>
      </c>
    </row>
    <row r="461" spans="1:16">
      <c r="A461" t="s">
        <v>31</v>
      </c>
      <c r="B461">
        <v>20260226</v>
      </c>
      <c r="C461">
        <v>34020</v>
      </c>
      <c r="D461" t="s">
        <v>32</v>
      </c>
      <c r="E461" t="s">
        <v>31</v>
      </c>
      <c r="F461" t="s">
        <v>17</v>
      </c>
      <c r="G461">
        <v>103800</v>
      </c>
      <c r="H461">
        <v>600</v>
      </c>
      <c r="I461">
        <v>0.57999999999999996</v>
      </c>
      <c r="J461">
        <v>104100</v>
      </c>
      <c r="K461">
        <v>104500</v>
      </c>
      <c r="L461">
        <v>102600</v>
      </c>
      <c r="M461">
        <v>4153497</v>
      </c>
      <c r="N461">
        <v>429498565800</v>
      </c>
      <c r="O461">
        <v>640561146</v>
      </c>
      <c r="P461">
        <v>66490246954800</v>
      </c>
    </row>
    <row r="462" spans="1:16">
      <c r="A462" t="s">
        <v>31</v>
      </c>
      <c r="B462">
        <v>20260225</v>
      </c>
      <c r="C462">
        <v>34020</v>
      </c>
      <c r="D462" t="s">
        <v>32</v>
      </c>
      <c r="E462" t="s">
        <v>31</v>
      </c>
      <c r="F462" t="s">
        <v>17</v>
      </c>
      <c r="G462">
        <v>103200</v>
      </c>
      <c r="H462">
        <v>1900</v>
      </c>
      <c r="I462">
        <v>1.88</v>
      </c>
      <c r="J462">
        <v>102300</v>
      </c>
      <c r="K462">
        <v>104200</v>
      </c>
      <c r="L462">
        <v>101400</v>
      </c>
      <c r="M462">
        <v>4216954</v>
      </c>
      <c r="N462">
        <v>435034108850</v>
      </c>
      <c r="O462">
        <v>640561146</v>
      </c>
      <c r="P462">
        <v>66105910267200</v>
      </c>
    </row>
    <row r="463" spans="1:16">
      <c r="A463" t="s">
        <v>31</v>
      </c>
      <c r="B463">
        <v>20260224</v>
      </c>
      <c r="C463">
        <v>34020</v>
      </c>
      <c r="D463" t="s">
        <v>32</v>
      </c>
      <c r="E463" t="s">
        <v>31</v>
      </c>
      <c r="F463" t="s">
        <v>17</v>
      </c>
      <c r="G463">
        <v>101300</v>
      </c>
      <c r="H463">
        <v>-700</v>
      </c>
      <c r="I463">
        <v>-0.69</v>
      </c>
      <c r="J463">
        <v>101800</v>
      </c>
      <c r="K463">
        <v>102700</v>
      </c>
      <c r="L463">
        <v>99100</v>
      </c>
      <c r="M463">
        <v>3886617</v>
      </c>
      <c r="N463">
        <v>391628704450</v>
      </c>
      <c r="O463">
        <v>640561146</v>
      </c>
      <c r="P463">
        <v>64888844089800</v>
      </c>
    </row>
    <row r="464" spans="1:16">
      <c r="A464" t="s">
        <v>31</v>
      </c>
      <c r="B464">
        <v>20260223</v>
      </c>
      <c r="C464">
        <v>34020</v>
      </c>
      <c r="D464" t="s">
        <v>32</v>
      </c>
      <c r="E464" t="s">
        <v>31</v>
      </c>
      <c r="F464" t="s">
        <v>17</v>
      </c>
      <c r="G464">
        <v>102000</v>
      </c>
      <c r="H464">
        <v>-1500</v>
      </c>
      <c r="I464">
        <v>-1.45</v>
      </c>
      <c r="J464">
        <v>105300</v>
      </c>
      <c r="K464">
        <v>105300</v>
      </c>
      <c r="L464">
        <v>101000</v>
      </c>
      <c r="M464">
        <v>5545186</v>
      </c>
      <c r="N464">
        <v>571893734400</v>
      </c>
      <c r="O464">
        <v>640561146</v>
      </c>
      <c r="P464">
        <v>65337236892000</v>
      </c>
    </row>
    <row r="465" spans="1:16">
      <c r="A465" t="s">
        <v>31</v>
      </c>
      <c r="B465">
        <v>20260220</v>
      </c>
      <c r="C465">
        <v>34020</v>
      </c>
      <c r="D465" t="s">
        <v>32</v>
      </c>
      <c r="E465" t="s">
        <v>31</v>
      </c>
      <c r="F465" t="s">
        <v>17</v>
      </c>
      <c r="G465">
        <v>103500</v>
      </c>
      <c r="H465">
        <v>5100</v>
      </c>
      <c r="I465">
        <v>5.18</v>
      </c>
      <c r="J465">
        <v>99200</v>
      </c>
      <c r="K465">
        <v>106800</v>
      </c>
      <c r="L465">
        <v>98400</v>
      </c>
      <c r="M465">
        <v>12069557</v>
      </c>
      <c r="N465">
        <v>1259575276050</v>
      </c>
      <c r="O465">
        <v>640561146</v>
      </c>
      <c r="P465">
        <v>66298078611000</v>
      </c>
    </row>
    <row r="466" spans="1:16">
      <c r="A466" t="s">
        <v>31</v>
      </c>
      <c r="B466">
        <v>20260219</v>
      </c>
      <c r="C466">
        <v>34020</v>
      </c>
      <c r="D466" t="s">
        <v>32</v>
      </c>
      <c r="E466" t="s">
        <v>31</v>
      </c>
      <c r="F466" t="s">
        <v>17</v>
      </c>
      <c r="G466">
        <v>98400</v>
      </c>
      <c r="H466">
        <v>1700</v>
      </c>
      <c r="I466">
        <v>1.76</v>
      </c>
      <c r="J466">
        <v>100500</v>
      </c>
      <c r="K466">
        <v>100600</v>
      </c>
      <c r="L466">
        <v>98300</v>
      </c>
      <c r="M466">
        <v>5026177</v>
      </c>
      <c r="N466">
        <v>498477432800</v>
      </c>
      <c r="O466">
        <v>640561146</v>
      </c>
      <c r="P466">
        <v>63031216766400</v>
      </c>
    </row>
    <row r="467" spans="1:16">
      <c r="A467" t="s">
        <v>31</v>
      </c>
      <c r="B467">
        <v>20260213</v>
      </c>
      <c r="C467">
        <v>34020</v>
      </c>
      <c r="D467" t="s">
        <v>32</v>
      </c>
      <c r="E467" t="s">
        <v>31</v>
      </c>
      <c r="F467" t="s">
        <v>17</v>
      </c>
      <c r="G467">
        <v>96700</v>
      </c>
      <c r="H467">
        <v>1200</v>
      </c>
      <c r="I467">
        <v>1.26</v>
      </c>
      <c r="J467">
        <v>94000</v>
      </c>
      <c r="K467">
        <v>99900</v>
      </c>
      <c r="L467">
        <v>93700</v>
      </c>
      <c r="M467">
        <v>17459913</v>
      </c>
      <c r="N467">
        <v>1704821868400</v>
      </c>
      <c r="O467">
        <v>640561146</v>
      </c>
      <c r="P467">
        <v>61942262818200</v>
      </c>
    </row>
    <row r="468" spans="1:16">
      <c r="A468" t="s">
        <v>31</v>
      </c>
      <c r="B468">
        <v>20260212</v>
      </c>
      <c r="C468">
        <v>34020</v>
      </c>
      <c r="D468" t="s">
        <v>32</v>
      </c>
      <c r="E468" t="s">
        <v>31</v>
      </c>
      <c r="F468" t="s">
        <v>17</v>
      </c>
      <c r="G468">
        <v>95500</v>
      </c>
      <c r="H468">
        <v>0</v>
      </c>
      <c r="I468">
        <v>0</v>
      </c>
      <c r="J468">
        <v>94700</v>
      </c>
      <c r="K468">
        <v>95500</v>
      </c>
      <c r="L468">
        <v>92300</v>
      </c>
      <c r="M468">
        <v>6335775</v>
      </c>
      <c r="N468">
        <v>592943009050</v>
      </c>
      <c r="O468">
        <v>640561146</v>
      </c>
      <c r="P468">
        <v>61173589443000</v>
      </c>
    </row>
    <row r="469" spans="1:16">
      <c r="A469" t="s">
        <v>31</v>
      </c>
      <c r="B469">
        <v>20260211</v>
      </c>
      <c r="C469">
        <v>34020</v>
      </c>
      <c r="D469" t="s">
        <v>32</v>
      </c>
      <c r="E469" t="s">
        <v>31</v>
      </c>
      <c r="F469" t="s">
        <v>17</v>
      </c>
      <c r="G469">
        <v>95500</v>
      </c>
      <c r="H469">
        <v>1400</v>
      </c>
      <c r="I469">
        <v>1.49</v>
      </c>
      <c r="J469">
        <v>95400</v>
      </c>
      <c r="K469">
        <v>96500</v>
      </c>
      <c r="L469">
        <v>94000</v>
      </c>
      <c r="M469">
        <v>5915111</v>
      </c>
      <c r="N469">
        <v>565224532950</v>
      </c>
      <c r="O469">
        <v>640561146</v>
      </c>
      <c r="P469">
        <v>61173589443000</v>
      </c>
    </row>
    <row r="470" spans="1:16">
      <c r="A470" t="s">
        <v>31</v>
      </c>
      <c r="B470">
        <v>20260210</v>
      </c>
      <c r="C470">
        <v>34020</v>
      </c>
      <c r="D470" t="s">
        <v>32</v>
      </c>
      <c r="E470" t="s">
        <v>31</v>
      </c>
      <c r="F470" t="s">
        <v>17</v>
      </c>
      <c r="G470">
        <v>94100</v>
      </c>
      <c r="H470">
        <v>-1300</v>
      </c>
      <c r="I470">
        <v>-1.36</v>
      </c>
      <c r="J470">
        <v>95100</v>
      </c>
      <c r="K470">
        <v>95400</v>
      </c>
      <c r="L470">
        <v>93300</v>
      </c>
      <c r="M470">
        <v>3956141</v>
      </c>
      <c r="N470">
        <v>373092019800</v>
      </c>
      <c r="O470">
        <v>640561146</v>
      </c>
      <c r="P470">
        <v>60276803838600</v>
      </c>
    </row>
    <row r="471" spans="1:16">
      <c r="A471" t="s">
        <v>31</v>
      </c>
      <c r="B471">
        <v>20260209</v>
      </c>
      <c r="C471">
        <v>34020</v>
      </c>
      <c r="D471" t="s">
        <v>32</v>
      </c>
      <c r="E471" t="s">
        <v>31</v>
      </c>
      <c r="F471" t="s">
        <v>17</v>
      </c>
      <c r="G471">
        <v>95400</v>
      </c>
      <c r="H471">
        <v>6400</v>
      </c>
      <c r="I471">
        <v>7.19</v>
      </c>
      <c r="J471">
        <v>93100</v>
      </c>
      <c r="K471">
        <v>96900</v>
      </c>
      <c r="L471">
        <v>91800</v>
      </c>
      <c r="M471">
        <v>9843507</v>
      </c>
      <c r="N471">
        <v>940449605200</v>
      </c>
      <c r="O471">
        <v>640561146</v>
      </c>
      <c r="P471">
        <v>61109533328400</v>
      </c>
    </row>
    <row r="472" spans="1:16">
      <c r="A472" t="s">
        <v>31</v>
      </c>
      <c r="B472">
        <v>20260206</v>
      </c>
      <c r="C472">
        <v>34020</v>
      </c>
      <c r="D472" t="s">
        <v>32</v>
      </c>
      <c r="E472" t="s">
        <v>31</v>
      </c>
      <c r="F472" t="s">
        <v>17</v>
      </c>
      <c r="G472">
        <v>89000</v>
      </c>
      <c r="H472">
        <v>-1600</v>
      </c>
      <c r="I472">
        <v>-1.77</v>
      </c>
      <c r="J472">
        <v>88300</v>
      </c>
      <c r="K472">
        <v>89500</v>
      </c>
      <c r="L472">
        <v>85200</v>
      </c>
      <c r="M472">
        <v>5838705</v>
      </c>
      <c r="N472">
        <v>511209173550</v>
      </c>
      <c r="O472">
        <v>640561146</v>
      </c>
      <c r="P472">
        <v>57009941994000</v>
      </c>
    </row>
    <row r="473" spans="1:16">
      <c r="A473" t="s">
        <v>31</v>
      </c>
      <c r="B473">
        <v>20260205</v>
      </c>
      <c r="C473">
        <v>34020</v>
      </c>
      <c r="D473" t="s">
        <v>32</v>
      </c>
      <c r="E473" t="s">
        <v>31</v>
      </c>
      <c r="F473" t="s">
        <v>17</v>
      </c>
      <c r="G473">
        <v>90600</v>
      </c>
      <c r="H473">
        <v>-5900</v>
      </c>
      <c r="I473">
        <v>-6.11</v>
      </c>
      <c r="J473">
        <v>94000</v>
      </c>
      <c r="K473">
        <v>96100</v>
      </c>
      <c r="L473">
        <v>90300</v>
      </c>
      <c r="M473">
        <v>7594510</v>
      </c>
      <c r="N473">
        <v>701737881000</v>
      </c>
      <c r="O473">
        <v>640561146</v>
      </c>
      <c r="P473">
        <v>58034839827600</v>
      </c>
    </row>
    <row r="474" spans="1:16">
      <c r="A474" t="s">
        <v>31</v>
      </c>
      <c r="B474">
        <v>20260204</v>
      </c>
      <c r="C474">
        <v>34020</v>
      </c>
      <c r="D474" t="s">
        <v>32</v>
      </c>
      <c r="E474" t="s">
        <v>31</v>
      </c>
      <c r="F474" t="s">
        <v>17</v>
      </c>
      <c r="G474">
        <v>96500</v>
      </c>
      <c r="H474">
        <v>5300</v>
      </c>
      <c r="I474">
        <v>5.81</v>
      </c>
      <c r="J474">
        <v>94400</v>
      </c>
      <c r="K474">
        <v>96700</v>
      </c>
      <c r="L474">
        <v>92100</v>
      </c>
      <c r="M474">
        <v>12423583</v>
      </c>
      <c r="N474">
        <v>1184482718000</v>
      </c>
      <c r="O474">
        <v>640561146</v>
      </c>
      <c r="P474">
        <v>61814150589000</v>
      </c>
    </row>
    <row r="475" spans="1:16">
      <c r="A475" t="s">
        <v>31</v>
      </c>
      <c r="B475">
        <v>20260203</v>
      </c>
      <c r="C475">
        <v>34020</v>
      </c>
      <c r="D475" t="s">
        <v>32</v>
      </c>
      <c r="E475" t="s">
        <v>31</v>
      </c>
      <c r="F475" t="s">
        <v>17</v>
      </c>
      <c r="G475">
        <v>91200</v>
      </c>
      <c r="H475">
        <v>5000</v>
      </c>
      <c r="I475">
        <v>5.8</v>
      </c>
      <c r="J475">
        <v>88300</v>
      </c>
      <c r="K475">
        <v>91200</v>
      </c>
      <c r="L475">
        <v>87300</v>
      </c>
      <c r="M475">
        <v>4647177</v>
      </c>
      <c r="N475">
        <v>417808549700</v>
      </c>
      <c r="O475">
        <v>640561146</v>
      </c>
      <c r="P475">
        <v>58419176515200</v>
      </c>
    </row>
    <row r="476" spans="1:16">
      <c r="A476" t="s">
        <v>31</v>
      </c>
      <c r="B476">
        <v>20260202</v>
      </c>
      <c r="C476">
        <v>34020</v>
      </c>
      <c r="D476" t="s">
        <v>32</v>
      </c>
      <c r="E476" t="s">
        <v>31</v>
      </c>
      <c r="F476" t="s">
        <v>17</v>
      </c>
      <c r="G476">
        <v>86200</v>
      </c>
      <c r="H476">
        <v>-4400</v>
      </c>
      <c r="I476">
        <v>-4.8600000000000003</v>
      </c>
      <c r="J476">
        <v>87800</v>
      </c>
      <c r="K476">
        <v>91400</v>
      </c>
      <c r="L476">
        <v>85400</v>
      </c>
      <c r="M476">
        <v>6823888</v>
      </c>
      <c r="N476">
        <v>600494247250</v>
      </c>
      <c r="O476">
        <v>640561146</v>
      </c>
      <c r="P476">
        <v>55216370785200</v>
      </c>
    </row>
    <row r="477" spans="1:16">
      <c r="A477" t="s">
        <v>31</v>
      </c>
      <c r="B477">
        <v>20260130</v>
      </c>
      <c r="C477">
        <v>34020</v>
      </c>
      <c r="D477" t="s">
        <v>32</v>
      </c>
      <c r="E477" t="s">
        <v>31</v>
      </c>
      <c r="F477" t="s">
        <v>17</v>
      </c>
      <c r="G477">
        <v>90600</v>
      </c>
      <c r="H477">
        <v>-3400</v>
      </c>
      <c r="I477">
        <v>-3.62</v>
      </c>
      <c r="J477">
        <v>93000</v>
      </c>
      <c r="K477">
        <v>94000</v>
      </c>
      <c r="L477">
        <v>90400</v>
      </c>
      <c r="M477">
        <v>6970845</v>
      </c>
      <c r="N477">
        <v>637924660400</v>
      </c>
      <c r="O477">
        <v>640561146</v>
      </c>
      <c r="P477">
        <v>58034839827600</v>
      </c>
    </row>
    <row r="478" spans="1:16">
      <c r="A478" t="s">
        <v>31</v>
      </c>
      <c r="B478">
        <v>20260129</v>
      </c>
      <c r="C478">
        <v>34020</v>
      </c>
      <c r="D478" t="s">
        <v>32</v>
      </c>
      <c r="E478" t="s">
        <v>31</v>
      </c>
      <c r="F478" t="s">
        <v>17</v>
      </c>
      <c r="G478">
        <v>94000</v>
      </c>
      <c r="H478">
        <v>2000</v>
      </c>
      <c r="I478">
        <v>2.17</v>
      </c>
      <c r="J478">
        <v>92400</v>
      </c>
      <c r="K478">
        <v>95600</v>
      </c>
      <c r="L478">
        <v>92400</v>
      </c>
      <c r="M478">
        <v>10185321</v>
      </c>
      <c r="N478">
        <v>959615709700</v>
      </c>
      <c r="O478">
        <v>640561146</v>
      </c>
      <c r="P478">
        <v>60212747724000</v>
      </c>
    </row>
    <row r="479" spans="1:16">
      <c r="A479" t="s">
        <v>31</v>
      </c>
      <c r="B479">
        <v>20260128</v>
      </c>
      <c r="C479">
        <v>34020</v>
      </c>
      <c r="D479" t="s">
        <v>32</v>
      </c>
      <c r="E479" t="s">
        <v>31</v>
      </c>
      <c r="F479" t="s">
        <v>17</v>
      </c>
      <c r="G479">
        <v>92000</v>
      </c>
      <c r="H479">
        <v>-1600</v>
      </c>
      <c r="I479">
        <v>-1.71</v>
      </c>
      <c r="J479">
        <v>94100</v>
      </c>
      <c r="K479">
        <v>94200</v>
      </c>
      <c r="L479">
        <v>91200</v>
      </c>
      <c r="M479">
        <v>6937694</v>
      </c>
      <c r="N479">
        <v>640227721300</v>
      </c>
      <c r="O479">
        <v>640561146</v>
      </c>
      <c r="P479">
        <v>58931625432000</v>
      </c>
    </row>
    <row r="480" spans="1:16">
      <c r="A480" t="s">
        <v>31</v>
      </c>
      <c r="B480">
        <v>20260127</v>
      </c>
      <c r="C480">
        <v>34020</v>
      </c>
      <c r="D480" t="s">
        <v>32</v>
      </c>
      <c r="E480" t="s">
        <v>31</v>
      </c>
      <c r="F480" t="s">
        <v>17</v>
      </c>
      <c r="G480">
        <v>93600</v>
      </c>
      <c r="H480">
        <v>1800</v>
      </c>
      <c r="I480">
        <v>1.96</v>
      </c>
      <c r="J480">
        <v>96000</v>
      </c>
      <c r="K480">
        <v>96200</v>
      </c>
      <c r="L480">
        <v>92700</v>
      </c>
      <c r="M480">
        <v>6846342</v>
      </c>
      <c r="N480">
        <v>643416039800</v>
      </c>
      <c r="O480">
        <v>640561146</v>
      </c>
      <c r="P480">
        <v>59956523265600</v>
      </c>
    </row>
    <row r="481" spans="1:16">
      <c r="A481" t="s">
        <v>31</v>
      </c>
      <c r="B481">
        <v>20260126</v>
      </c>
      <c r="C481">
        <v>34020</v>
      </c>
      <c r="D481" t="s">
        <v>32</v>
      </c>
      <c r="E481" t="s">
        <v>31</v>
      </c>
      <c r="F481" t="s">
        <v>17</v>
      </c>
      <c r="G481">
        <v>91800</v>
      </c>
      <c r="H481">
        <v>-1500</v>
      </c>
      <c r="I481">
        <v>-1.61</v>
      </c>
      <c r="J481">
        <v>94600</v>
      </c>
      <c r="K481">
        <v>94600</v>
      </c>
      <c r="L481">
        <v>91100</v>
      </c>
      <c r="M481">
        <v>5800785</v>
      </c>
      <c r="N481">
        <v>535438155400</v>
      </c>
      <c r="O481">
        <v>640561146</v>
      </c>
      <c r="P481">
        <v>58803513202800</v>
      </c>
    </row>
    <row r="482" spans="1:16">
      <c r="A482" t="s">
        <v>31</v>
      </c>
      <c r="B482">
        <v>20260123</v>
      </c>
      <c r="C482">
        <v>34020</v>
      </c>
      <c r="D482" t="s">
        <v>32</v>
      </c>
      <c r="E482" t="s">
        <v>31</v>
      </c>
      <c r="F482" t="s">
        <v>17</v>
      </c>
      <c r="G482">
        <v>93300</v>
      </c>
      <c r="H482">
        <v>3300</v>
      </c>
      <c r="I482">
        <v>3.67</v>
      </c>
      <c r="J482">
        <v>90800</v>
      </c>
      <c r="K482">
        <v>94900</v>
      </c>
      <c r="L482">
        <v>90000</v>
      </c>
      <c r="M482">
        <v>8194841</v>
      </c>
      <c r="N482">
        <v>762095734600</v>
      </c>
      <c r="O482">
        <v>640561146</v>
      </c>
      <c r="P482">
        <v>59764354921800</v>
      </c>
    </row>
    <row r="483" spans="1:16">
      <c r="A483" t="s">
        <v>31</v>
      </c>
      <c r="B483">
        <v>20260122</v>
      </c>
      <c r="C483">
        <v>34020</v>
      </c>
      <c r="D483" t="s">
        <v>32</v>
      </c>
      <c r="E483" t="s">
        <v>31</v>
      </c>
      <c r="F483" t="s">
        <v>17</v>
      </c>
      <c r="G483">
        <v>90000</v>
      </c>
      <c r="H483">
        <v>-1300</v>
      </c>
      <c r="I483">
        <v>-1.42</v>
      </c>
      <c r="J483">
        <v>94100</v>
      </c>
      <c r="K483">
        <v>95700</v>
      </c>
      <c r="L483">
        <v>89500</v>
      </c>
      <c r="M483">
        <v>8033403</v>
      </c>
      <c r="N483">
        <v>741607507700</v>
      </c>
      <c r="O483">
        <v>640561146</v>
      </c>
      <c r="P483">
        <v>57650503140000</v>
      </c>
    </row>
    <row r="484" spans="1:16">
      <c r="A484" t="s">
        <v>31</v>
      </c>
      <c r="B484">
        <v>20260121</v>
      </c>
      <c r="C484">
        <v>34020</v>
      </c>
      <c r="D484" t="s">
        <v>32</v>
      </c>
      <c r="E484" t="s">
        <v>31</v>
      </c>
      <c r="F484" t="s">
        <v>17</v>
      </c>
      <c r="G484">
        <v>91300</v>
      </c>
      <c r="H484">
        <v>-4000</v>
      </c>
      <c r="I484">
        <v>-4.2</v>
      </c>
      <c r="J484">
        <v>91500</v>
      </c>
      <c r="K484">
        <v>92900</v>
      </c>
      <c r="L484">
        <v>90200</v>
      </c>
      <c r="M484">
        <v>7923831</v>
      </c>
      <c r="N484">
        <v>726482928450</v>
      </c>
      <c r="O484">
        <v>640561146</v>
      </c>
      <c r="P484">
        <v>58483232629800</v>
      </c>
    </row>
    <row r="485" spans="1:16">
      <c r="A485" t="s">
        <v>31</v>
      </c>
      <c r="B485">
        <v>20260120</v>
      </c>
      <c r="C485">
        <v>34020</v>
      </c>
      <c r="D485" t="s">
        <v>32</v>
      </c>
      <c r="E485" t="s">
        <v>31</v>
      </c>
      <c r="F485" t="s">
        <v>17</v>
      </c>
      <c r="G485">
        <v>95300</v>
      </c>
      <c r="H485">
        <v>-100</v>
      </c>
      <c r="I485">
        <v>-0.1</v>
      </c>
      <c r="J485">
        <v>96100</v>
      </c>
      <c r="K485">
        <v>98100</v>
      </c>
      <c r="L485">
        <v>92500</v>
      </c>
      <c r="M485">
        <v>10795773</v>
      </c>
      <c r="N485">
        <v>1028604526750</v>
      </c>
      <c r="O485">
        <v>640561146</v>
      </c>
      <c r="P485">
        <v>61045477213800</v>
      </c>
    </row>
    <row r="486" spans="1:16">
      <c r="A486" t="s">
        <v>31</v>
      </c>
      <c r="B486">
        <v>20260119</v>
      </c>
      <c r="C486">
        <v>34020</v>
      </c>
      <c r="D486" t="s">
        <v>32</v>
      </c>
      <c r="E486" t="s">
        <v>31</v>
      </c>
      <c r="F486" t="s">
        <v>17</v>
      </c>
      <c r="G486">
        <v>95400</v>
      </c>
      <c r="H486">
        <v>100</v>
      </c>
      <c r="I486">
        <v>0.1</v>
      </c>
      <c r="J486">
        <v>97000</v>
      </c>
      <c r="K486">
        <v>97000</v>
      </c>
      <c r="L486">
        <v>93700</v>
      </c>
      <c r="M486">
        <v>8509605</v>
      </c>
      <c r="N486">
        <v>808269285350</v>
      </c>
      <c r="O486">
        <v>640561146</v>
      </c>
      <c r="P486">
        <v>61109533328400</v>
      </c>
    </row>
    <row r="487" spans="1:16">
      <c r="A487" t="s">
        <v>31</v>
      </c>
      <c r="B487">
        <v>20260116</v>
      </c>
      <c r="C487">
        <v>34020</v>
      </c>
      <c r="D487" t="s">
        <v>32</v>
      </c>
      <c r="E487" t="s">
        <v>31</v>
      </c>
      <c r="F487" t="s">
        <v>17</v>
      </c>
      <c r="G487">
        <v>95300</v>
      </c>
      <c r="H487">
        <v>5800</v>
      </c>
      <c r="I487">
        <v>6.48</v>
      </c>
      <c r="J487">
        <v>90100</v>
      </c>
      <c r="K487">
        <v>96400</v>
      </c>
      <c r="L487">
        <v>89900</v>
      </c>
      <c r="M487">
        <v>17969737</v>
      </c>
      <c r="N487">
        <v>1686992122000</v>
      </c>
      <c r="O487">
        <v>640561146</v>
      </c>
      <c r="P487">
        <v>61045477213800</v>
      </c>
    </row>
    <row r="488" spans="1:16">
      <c r="A488" t="s">
        <v>31</v>
      </c>
      <c r="B488">
        <v>20260115</v>
      </c>
      <c r="C488">
        <v>34020</v>
      </c>
      <c r="D488" t="s">
        <v>32</v>
      </c>
      <c r="E488" t="s">
        <v>31</v>
      </c>
      <c r="F488" t="s">
        <v>17</v>
      </c>
      <c r="G488">
        <v>89500</v>
      </c>
      <c r="H488">
        <v>-100</v>
      </c>
      <c r="I488">
        <v>-0.11</v>
      </c>
      <c r="J488">
        <v>90000</v>
      </c>
      <c r="K488">
        <v>90100</v>
      </c>
      <c r="L488">
        <v>88400</v>
      </c>
      <c r="M488">
        <v>4591674</v>
      </c>
      <c r="N488">
        <v>408709334700</v>
      </c>
      <c r="O488">
        <v>640561146</v>
      </c>
      <c r="P488">
        <v>57330222567000</v>
      </c>
    </row>
    <row r="489" spans="1:16">
      <c r="A489" t="s">
        <v>31</v>
      </c>
      <c r="B489">
        <v>20260114</v>
      </c>
      <c r="C489">
        <v>34020</v>
      </c>
      <c r="D489" t="s">
        <v>32</v>
      </c>
      <c r="E489" t="s">
        <v>31</v>
      </c>
      <c r="F489" t="s">
        <v>17</v>
      </c>
      <c r="G489">
        <v>89600</v>
      </c>
      <c r="H489">
        <v>2600</v>
      </c>
      <c r="I489">
        <v>2.99</v>
      </c>
      <c r="J489">
        <v>88000</v>
      </c>
      <c r="K489">
        <v>90800</v>
      </c>
      <c r="L489">
        <v>86500</v>
      </c>
      <c r="M489">
        <v>11558755</v>
      </c>
      <c r="N489">
        <v>1032297178050</v>
      </c>
      <c r="O489">
        <v>640561146</v>
      </c>
      <c r="P489">
        <v>57394278681600</v>
      </c>
    </row>
    <row r="490" spans="1:16">
      <c r="A490" t="s">
        <v>31</v>
      </c>
      <c r="B490">
        <v>20260113</v>
      </c>
      <c r="C490">
        <v>34020</v>
      </c>
      <c r="D490" t="s">
        <v>32</v>
      </c>
      <c r="E490" t="s">
        <v>31</v>
      </c>
      <c r="F490" t="s">
        <v>17</v>
      </c>
      <c r="G490">
        <v>87000</v>
      </c>
      <c r="H490">
        <v>-1100</v>
      </c>
      <c r="I490">
        <v>-1.25</v>
      </c>
      <c r="J490">
        <v>88000</v>
      </c>
      <c r="K490">
        <v>88100</v>
      </c>
      <c r="L490">
        <v>85500</v>
      </c>
      <c r="M490">
        <v>5385770</v>
      </c>
      <c r="N490">
        <v>465219248000</v>
      </c>
      <c r="O490">
        <v>640561146</v>
      </c>
      <c r="P490">
        <v>55728819702000</v>
      </c>
    </row>
    <row r="491" spans="1:16">
      <c r="A491" t="s">
        <v>31</v>
      </c>
      <c r="B491">
        <v>20260112</v>
      </c>
      <c r="C491">
        <v>34020</v>
      </c>
      <c r="D491" t="s">
        <v>32</v>
      </c>
      <c r="E491" t="s">
        <v>31</v>
      </c>
      <c r="F491" t="s">
        <v>17</v>
      </c>
      <c r="G491">
        <v>88100</v>
      </c>
      <c r="H491">
        <v>3900</v>
      </c>
      <c r="I491">
        <v>4.63</v>
      </c>
      <c r="J491">
        <v>87700</v>
      </c>
      <c r="K491">
        <v>90400</v>
      </c>
      <c r="L491">
        <v>86200</v>
      </c>
      <c r="M491">
        <v>11400912</v>
      </c>
      <c r="N491">
        <v>1004849502200</v>
      </c>
      <c r="O491">
        <v>640561146</v>
      </c>
      <c r="P491">
        <v>56433436962600</v>
      </c>
    </row>
    <row r="492" spans="1:16">
      <c r="A492" t="s">
        <v>31</v>
      </c>
      <c r="B492">
        <v>20260109</v>
      </c>
      <c r="C492">
        <v>34020</v>
      </c>
      <c r="D492" t="s">
        <v>32</v>
      </c>
      <c r="E492" t="s">
        <v>31</v>
      </c>
      <c r="F492" t="s">
        <v>17</v>
      </c>
      <c r="G492">
        <v>84200</v>
      </c>
      <c r="H492">
        <v>500</v>
      </c>
      <c r="I492">
        <v>0.6</v>
      </c>
      <c r="J492">
        <v>84900</v>
      </c>
      <c r="K492">
        <v>87300</v>
      </c>
      <c r="L492">
        <v>83300</v>
      </c>
      <c r="M492">
        <v>5124556</v>
      </c>
      <c r="N492">
        <v>433926387050</v>
      </c>
      <c r="O492">
        <v>640561146</v>
      </c>
      <c r="P492">
        <v>53935248493200</v>
      </c>
    </row>
    <row r="493" spans="1:16">
      <c r="A493" t="s">
        <v>31</v>
      </c>
      <c r="B493">
        <v>20260108</v>
      </c>
      <c r="C493">
        <v>34020</v>
      </c>
      <c r="D493" t="s">
        <v>32</v>
      </c>
      <c r="E493" t="s">
        <v>31</v>
      </c>
      <c r="F493" t="s">
        <v>17</v>
      </c>
      <c r="G493">
        <v>83700</v>
      </c>
      <c r="H493">
        <v>-300</v>
      </c>
      <c r="I493">
        <v>-0.36</v>
      </c>
      <c r="J493">
        <v>85000</v>
      </c>
      <c r="K493">
        <v>86000</v>
      </c>
      <c r="L493">
        <v>83300</v>
      </c>
      <c r="M493">
        <v>4745395</v>
      </c>
      <c r="N493">
        <v>400329211000</v>
      </c>
      <c r="O493">
        <v>640561146</v>
      </c>
      <c r="P493">
        <v>53614967920200</v>
      </c>
    </row>
    <row r="494" spans="1:16">
      <c r="A494" t="s">
        <v>31</v>
      </c>
      <c r="B494">
        <v>20260107</v>
      </c>
      <c r="C494">
        <v>34020</v>
      </c>
      <c r="D494" t="s">
        <v>32</v>
      </c>
      <c r="E494" t="s">
        <v>31</v>
      </c>
      <c r="F494" t="s">
        <v>17</v>
      </c>
      <c r="G494">
        <v>84000</v>
      </c>
      <c r="H494">
        <v>-1900</v>
      </c>
      <c r="I494">
        <v>-2.21</v>
      </c>
      <c r="J494">
        <v>85000</v>
      </c>
      <c r="K494">
        <v>86900</v>
      </c>
      <c r="L494">
        <v>83200</v>
      </c>
      <c r="M494">
        <v>6931439</v>
      </c>
      <c r="N494">
        <v>588587401300</v>
      </c>
      <c r="O494">
        <v>640561146</v>
      </c>
      <c r="P494">
        <v>53807136264000</v>
      </c>
    </row>
    <row r="495" spans="1:16">
      <c r="A495" t="s">
        <v>31</v>
      </c>
      <c r="B495">
        <v>20260106</v>
      </c>
      <c r="C495">
        <v>34020</v>
      </c>
      <c r="D495" t="s">
        <v>32</v>
      </c>
      <c r="E495" t="s">
        <v>31</v>
      </c>
      <c r="F495" t="s">
        <v>17</v>
      </c>
      <c r="G495">
        <v>85900</v>
      </c>
      <c r="H495">
        <v>2700</v>
      </c>
      <c r="I495">
        <v>3.25</v>
      </c>
      <c r="J495">
        <v>86000</v>
      </c>
      <c r="K495">
        <v>86100</v>
      </c>
      <c r="L495">
        <v>81900</v>
      </c>
      <c r="M495">
        <v>9538963</v>
      </c>
      <c r="N495">
        <v>803388198250</v>
      </c>
      <c r="O495">
        <v>640561146</v>
      </c>
      <c r="P495">
        <v>55024202441400</v>
      </c>
    </row>
    <row r="496" spans="1:16">
      <c r="A496" t="s">
        <v>31</v>
      </c>
      <c r="B496">
        <v>20260105</v>
      </c>
      <c r="C496">
        <v>34020</v>
      </c>
      <c r="D496" t="s">
        <v>32</v>
      </c>
      <c r="E496" t="s">
        <v>31</v>
      </c>
      <c r="F496" t="s">
        <v>17</v>
      </c>
      <c r="G496">
        <v>83200</v>
      </c>
      <c r="H496">
        <v>8000</v>
      </c>
      <c r="I496">
        <v>10.64</v>
      </c>
      <c r="J496">
        <v>76600</v>
      </c>
      <c r="K496">
        <v>83300</v>
      </c>
      <c r="L496">
        <v>76500</v>
      </c>
      <c r="M496">
        <v>15125707</v>
      </c>
      <c r="N496">
        <v>1235873288900</v>
      </c>
      <c r="O496">
        <v>640561146</v>
      </c>
      <c r="P496">
        <v>53294687347200</v>
      </c>
    </row>
    <row r="497" spans="1:16">
      <c r="A497" t="s">
        <v>31</v>
      </c>
      <c r="B497">
        <v>20260102</v>
      </c>
      <c r="C497">
        <v>34020</v>
      </c>
      <c r="D497" t="s">
        <v>32</v>
      </c>
      <c r="E497" t="s">
        <v>31</v>
      </c>
      <c r="F497" t="s">
        <v>17</v>
      </c>
      <c r="G497">
        <v>75200</v>
      </c>
      <c r="H497">
        <v>-100</v>
      </c>
      <c r="I497">
        <v>-0.13</v>
      </c>
      <c r="J497">
        <v>75800</v>
      </c>
      <c r="K497">
        <v>76200</v>
      </c>
      <c r="L497">
        <v>74600</v>
      </c>
      <c r="M497">
        <v>2800553</v>
      </c>
      <c r="N497">
        <v>211227939650</v>
      </c>
      <c r="O497">
        <v>640561146</v>
      </c>
      <c r="P497">
        <v>48170198179200</v>
      </c>
    </row>
    <row r="498" spans="1:16">
      <c r="A498" t="s">
        <v>33</v>
      </c>
      <c r="B498">
        <v>20260403</v>
      </c>
      <c r="C498">
        <v>270</v>
      </c>
      <c r="D498" t="s">
        <v>34</v>
      </c>
      <c r="E498" t="s">
        <v>33</v>
      </c>
      <c r="F498" t="s">
        <v>17</v>
      </c>
      <c r="G498">
        <v>150200</v>
      </c>
      <c r="H498">
        <v>-400</v>
      </c>
      <c r="I498">
        <v>-0.27</v>
      </c>
      <c r="J498">
        <v>153000</v>
      </c>
      <c r="K498">
        <v>156100</v>
      </c>
      <c r="L498">
        <v>149700</v>
      </c>
      <c r="M498">
        <v>508389</v>
      </c>
      <c r="N498">
        <v>77008078150</v>
      </c>
      <c r="O498">
        <v>390412998</v>
      </c>
      <c r="P498">
        <v>58640032299600</v>
      </c>
    </row>
    <row r="499" spans="1:16">
      <c r="A499" t="s">
        <v>33</v>
      </c>
      <c r="B499">
        <v>20260402</v>
      </c>
      <c r="C499">
        <v>270</v>
      </c>
      <c r="D499" t="s">
        <v>34</v>
      </c>
      <c r="E499" t="s">
        <v>33</v>
      </c>
      <c r="F499" t="s">
        <v>17</v>
      </c>
      <c r="G499">
        <v>150600</v>
      </c>
      <c r="H499">
        <v>-4700</v>
      </c>
      <c r="I499">
        <v>-3.03</v>
      </c>
      <c r="J499">
        <v>157900</v>
      </c>
      <c r="K499">
        <v>160300</v>
      </c>
      <c r="L499">
        <v>148600</v>
      </c>
      <c r="M499">
        <v>1122509</v>
      </c>
      <c r="N499">
        <v>172162892000</v>
      </c>
      <c r="O499">
        <v>390412998</v>
      </c>
      <c r="P499">
        <v>58796197498800</v>
      </c>
    </row>
    <row r="500" spans="1:16">
      <c r="A500" t="s">
        <v>33</v>
      </c>
      <c r="B500">
        <v>20260401</v>
      </c>
      <c r="C500">
        <v>270</v>
      </c>
      <c r="D500" t="s">
        <v>34</v>
      </c>
      <c r="E500" t="s">
        <v>33</v>
      </c>
      <c r="F500" t="s">
        <v>17</v>
      </c>
      <c r="G500">
        <v>155300</v>
      </c>
      <c r="H500">
        <v>10100</v>
      </c>
      <c r="I500">
        <v>6.96</v>
      </c>
      <c r="J500">
        <v>152900</v>
      </c>
      <c r="K500">
        <v>157000</v>
      </c>
      <c r="L500">
        <v>150100</v>
      </c>
      <c r="M500">
        <v>1056596</v>
      </c>
      <c r="N500">
        <v>162525582400</v>
      </c>
      <c r="O500">
        <v>390412998</v>
      </c>
      <c r="P500">
        <v>60631138589400</v>
      </c>
    </row>
    <row r="501" spans="1:16">
      <c r="A501" t="s">
        <v>33</v>
      </c>
      <c r="B501">
        <v>20260331</v>
      </c>
      <c r="C501">
        <v>270</v>
      </c>
      <c r="D501" t="s">
        <v>34</v>
      </c>
      <c r="E501" t="s">
        <v>33</v>
      </c>
      <c r="F501" t="s">
        <v>17</v>
      </c>
      <c r="G501">
        <v>145200</v>
      </c>
      <c r="H501">
        <v>-6300</v>
      </c>
      <c r="I501">
        <v>-4.16</v>
      </c>
      <c r="J501">
        <v>145100</v>
      </c>
      <c r="K501">
        <v>151800</v>
      </c>
      <c r="L501">
        <v>143800</v>
      </c>
      <c r="M501">
        <v>1442003</v>
      </c>
      <c r="N501">
        <v>210581945800</v>
      </c>
      <c r="O501">
        <v>390412998</v>
      </c>
      <c r="P501">
        <v>56687967309600</v>
      </c>
    </row>
    <row r="502" spans="1:16">
      <c r="A502" t="s">
        <v>33</v>
      </c>
      <c r="B502">
        <v>20260330</v>
      </c>
      <c r="C502">
        <v>270</v>
      </c>
      <c r="D502" t="s">
        <v>34</v>
      </c>
      <c r="E502" t="s">
        <v>33</v>
      </c>
      <c r="F502" t="s">
        <v>17</v>
      </c>
      <c r="G502">
        <v>151500</v>
      </c>
      <c r="H502">
        <v>-4300</v>
      </c>
      <c r="I502">
        <v>-2.76</v>
      </c>
      <c r="J502">
        <v>147400</v>
      </c>
      <c r="K502">
        <v>151900</v>
      </c>
      <c r="L502">
        <v>145400</v>
      </c>
      <c r="M502">
        <v>976319</v>
      </c>
      <c r="N502">
        <v>146140226850</v>
      </c>
      <c r="O502">
        <v>390412998</v>
      </c>
      <c r="P502">
        <v>59147569197000</v>
      </c>
    </row>
    <row r="503" spans="1:16">
      <c r="A503" t="s">
        <v>33</v>
      </c>
      <c r="B503">
        <v>20260327</v>
      </c>
      <c r="C503">
        <v>270</v>
      </c>
      <c r="D503" t="s">
        <v>34</v>
      </c>
      <c r="E503" t="s">
        <v>33</v>
      </c>
      <c r="F503" t="s">
        <v>17</v>
      </c>
      <c r="G503">
        <v>155800</v>
      </c>
      <c r="H503">
        <v>1100</v>
      </c>
      <c r="I503">
        <v>0.71</v>
      </c>
      <c r="J503">
        <v>150800</v>
      </c>
      <c r="K503">
        <v>156300</v>
      </c>
      <c r="L503">
        <v>149400</v>
      </c>
      <c r="M503">
        <v>832198</v>
      </c>
      <c r="N503">
        <v>127589700150</v>
      </c>
      <c r="O503">
        <v>390412998</v>
      </c>
      <c r="P503">
        <v>60826345088400</v>
      </c>
    </row>
    <row r="504" spans="1:16">
      <c r="A504" t="s">
        <v>33</v>
      </c>
      <c r="B504">
        <v>20260326</v>
      </c>
      <c r="C504">
        <v>270</v>
      </c>
      <c r="D504" t="s">
        <v>34</v>
      </c>
      <c r="E504" t="s">
        <v>33</v>
      </c>
      <c r="F504" t="s">
        <v>17</v>
      </c>
      <c r="G504">
        <v>154700</v>
      </c>
      <c r="H504">
        <v>-3200</v>
      </c>
      <c r="I504">
        <v>-2.0299999999999998</v>
      </c>
      <c r="J504">
        <v>156500</v>
      </c>
      <c r="K504">
        <v>158000</v>
      </c>
      <c r="L504">
        <v>154300</v>
      </c>
      <c r="M504">
        <v>836063</v>
      </c>
      <c r="N504">
        <v>129985821850</v>
      </c>
      <c r="O504">
        <v>390412998</v>
      </c>
      <c r="P504">
        <v>60396890790600</v>
      </c>
    </row>
    <row r="505" spans="1:16">
      <c r="A505" t="s">
        <v>33</v>
      </c>
      <c r="B505">
        <v>20260325</v>
      </c>
      <c r="C505">
        <v>270</v>
      </c>
      <c r="D505" t="s">
        <v>34</v>
      </c>
      <c r="E505" t="s">
        <v>33</v>
      </c>
      <c r="F505" t="s">
        <v>17</v>
      </c>
      <c r="G505">
        <v>157900</v>
      </c>
      <c r="H505">
        <v>0</v>
      </c>
      <c r="I505">
        <v>0</v>
      </c>
      <c r="J505">
        <v>160600</v>
      </c>
      <c r="K505">
        <v>163300</v>
      </c>
      <c r="L505">
        <v>157900</v>
      </c>
      <c r="M505">
        <v>1032979</v>
      </c>
      <c r="N505">
        <v>165269827300</v>
      </c>
      <c r="O505">
        <v>390412998</v>
      </c>
      <c r="P505">
        <v>61646212384200</v>
      </c>
    </row>
    <row r="506" spans="1:16">
      <c r="A506" t="s">
        <v>33</v>
      </c>
      <c r="B506">
        <v>20260324</v>
      </c>
      <c r="C506">
        <v>270</v>
      </c>
      <c r="D506" t="s">
        <v>34</v>
      </c>
      <c r="E506" t="s">
        <v>33</v>
      </c>
      <c r="F506" t="s">
        <v>17</v>
      </c>
      <c r="G506">
        <v>157900</v>
      </c>
      <c r="H506">
        <v>-3800</v>
      </c>
      <c r="I506">
        <v>-2.35</v>
      </c>
      <c r="J506">
        <v>164000</v>
      </c>
      <c r="K506">
        <v>164200</v>
      </c>
      <c r="L506">
        <v>154500</v>
      </c>
      <c r="M506">
        <v>1544213</v>
      </c>
      <c r="N506">
        <v>243716151240</v>
      </c>
      <c r="O506">
        <v>390412998</v>
      </c>
      <c r="P506">
        <v>61646212384200</v>
      </c>
    </row>
    <row r="507" spans="1:16">
      <c r="A507" t="s">
        <v>33</v>
      </c>
      <c r="B507">
        <v>20260323</v>
      </c>
      <c r="C507">
        <v>270</v>
      </c>
      <c r="D507" t="s">
        <v>34</v>
      </c>
      <c r="E507" t="s">
        <v>33</v>
      </c>
      <c r="F507" t="s">
        <v>17</v>
      </c>
      <c r="G507">
        <v>161700</v>
      </c>
      <c r="H507">
        <v>-6800</v>
      </c>
      <c r="I507">
        <v>-4.04</v>
      </c>
      <c r="J507">
        <v>162100</v>
      </c>
      <c r="K507">
        <v>163900</v>
      </c>
      <c r="L507">
        <v>159200</v>
      </c>
      <c r="M507">
        <v>1347768</v>
      </c>
      <c r="N507">
        <v>217498652950</v>
      </c>
      <c r="O507">
        <v>390412998</v>
      </c>
      <c r="P507">
        <v>63129781776600</v>
      </c>
    </row>
    <row r="508" spans="1:16">
      <c r="A508" t="s">
        <v>33</v>
      </c>
      <c r="B508">
        <v>20260320</v>
      </c>
      <c r="C508">
        <v>270</v>
      </c>
      <c r="D508" t="s">
        <v>34</v>
      </c>
      <c r="E508" t="s">
        <v>33</v>
      </c>
      <c r="F508" t="s">
        <v>17</v>
      </c>
      <c r="G508">
        <v>168500</v>
      </c>
      <c r="H508">
        <v>-2000</v>
      </c>
      <c r="I508">
        <v>-1.17</v>
      </c>
      <c r="J508">
        <v>172100</v>
      </c>
      <c r="K508">
        <v>172500</v>
      </c>
      <c r="L508">
        <v>168500</v>
      </c>
      <c r="M508">
        <v>2000787</v>
      </c>
      <c r="N508">
        <v>338765942000</v>
      </c>
      <c r="O508">
        <v>390412998</v>
      </c>
      <c r="P508">
        <v>65784590163000</v>
      </c>
    </row>
    <row r="509" spans="1:16">
      <c r="A509" t="s">
        <v>33</v>
      </c>
      <c r="B509">
        <v>20260319</v>
      </c>
      <c r="C509">
        <v>270</v>
      </c>
      <c r="D509" t="s">
        <v>34</v>
      </c>
      <c r="E509" t="s">
        <v>33</v>
      </c>
      <c r="F509" t="s">
        <v>17</v>
      </c>
      <c r="G509">
        <v>170500</v>
      </c>
      <c r="H509">
        <v>-4600</v>
      </c>
      <c r="I509">
        <v>-2.63</v>
      </c>
      <c r="J509">
        <v>171000</v>
      </c>
      <c r="K509">
        <v>173900</v>
      </c>
      <c r="L509">
        <v>170200</v>
      </c>
      <c r="M509">
        <v>904634</v>
      </c>
      <c r="N509">
        <v>155193662000</v>
      </c>
      <c r="O509">
        <v>390412998</v>
      </c>
      <c r="P509">
        <v>66565416159000</v>
      </c>
    </row>
    <row r="510" spans="1:16">
      <c r="A510" t="s">
        <v>33</v>
      </c>
      <c r="B510">
        <v>20260318</v>
      </c>
      <c r="C510">
        <v>270</v>
      </c>
      <c r="D510" t="s">
        <v>34</v>
      </c>
      <c r="E510" t="s">
        <v>33</v>
      </c>
      <c r="F510" t="s">
        <v>17</v>
      </c>
      <c r="G510">
        <v>175100</v>
      </c>
      <c r="H510">
        <v>7800</v>
      </c>
      <c r="I510">
        <v>4.66</v>
      </c>
      <c r="J510">
        <v>171100</v>
      </c>
      <c r="K510">
        <v>176300</v>
      </c>
      <c r="L510">
        <v>170600</v>
      </c>
      <c r="M510">
        <v>1186749</v>
      </c>
      <c r="N510">
        <v>206415739250</v>
      </c>
      <c r="O510">
        <v>390412998</v>
      </c>
      <c r="P510">
        <v>68361315949800</v>
      </c>
    </row>
    <row r="511" spans="1:16">
      <c r="A511" t="s">
        <v>33</v>
      </c>
      <c r="B511">
        <v>20260317</v>
      </c>
      <c r="C511">
        <v>270</v>
      </c>
      <c r="D511" t="s">
        <v>34</v>
      </c>
      <c r="E511" t="s">
        <v>33</v>
      </c>
      <c r="F511" t="s">
        <v>17</v>
      </c>
      <c r="G511">
        <v>167300</v>
      </c>
      <c r="H511">
        <v>5300</v>
      </c>
      <c r="I511">
        <v>3.27</v>
      </c>
      <c r="J511">
        <v>167000</v>
      </c>
      <c r="K511">
        <v>170900</v>
      </c>
      <c r="L511">
        <v>167000</v>
      </c>
      <c r="M511">
        <v>1068349</v>
      </c>
      <c r="N511">
        <v>179957298500</v>
      </c>
      <c r="O511">
        <v>390412998</v>
      </c>
      <c r="P511">
        <v>65316094565400</v>
      </c>
    </row>
    <row r="512" spans="1:16">
      <c r="A512" t="s">
        <v>33</v>
      </c>
      <c r="B512">
        <v>20260316</v>
      </c>
      <c r="C512">
        <v>270</v>
      </c>
      <c r="D512" t="s">
        <v>34</v>
      </c>
      <c r="E512" t="s">
        <v>33</v>
      </c>
      <c r="F512" t="s">
        <v>17</v>
      </c>
      <c r="G512">
        <v>162000</v>
      </c>
      <c r="H512">
        <v>-2300</v>
      </c>
      <c r="I512">
        <v>-1.4</v>
      </c>
      <c r="J512">
        <v>162800</v>
      </c>
      <c r="K512">
        <v>165200</v>
      </c>
      <c r="L512">
        <v>161800</v>
      </c>
      <c r="M512">
        <v>1055451</v>
      </c>
      <c r="N512">
        <v>172014463050</v>
      </c>
      <c r="O512">
        <v>390412998</v>
      </c>
      <c r="P512">
        <v>63246905676000</v>
      </c>
    </row>
    <row r="513" spans="1:16">
      <c r="A513" t="s">
        <v>33</v>
      </c>
      <c r="B513">
        <v>20260313</v>
      </c>
      <c r="C513">
        <v>270</v>
      </c>
      <c r="D513" t="s">
        <v>34</v>
      </c>
      <c r="E513" t="s">
        <v>33</v>
      </c>
      <c r="F513" t="s">
        <v>17</v>
      </c>
      <c r="G513">
        <v>164300</v>
      </c>
      <c r="H513">
        <v>-2700</v>
      </c>
      <c r="I513">
        <v>-1.62</v>
      </c>
      <c r="J513">
        <v>161400</v>
      </c>
      <c r="K513">
        <v>166200</v>
      </c>
      <c r="L513">
        <v>158700</v>
      </c>
      <c r="M513">
        <v>1614149</v>
      </c>
      <c r="N513">
        <v>263932255600</v>
      </c>
      <c r="O513">
        <v>390412998</v>
      </c>
      <c r="P513">
        <v>64144855571400</v>
      </c>
    </row>
    <row r="514" spans="1:16">
      <c r="A514" t="s">
        <v>33</v>
      </c>
      <c r="B514">
        <v>20260312</v>
      </c>
      <c r="C514">
        <v>270</v>
      </c>
      <c r="D514" t="s">
        <v>34</v>
      </c>
      <c r="E514" t="s">
        <v>33</v>
      </c>
      <c r="F514" t="s">
        <v>17</v>
      </c>
      <c r="G514">
        <v>167000</v>
      </c>
      <c r="H514">
        <v>5000</v>
      </c>
      <c r="I514">
        <v>3.09</v>
      </c>
      <c r="J514">
        <v>161500</v>
      </c>
      <c r="K514">
        <v>167000</v>
      </c>
      <c r="L514">
        <v>161300</v>
      </c>
      <c r="M514">
        <v>1348612</v>
      </c>
      <c r="N514">
        <v>223217194150</v>
      </c>
      <c r="O514">
        <v>390412998</v>
      </c>
      <c r="P514">
        <v>65198970666000</v>
      </c>
    </row>
    <row r="515" spans="1:16">
      <c r="A515" t="s">
        <v>33</v>
      </c>
      <c r="B515">
        <v>20260311</v>
      </c>
      <c r="C515">
        <v>270</v>
      </c>
      <c r="D515" t="s">
        <v>34</v>
      </c>
      <c r="E515" t="s">
        <v>33</v>
      </c>
      <c r="F515" t="s">
        <v>17</v>
      </c>
      <c r="G515">
        <v>162000</v>
      </c>
      <c r="H515">
        <v>1000</v>
      </c>
      <c r="I515">
        <v>0.62</v>
      </c>
      <c r="J515">
        <v>169000</v>
      </c>
      <c r="K515">
        <v>170400</v>
      </c>
      <c r="L515">
        <v>160500</v>
      </c>
      <c r="M515">
        <v>1171357</v>
      </c>
      <c r="N515">
        <v>194686714404</v>
      </c>
      <c r="O515">
        <v>390412998</v>
      </c>
      <c r="P515">
        <v>63246905676000</v>
      </c>
    </row>
    <row r="516" spans="1:16">
      <c r="A516" t="s">
        <v>33</v>
      </c>
      <c r="B516">
        <v>20260310</v>
      </c>
      <c r="C516">
        <v>270</v>
      </c>
      <c r="D516" t="s">
        <v>34</v>
      </c>
      <c r="E516" t="s">
        <v>33</v>
      </c>
      <c r="F516" t="s">
        <v>17</v>
      </c>
      <c r="G516">
        <v>161000</v>
      </c>
      <c r="H516">
        <v>7600</v>
      </c>
      <c r="I516">
        <v>4.95</v>
      </c>
      <c r="J516">
        <v>160200</v>
      </c>
      <c r="K516">
        <v>163000</v>
      </c>
      <c r="L516">
        <v>157000</v>
      </c>
      <c r="M516">
        <v>1765368</v>
      </c>
      <c r="N516">
        <v>282690077350</v>
      </c>
      <c r="O516">
        <v>390412998</v>
      </c>
      <c r="P516">
        <v>62856492678000</v>
      </c>
    </row>
    <row r="517" spans="1:16">
      <c r="A517" t="s">
        <v>33</v>
      </c>
      <c r="B517">
        <v>20260309</v>
      </c>
      <c r="C517">
        <v>270</v>
      </c>
      <c r="D517" t="s">
        <v>34</v>
      </c>
      <c r="E517" t="s">
        <v>33</v>
      </c>
      <c r="F517" t="s">
        <v>17</v>
      </c>
      <c r="G517">
        <v>153400</v>
      </c>
      <c r="H517">
        <v>-13600</v>
      </c>
      <c r="I517">
        <v>-8.14</v>
      </c>
      <c r="J517">
        <v>152100</v>
      </c>
      <c r="K517">
        <v>155000</v>
      </c>
      <c r="L517">
        <v>150100</v>
      </c>
      <c r="M517">
        <v>1846031</v>
      </c>
      <c r="N517">
        <v>281529388800</v>
      </c>
      <c r="O517">
        <v>390412998</v>
      </c>
      <c r="P517">
        <v>59889353893200</v>
      </c>
    </row>
    <row r="518" spans="1:16">
      <c r="A518" t="s">
        <v>33</v>
      </c>
      <c r="B518">
        <v>20260306</v>
      </c>
      <c r="C518">
        <v>270</v>
      </c>
      <c r="D518" t="s">
        <v>34</v>
      </c>
      <c r="E518" t="s">
        <v>33</v>
      </c>
      <c r="F518" t="s">
        <v>17</v>
      </c>
      <c r="G518">
        <v>167000</v>
      </c>
      <c r="H518">
        <v>600</v>
      </c>
      <c r="I518">
        <v>0.36</v>
      </c>
      <c r="J518">
        <v>161100</v>
      </c>
      <c r="K518">
        <v>169600</v>
      </c>
      <c r="L518">
        <v>161000</v>
      </c>
      <c r="M518">
        <v>1667956</v>
      </c>
      <c r="N518">
        <v>276839370000</v>
      </c>
      <c r="O518">
        <v>390412998</v>
      </c>
      <c r="P518">
        <v>65198970666000</v>
      </c>
    </row>
    <row r="519" spans="1:16">
      <c r="A519" t="s">
        <v>33</v>
      </c>
      <c r="B519">
        <v>20260305</v>
      </c>
      <c r="C519">
        <v>270</v>
      </c>
      <c r="D519" t="s">
        <v>34</v>
      </c>
      <c r="E519" t="s">
        <v>33</v>
      </c>
      <c r="F519" t="s">
        <v>17</v>
      </c>
      <c r="G519">
        <v>166400</v>
      </c>
      <c r="H519">
        <v>9700</v>
      </c>
      <c r="I519">
        <v>6.19</v>
      </c>
      <c r="J519">
        <v>171600</v>
      </c>
      <c r="K519">
        <v>172600</v>
      </c>
      <c r="L519">
        <v>163400</v>
      </c>
      <c r="M519">
        <v>2697408</v>
      </c>
      <c r="N519">
        <v>453920189350</v>
      </c>
      <c r="O519">
        <v>390412998</v>
      </c>
      <c r="P519">
        <v>64964722867200</v>
      </c>
    </row>
    <row r="520" spans="1:16">
      <c r="A520" t="s">
        <v>33</v>
      </c>
      <c r="B520">
        <v>20260304</v>
      </c>
      <c r="C520">
        <v>270</v>
      </c>
      <c r="D520" t="s">
        <v>34</v>
      </c>
      <c r="E520" t="s">
        <v>33</v>
      </c>
      <c r="F520" t="s">
        <v>17</v>
      </c>
      <c r="G520">
        <v>156700</v>
      </c>
      <c r="H520">
        <v>-25600</v>
      </c>
      <c r="I520">
        <v>-14.04</v>
      </c>
      <c r="J520">
        <v>167600</v>
      </c>
      <c r="K520">
        <v>176900</v>
      </c>
      <c r="L520">
        <v>155000</v>
      </c>
      <c r="M520">
        <v>2941762</v>
      </c>
      <c r="N520">
        <v>481783054100</v>
      </c>
      <c r="O520">
        <v>390412998</v>
      </c>
      <c r="P520">
        <v>61177716786600</v>
      </c>
    </row>
    <row r="521" spans="1:16">
      <c r="A521" t="s">
        <v>33</v>
      </c>
      <c r="B521">
        <v>20260303</v>
      </c>
      <c r="C521">
        <v>270</v>
      </c>
      <c r="D521" t="s">
        <v>34</v>
      </c>
      <c r="E521" t="s">
        <v>33</v>
      </c>
      <c r="F521" t="s">
        <v>17</v>
      </c>
      <c r="G521">
        <v>182300</v>
      </c>
      <c r="H521">
        <v>-23200</v>
      </c>
      <c r="I521">
        <v>-11.29</v>
      </c>
      <c r="J521">
        <v>185000</v>
      </c>
      <c r="K521">
        <v>195700</v>
      </c>
      <c r="L521">
        <v>180000</v>
      </c>
      <c r="M521">
        <v>3431157</v>
      </c>
      <c r="N521">
        <v>647097752685</v>
      </c>
      <c r="O521">
        <v>390412998</v>
      </c>
      <c r="P521">
        <v>71172289535400</v>
      </c>
    </row>
    <row r="522" spans="1:16">
      <c r="A522" t="s">
        <v>33</v>
      </c>
      <c r="B522">
        <v>20260227</v>
      </c>
      <c r="C522">
        <v>270</v>
      </c>
      <c r="D522" t="s">
        <v>34</v>
      </c>
      <c r="E522" t="s">
        <v>33</v>
      </c>
      <c r="F522" t="s">
        <v>17</v>
      </c>
      <c r="G522">
        <v>205500</v>
      </c>
      <c r="H522">
        <v>-500</v>
      </c>
      <c r="I522">
        <v>-0.24</v>
      </c>
      <c r="J522">
        <v>199600</v>
      </c>
      <c r="K522">
        <v>212500</v>
      </c>
      <c r="L522">
        <v>197100</v>
      </c>
      <c r="M522">
        <v>2945241</v>
      </c>
      <c r="N522">
        <v>601959886300</v>
      </c>
      <c r="O522">
        <v>390412998</v>
      </c>
      <c r="P522">
        <v>80229871089000</v>
      </c>
    </row>
    <row r="523" spans="1:16">
      <c r="A523" t="s">
        <v>33</v>
      </c>
      <c r="B523">
        <v>20260226</v>
      </c>
      <c r="C523">
        <v>270</v>
      </c>
      <c r="D523" t="s">
        <v>34</v>
      </c>
      <c r="E523" t="s">
        <v>33</v>
      </c>
      <c r="F523" t="s">
        <v>17</v>
      </c>
      <c r="G523">
        <v>206000</v>
      </c>
      <c r="H523">
        <v>9900</v>
      </c>
      <c r="I523">
        <v>5.05</v>
      </c>
      <c r="J523">
        <v>197400</v>
      </c>
      <c r="K523">
        <v>208000</v>
      </c>
      <c r="L523">
        <v>194100</v>
      </c>
      <c r="M523">
        <v>1991104</v>
      </c>
      <c r="N523">
        <v>401088765850</v>
      </c>
      <c r="O523">
        <v>390412998</v>
      </c>
      <c r="P523">
        <v>80425077588000</v>
      </c>
    </row>
    <row r="524" spans="1:16">
      <c r="A524" t="s">
        <v>33</v>
      </c>
      <c r="B524">
        <v>20260225</v>
      </c>
      <c r="C524">
        <v>270</v>
      </c>
      <c r="D524" t="s">
        <v>34</v>
      </c>
      <c r="E524" t="s">
        <v>33</v>
      </c>
      <c r="F524" t="s">
        <v>17</v>
      </c>
      <c r="G524">
        <v>196100</v>
      </c>
      <c r="H524">
        <v>22100</v>
      </c>
      <c r="I524">
        <v>12.7</v>
      </c>
      <c r="J524">
        <v>175700</v>
      </c>
      <c r="K524">
        <v>199900</v>
      </c>
      <c r="L524">
        <v>175500</v>
      </c>
      <c r="M524">
        <v>3876333</v>
      </c>
      <c r="N524">
        <v>754631374600</v>
      </c>
      <c r="O524">
        <v>390412998</v>
      </c>
      <c r="P524">
        <v>76559988907800</v>
      </c>
    </row>
    <row r="525" spans="1:16">
      <c r="A525" t="s">
        <v>33</v>
      </c>
      <c r="B525">
        <v>20260224</v>
      </c>
      <c r="C525">
        <v>270</v>
      </c>
      <c r="D525" t="s">
        <v>34</v>
      </c>
      <c r="E525" t="s">
        <v>33</v>
      </c>
      <c r="F525" t="s">
        <v>17</v>
      </c>
      <c r="G525">
        <v>174000</v>
      </c>
      <c r="H525">
        <v>1300</v>
      </c>
      <c r="I525">
        <v>0.75</v>
      </c>
      <c r="J525">
        <v>171200</v>
      </c>
      <c r="K525">
        <v>174500</v>
      </c>
      <c r="L525">
        <v>169300</v>
      </c>
      <c r="M525">
        <v>1213901</v>
      </c>
      <c r="N525">
        <v>209850549000</v>
      </c>
      <c r="O525">
        <v>390412998</v>
      </c>
      <c r="P525">
        <v>67931861652000</v>
      </c>
    </row>
    <row r="526" spans="1:16">
      <c r="A526" t="s">
        <v>33</v>
      </c>
      <c r="B526">
        <v>20260223</v>
      </c>
      <c r="C526">
        <v>270</v>
      </c>
      <c r="D526" t="s">
        <v>34</v>
      </c>
      <c r="E526" t="s">
        <v>33</v>
      </c>
      <c r="F526" t="s">
        <v>17</v>
      </c>
      <c r="G526">
        <v>172700</v>
      </c>
      <c r="H526">
        <v>900</v>
      </c>
      <c r="I526">
        <v>0.52</v>
      </c>
      <c r="J526">
        <v>174900</v>
      </c>
      <c r="K526">
        <v>176800</v>
      </c>
      <c r="L526">
        <v>171500</v>
      </c>
      <c r="M526">
        <v>1158150</v>
      </c>
      <c r="N526">
        <v>200885193700</v>
      </c>
      <c r="O526">
        <v>390412998</v>
      </c>
      <c r="P526">
        <v>67424324754600</v>
      </c>
    </row>
    <row r="527" spans="1:16">
      <c r="A527" t="s">
        <v>33</v>
      </c>
      <c r="B527">
        <v>20260220</v>
      </c>
      <c r="C527">
        <v>270</v>
      </c>
      <c r="D527" t="s">
        <v>34</v>
      </c>
      <c r="E527" t="s">
        <v>33</v>
      </c>
      <c r="F527" t="s">
        <v>17</v>
      </c>
      <c r="G527">
        <v>171800</v>
      </c>
      <c r="H527">
        <v>1800</v>
      </c>
      <c r="I527">
        <v>1.06</v>
      </c>
      <c r="J527">
        <v>170100</v>
      </c>
      <c r="K527">
        <v>172700</v>
      </c>
      <c r="L527">
        <v>168700</v>
      </c>
      <c r="M527">
        <v>1074310</v>
      </c>
      <c r="N527">
        <v>183388401200</v>
      </c>
      <c r="O527">
        <v>390412998</v>
      </c>
      <c r="P527">
        <v>67072953056400</v>
      </c>
    </row>
    <row r="528" spans="1:16">
      <c r="A528" t="s">
        <v>33</v>
      </c>
      <c r="B528">
        <v>20260219</v>
      </c>
      <c r="C528">
        <v>270</v>
      </c>
      <c r="D528" t="s">
        <v>34</v>
      </c>
      <c r="E528" t="s">
        <v>33</v>
      </c>
      <c r="F528" t="s">
        <v>17</v>
      </c>
      <c r="G528">
        <v>170000</v>
      </c>
      <c r="H528">
        <v>5900</v>
      </c>
      <c r="I528">
        <v>3.6</v>
      </c>
      <c r="J528">
        <v>169000</v>
      </c>
      <c r="K528">
        <v>171500</v>
      </c>
      <c r="L528">
        <v>164000</v>
      </c>
      <c r="M528">
        <v>1357727</v>
      </c>
      <c r="N528">
        <v>229528491150</v>
      </c>
      <c r="O528">
        <v>390412998</v>
      </c>
      <c r="P528">
        <v>66370209660000</v>
      </c>
    </row>
    <row r="529" spans="1:16">
      <c r="A529" t="s">
        <v>33</v>
      </c>
      <c r="B529">
        <v>20260213</v>
      </c>
      <c r="C529">
        <v>270</v>
      </c>
      <c r="D529" t="s">
        <v>34</v>
      </c>
      <c r="E529" t="s">
        <v>33</v>
      </c>
      <c r="F529" t="s">
        <v>17</v>
      </c>
      <c r="G529">
        <v>164100</v>
      </c>
      <c r="H529">
        <v>-2200</v>
      </c>
      <c r="I529">
        <v>-1.32</v>
      </c>
      <c r="J529">
        <v>164900</v>
      </c>
      <c r="K529">
        <v>166000</v>
      </c>
      <c r="L529">
        <v>163200</v>
      </c>
      <c r="M529">
        <v>972962</v>
      </c>
      <c r="N529">
        <v>160186825900</v>
      </c>
      <c r="O529">
        <v>390412998</v>
      </c>
      <c r="P529">
        <v>64066772971800</v>
      </c>
    </row>
    <row r="530" spans="1:16">
      <c r="A530" t="s">
        <v>33</v>
      </c>
      <c r="B530">
        <v>20260212</v>
      </c>
      <c r="C530">
        <v>270</v>
      </c>
      <c r="D530" t="s">
        <v>34</v>
      </c>
      <c r="E530" t="s">
        <v>33</v>
      </c>
      <c r="F530" t="s">
        <v>17</v>
      </c>
      <c r="G530">
        <v>166300</v>
      </c>
      <c r="H530">
        <v>4500</v>
      </c>
      <c r="I530">
        <v>2.78</v>
      </c>
      <c r="J530">
        <v>163200</v>
      </c>
      <c r="K530">
        <v>166300</v>
      </c>
      <c r="L530">
        <v>160700</v>
      </c>
      <c r="M530">
        <v>1804086</v>
      </c>
      <c r="N530">
        <v>296424676200</v>
      </c>
      <c r="O530">
        <v>390412998</v>
      </c>
      <c r="P530">
        <v>64925681567400</v>
      </c>
    </row>
    <row r="531" spans="1:16">
      <c r="A531" t="s">
        <v>33</v>
      </c>
      <c r="B531">
        <v>20260211</v>
      </c>
      <c r="C531">
        <v>270</v>
      </c>
      <c r="D531" t="s">
        <v>34</v>
      </c>
      <c r="E531" t="s">
        <v>33</v>
      </c>
      <c r="F531" t="s">
        <v>17</v>
      </c>
      <c r="G531">
        <v>161800</v>
      </c>
      <c r="H531">
        <v>7100</v>
      </c>
      <c r="I531">
        <v>4.59</v>
      </c>
      <c r="J531">
        <v>156400</v>
      </c>
      <c r="K531">
        <v>162000</v>
      </c>
      <c r="L531">
        <v>154700</v>
      </c>
      <c r="M531">
        <v>1622428</v>
      </c>
      <c r="N531">
        <v>259283677350</v>
      </c>
      <c r="O531">
        <v>390412998</v>
      </c>
      <c r="P531">
        <v>63168823076400</v>
      </c>
    </row>
    <row r="532" spans="1:16">
      <c r="A532" t="s">
        <v>33</v>
      </c>
      <c r="B532">
        <v>20260210</v>
      </c>
      <c r="C532">
        <v>270</v>
      </c>
      <c r="D532" t="s">
        <v>34</v>
      </c>
      <c r="E532" t="s">
        <v>33</v>
      </c>
      <c r="F532" t="s">
        <v>17</v>
      </c>
      <c r="G532">
        <v>154700</v>
      </c>
      <c r="H532">
        <v>900</v>
      </c>
      <c r="I532">
        <v>0.59</v>
      </c>
      <c r="J532">
        <v>155800</v>
      </c>
      <c r="K532">
        <v>158600</v>
      </c>
      <c r="L532">
        <v>154600</v>
      </c>
      <c r="M532">
        <v>1011933</v>
      </c>
      <c r="N532">
        <v>157624528767</v>
      </c>
      <c r="O532">
        <v>390412998</v>
      </c>
      <c r="P532">
        <v>60396890790600</v>
      </c>
    </row>
    <row r="533" spans="1:16">
      <c r="A533" t="s">
        <v>33</v>
      </c>
      <c r="B533">
        <v>20260209</v>
      </c>
      <c r="C533">
        <v>270</v>
      </c>
      <c r="D533" t="s">
        <v>34</v>
      </c>
      <c r="E533" t="s">
        <v>33</v>
      </c>
      <c r="F533" t="s">
        <v>17</v>
      </c>
      <c r="G533">
        <v>153800</v>
      </c>
      <c r="H533">
        <v>1900</v>
      </c>
      <c r="I533">
        <v>1.25</v>
      </c>
      <c r="J533">
        <v>153700</v>
      </c>
      <c r="K533">
        <v>155000</v>
      </c>
      <c r="L533">
        <v>152200</v>
      </c>
      <c r="M533">
        <v>1370996</v>
      </c>
      <c r="N533">
        <v>210300926778</v>
      </c>
      <c r="O533">
        <v>390412998</v>
      </c>
      <c r="P533">
        <v>60045519092400</v>
      </c>
    </row>
    <row r="534" spans="1:16">
      <c r="A534" t="s">
        <v>33</v>
      </c>
      <c r="B534">
        <v>20260206</v>
      </c>
      <c r="C534">
        <v>270</v>
      </c>
      <c r="D534" t="s">
        <v>34</v>
      </c>
      <c r="E534" t="s">
        <v>33</v>
      </c>
      <c r="F534" t="s">
        <v>17</v>
      </c>
      <c r="G534">
        <v>151900</v>
      </c>
      <c r="H534">
        <v>-4300</v>
      </c>
      <c r="I534">
        <v>-2.75</v>
      </c>
      <c r="J534">
        <v>154600</v>
      </c>
      <c r="K534">
        <v>154900</v>
      </c>
      <c r="L534">
        <v>149000</v>
      </c>
      <c r="M534">
        <v>1269545</v>
      </c>
      <c r="N534">
        <v>192692436900</v>
      </c>
      <c r="O534">
        <v>390412998</v>
      </c>
      <c r="P534">
        <v>59303734396200</v>
      </c>
    </row>
    <row r="535" spans="1:16">
      <c r="A535" t="s">
        <v>33</v>
      </c>
      <c r="B535">
        <v>20260205</v>
      </c>
      <c r="C535">
        <v>270</v>
      </c>
      <c r="D535" t="s">
        <v>34</v>
      </c>
      <c r="E535" t="s">
        <v>33</v>
      </c>
      <c r="F535" t="s">
        <v>17</v>
      </c>
      <c r="G535">
        <v>156200</v>
      </c>
      <c r="H535">
        <v>-600</v>
      </c>
      <c r="I535">
        <v>-0.38</v>
      </c>
      <c r="J535">
        <v>156700</v>
      </c>
      <c r="K535">
        <v>161250</v>
      </c>
      <c r="L535">
        <v>154800</v>
      </c>
      <c r="M535">
        <v>1589252</v>
      </c>
      <c r="N535">
        <v>250156417300</v>
      </c>
      <c r="O535">
        <v>390412998</v>
      </c>
      <c r="P535">
        <v>60982510287600</v>
      </c>
    </row>
    <row r="536" spans="1:16">
      <c r="A536" t="s">
        <v>33</v>
      </c>
      <c r="B536">
        <v>20260204</v>
      </c>
      <c r="C536">
        <v>270</v>
      </c>
      <c r="D536" t="s">
        <v>34</v>
      </c>
      <c r="E536" t="s">
        <v>33</v>
      </c>
      <c r="F536" t="s">
        <v>17</v>
      </c>
      <c r="G536">
        <v>156800</v>
      </c>
      <c r="H536">
        <v>2800</v>
      </c>
      <c r="I536">
        <v>1.82</v>
      </c>
      <c r="J536">
        <v>155100</v>
      </c>
      <c r="K536">
        <v>158000</v>
      </c>
      <c r="L536">
        <v>154000</v>
      </c>
      <c r="M536">
        <v>1387022</v>
      </c>
      <c r="N536">
        <v>216562846700</v>
      </c>
      <c r="O536">
        <v>390412998</v>
      </c>
      <c r="P536">
        <v>61216758086400</v>
      </c>
    </row>
    <row r="537" spans="1:16">
      <c r="A537" t="s">
        <v>33</v>
      </c>
      <c r="B537">
        <v>20260203</v>
      </c>
      <c r="C537">
        <v>270</v>
      </c>
      <c r="D537" t="s">
        <v>34</v>
      </c>
      <c r="E537" t="s">
        <v>33</v>
      </c>
      <c r="F537" t="s">
        <v>17</v>
      </c>
      <c r="G537">
        <v>154000</v>
      </c>
      <c r="H537">
        <v>3900</v>
      </c>
      <c r="I537">
        <v>2.6</v>
      </c>
      <c r="J537">
        <v>150100</v>
      </c>
      <c r="K537">
        <v>154000</v>
      </c>
      <c r="L537">
        <v>148800</v>
      </c>
      <c r="M537">
        <v>1341474</v>
      </c>
      <c r="N537">
        <v>203707017050</v>
      </c>
      <c r="O537">
        <v>390412998</v>
      </c>
      <c r="P537">
        <v>60123601692000</v>
      </c>
    </row>
    <row r="538" spans="1:16">
      <c r="A538" t="s">
        <v>33</v>
      </c>
      <c r="B538">
        <v>20260202</v>
      </c>
      <c r="C538">
        <v>270</v>
      </c>
      <c r="D538" t="s">
        <v>34</v>
      </c>
      <c r="E538" t="s">
        <v>33</v>
      </c>
      <c r="F538" t="s">
        <v>17</v>
      </c>
      <c r="G538">
        <v>150100</v>
      </c>
      <c r="H538">
        <v>-2500</v>
      </c>
      <c r="I538">
        <v>-1.64</v>
      </c>
      <c r="J538">
        <v>151600</v>
      </c>
      <c r="K538">
        <v>156800</v>
      </c>
      <c r="L538">
        <v>148200</v>
      </c>
      <c r="M538">
        <v>1396470</v>
      </c>
      <c r="N538">
        <v>211915964000</v>
      </c>
      <c r="O538">
        <v>390412998</v>
      </c>
      <c r="P538">
        <v>58600990999800</v>
      </c>
    </row>
    <row r="539" spans="1:16">
      <c r="A539" t="s">
        <v>33</v>
      </c>
      <c r="B539">
        <v>20260130</v>
      </c>
      <c r="C539">
        <v>270</v>
      </c>
      <c r="D539" t="s">
        <v>34</v>
      </c>
      <c r="E539" t="s">
        <v>33</v>
      </c>
      <c r="F539" t="s">
        <v>17</v>
      </c>
      <c r="G539">
        <v>152600</v>
      </c>
      <c r="H539">
        <v>-2300</v>
      </c>
      <c r="I539">
        <v>-1.48</v>
      </c>
      <c r="J539">
        <v>153400</v>
      </c>
      <c r="K539">
        <v>156000</v>
      </c>
      <c r="L539">
        <v>151300</v>
      </c>
      <c r="M539">
        <v>1571584</v>
      </c>
      <c r="N539">
        <v>241856438450</v>
      </c>
      <c r="O539">
        <v>390412998</v>
      </c>
      <c r="P539">
        <v>59577023494800</v>
      </c>
    </row>
    <row r="540" spans="1:16">
      <c r="A540" t="s">
        <v>33</v>
      </c>
      <c r="B540">
        <v>20260129</v>
      </c>
      <c r="C540">
        <v>270</v>
      </c>
      <c r="D540" t="s">
        <v>34</v>
      </c>
      <c r="E540" t="s">
        <v>33</v>
      </c>
      <c r="F540" t="s">
        <v>17</v>
      </c>
      <c r="G540">
        <v>154900</v>
      </c>
      <c r="H540">
        <v>5200</v>
      </c>
      <c r="I540">
        <v>3.47</v>
      </c>
      <c r="J540">
        <v>154000</v>
      </c>
      <c r="K540">
        <v>156500</v>
      </c>
      <c r="L540">
        <v>149700</v>
      </c>
      <c r="M540">
        <v>2518535</v>
      </c>
      <c r="N540">
        <v>385695433597</v>
      </c>
      <c r="O540">
        <v>390412998</v>
      </c>
      <c r="P540">
        <v>60474973390200</v>
      </c>
    </row>
    <row r="541" spans="1:16">
      <c r="A541" t="s">
        <v>33</v>
      </c>
      <c r="B541">
        <v>20260128</v>
      </c>
      <c r="C541">
        <v>270</v>
      </c>
      <c r="D541" t="s">
        <v>34</v>
      </c>
      <c r="E541" t="s">
        <v>33</v>
      </c>
      <c r="F541" t="s">
        <v>17</v>
      </c>
      <c r="G541">
        <v>149700</v>
      </c>
      <c r="H541">
        <v>-3800</v>
      </c>
      <c r="I541">
        <v>-2.48</v>
      </c>
      <c r="J541">
        <v>155100</v>
      </c>
      <c r="K541">
        <v>156000</v>
      </c>
      <c r="L541">
        <v>149100</v>
      </c>
      <c r="M541">
        <v>1756119</v>
      </c>
      <c r="N541">
        <v>266677932200</v>
      </c>
      <c r="O541">
        <v>390412998</v>
      </c>
      <c r="P541">
        <v>58444825800600</v>
      </c>
    </row>
    <row r="542" spans="1:16">
      <c r="A542" t="s">
        <v>33</v>
      </c>
      <c r="B542">
        <v>20260127</v>
      </c>
      <c r="C542">
        <v>270</v>
      </c>
      <c r="D542" t="s">
        <v>34</v>
      </c>
      <c r="E542" t="s">
        <v>33</v>
      </c>
      <c r="F542" t="s">
        <v>17</v>
      </c>
      <c r="G542">
        <v>153500</v>
      </c>
      <c r="H542">
        <v>-1700</v>
      </c>
      <c r="I542">
        <v>-1.1000000000000001</v>
      </c>
      <c r="J542">
        <v>149300</v>
      </c>
      <c r="K542">
        <v>153800</v>
      </c>
      <c r="L542">
        <v>145900</v>
      </c>
      <c r="M542">
        <v>1856834</v>
      </c>
      <c r="N542">
        <v>280186091700</v>
      </c>
      <c r="O542">
        <v>390412998</v>
      </c>
      <c r="P542">
        <v>59928395193000</v>
      </c>
    </row>
    <row r="543" spans="1:16">
      <c r="A543" t="s">
        <v>33</v>
      </c>
      <c r="B543">
        <v>20260126</v>
      </c>
      <c r="C543">
        <v>270</v>
      </c>
      <c r="D543" t="s">
        <v>34</v>
      </c>
      <c r="E543" t="s">
        <v>33</v>
      </c>
      <c r="F543" t="s">
        <v>17</v>
      </c>
      <c r="G543">
        <v>155200</v>
      </c>
      <c r="H543">
        <v>-3800</v>
      </c>
      <c r="I543">
        <v>-2.39</v>
      </c>
      <c r="J543">
        <v>156800</v>
      </c>
      <c r="K543">
        <v>158600</v>
      </c>
      <c r="L543">
        <v>154100</v>
      </c>
      <c r="M543">
        <v>1425292</v>
      </c>
      <c r="N543">
        <v>222326759562</v>
      </c>
      <c r="O543">
        <v>390412998</v>
      </c>
      <c r="P543">
        <v>60592097289600</v>
      </c>
    </row>
    <row r="544" spans="1:16">
      <c r="A544" t="s">
        <v>33</v>
      </c>
      <c r="B544">
        <v>20260123</v>
      </c>
      <c r="C544">
        <v>270</v>
      </c>
      <c r="D544" t="s">
        <v>34</v>
      </c>
      <c r="E544" t="s">
        <v>33</v>
      </c>
      <c r="F544" t="s">
        <v>17</v>
      </c>
      <c r="G544">
        <v>159000</v>
      </c>
      <c r="H544">
        <v>-5600</v>
      </c>
      <c r="I544">
        <v>-3.4</v>
      </c>
      <c r="J544">
        <v>162200</v>
      </c>
      <c r="K544">
        <v>165550</v>
      </c>
      <c r="L544">
        <v>157300</v>
      </c>
      <c r="M544">
        <v>2594922</v>
      </c>
      <c r="N544">
        <v>416973621650</v>
      </c>
      <c r="O544">
        <v>390412998</v>
      </c>
      <c r="P544">
        <v>62075666682000</v>
      </c>
    </row>
    <row r="545" spans="1:16">
      <c r="A545" t="s">
        <v>33</v>
      </c>
      <c r="B545">
        <v>20260122</v>
      </c>
      <c r="C545">
        <v>270</v>
      </c>
      <c r="D545" t="s">
        <v>34</v>
      </c>
      <c r="E545" t="s">
        <v>33</v>
      </c>
      <c r="F545" t="s">
        <v>17</v>
      </c>
      <c r="G545">
        <v>164600</v>
      </c>
      <c r="H545">
        <v>-7500</v>
      </c>
      <c r="I545">
        <v>-4.3600000000000003</v>
      </c>
      <c r="J545">
        <v>172900</v>
      </c>
      <c r="K545">
        <v>175700</v>
      </c>
      <c r="L545">
        <v>163600</v>
      </c>
      <c r="M545">
        <v>3390188</v>
      </c>
      <c r="N545">
        <v>572524555891</v>
      </c>
      <c r="O545">
        <v>390412998</v>
      </c>
      <c r="P545">
        <v>64261979470800</v>
      </c>
    </row>
    <row r="546" spans="1:16">
      <c r="A546" t="s">
        <v>33</v>
      </c>
      <c r="B546">
        <v>20260121</v>
      </c>
      <c r="C546">
        <v>270</v>
      </c>
      <c r="D546" t="s">
        <v>34</v>
      </c>
      <c r="E546" t="s">
        <v>33</v>
      </c>
      <c r="F546" t="s">
        <v>17</v>
      </c>
      <c r="G546">
        <v>172100</v>
      </c>
      <c r="H546">
        <v>8200</v>
      </c>
      <c r="I546">
        <v>5</v>
      </c>
      <c r="J546">
        <v>160100</v>
      </c>
      <c r="K546">
        <v>174800</v>
      </c>
      <c r="L546">
        <v>160000</v>
      </c>
      <c r="M546">
        <v>4144416</v>
      </c>
      <c r="N546">
        <v>699853931885</v>
      </c>
      <c r="O546">
        <v>390412998</v>
      </c>
      <c r="P546">
        <v>67190076955800</v>
      </c>
    </row>
    <row r="547" spans="1:16">
      <c r="A547" t="s">
        <v>33</v>
      </c>
      <c r="B547">
        <v>20260120</v>
      </c>
      <c r="C547">
        <v>270</v>
      </c>
      <c r="D547" t="s">
        <v>34</v>
      </c>
      <c r="E547" t="s">
        <v>33</v>
      </c>
      <c r="F547" t="s">
        <v>17</v>
      </c>
      <c r="G547">
        <v>163900</v>
      </c>
      <c r="H547">
        <v>-5600</v>
      </c>
      <c r="I547">
        <v>-3.3</v>
      </c>
      <c r="J547">
        <v>174000</v>
      </c>
      <c r="K547">
        <v>177000</v>
      </c>
      <c r="L547">
        <v>161800</v>
      </c>
      <c r="M547">
        <v>3225052</v>
      </c>
      <c r="N547">
        <v>537821491250</v>
      </c>
      <c r="O547">
        <v>390412998</v>
      </c>
      <c r="P547">
        <v>63988690372200</v>
      </c>
    </row>
    <row r="548" spans="1:16">
      <c r="A548" t="s">
        <v>33</v>
      </c>
      <c r="B548">
        <v>20260119</v>
      </c>
      <c r="C548">
        <v>270</v>
      </c>
      <c r="D548" t="s">
        <v>34</v>
      </c>
      <c r="E548" t="s">
        <v>33</v>
      </c>
      <c r="F548" t="s">
        <v>17</v>
      </c>
      <c r="G548">
        <v>169500</v>
      </c>
      <c r="H548">
        <v>18400</v>
      </c>
      <c r="I548">
        <v>12.18</v>
      </c>
      <c r="J548">
        <v>151800</v>
      </c>
      <c r="K548">
        <v>170700</v>
      </c>
      <c r="L548">
        <v>151300</v>
      </c>
      <c r="M548">
        <v>4040319</v>
      </c>
      <c r="N548">
        <v>660978476900</v>
      </c>
      <c r="O548">
        <v>390412998</v>
      </c>
      <c r="P548">
        <v>66175003161000</v>
      </c>
    </row>
    <row r="549" spans="1:16">
      <c r="A549" t="s">
        <v>33</v>
      </c>
      <c r="B549">
        <v>20260116</v>
      </c>
      <c r="C549">
        <v>270</v>
      </c>
      <c r="D549" t="s">
        <v>34</v>
      </c>
      <c r="E549" t="s">
        <v>33</v>
      </c>
      <c r="F549" t="s">
        <v>17</v>
      </c>
      <c r="G549">
        <v>151100</v>
      </c>
      <c r="H549">
        <v>-1400</v>
      </c>
      <c r="I549">
        <v>-0.92</v>
      </c>
      <c r="J549">
        <v>158000</v>
      </c>
      <c r="K549">
        <v>159500</v>
      </c>
      <c r="L549">
        <v>149700</v>
      </c>
      <c r="M549">
        <v>2624747</v>
      </c>
      <c r="N549">
        <v>405458414950</v>
      </c>
      <c r="O549">
        <v>390412998</v>
      </c>
      <c r="P549">
        <v>58991403997800</v>
      </c>
    </row>
    <row r="550" spans="1:16">
      <c r="A550" t="s">
        <v>33</v>
      </c>
      <c r="B550">
        <v>20260115</v>
      </c>
      <c r="C550">
        <v>270</v>
      </c>
      <c r="D550" t="s">
        <v>34</v>
      </c>
      <c r="E550" t="s">
        <v>33</v>
      </c>
      <c r="F550" t="s">
        <v>17</v>
      </c>
      <c r="G550">
        <v>152500</v>
      </c>
      <c r="H550">
        <v>9500</v>
      </c>
      <c r="I550">
        <v>6.64</v>
      </c>
      <c r="J550">
        <v>142800</v>
      </c>
      <c r="K550">
        <v>152500</v>
      </c>
      <c r="L550">
        <v>141400</v>
      </c>
      <c r="M550">
        <v>3375671</v>
      </c>
      <c r="N550">
        <v>501247427900</v>
      </c>
      <c r="O550">
        <v>390412998</v>
      </c>
      <c r="P550">
        <v>59537982195000</v>
      </c>
    </row>
    <row r="551" spans="1:16">
      <c r="A551" t="s">
        <v>33</v>
      </c>
      <c r="B551">
        <v>20260114</v>
      </c>
      <c r="C551">
        <v>270</v>
      </c>
      <c r="D551" t="s">
        <v>34</v>
      </c>
      <c r="E551" t="s">
        <v>33</v>
      </c>
      <c r="F551" t="s">
        <v>17</v>
      </c>
      <c r="G551">
        <v>143000</v>
      </c>
      <c r="H551">
        <v>7000</v>
      </c>
      <c r="I551">
        <v>5.15</v>
      </c>
      <c r="J551">
        <v>139600</v>
      </c>
      <c r="K551">
        <v>146300</v>
      </c>
      <c r="L551">
        <v>137200</v>
      </c>
      <c r="M551">
        <v>2992169</v>
      </c>
      <c r="N551">
        <v>425077145250</v>
      </c>
      <c r="O551">
        <v>390412998</v>
      </c>
      <c r="P551">
        <v>55829058714000</v>
      </c>
    </row>
    <row r="552" spans="1:16">
      <c r="A552" t="s">
        <v>33</v>
      </c>
      <c r="B552">
        <v>20260113</v>
      </c>
      <c r="C552">
        <v>270</v>
      </c>
      <c r="D552" t="s">
        <v>34</v>
      </c>
      <c r="E552" t="s">
        <v>33</v>
      </c>
      <c r="F552" t="s">
        <v>17</v>
      </c>
      <c r="G552">
        <v>136000</v>
      </c>
      <c r="H552">
        <v>6700</v>
      </c>
      <c r="I552">
        <v>5.18</v>
      </c>
      <c r="J552">
        <v>130700</v>
      </c>
      <c r="K552">
        <v>136200</v>
      </c>
      <c r="L552">
        <v>129500</v>
      </c>
      <c r="M552">
        <v>2944545</v>
      </c>
      <c r="N552">
        <v>394764518150</v>
      </c>
      <c r="O552">
        <v>390412998</v>
      </c>
      <c r="P552">
        <v>53096167728000</v>
      </c>
    </row>
    <row r="553" spans="1:16">
      <c r="A553" t="s">
        <v>33</v>
      </c>
      <c r="B553">
        <v>20260112</v>
      </c>
      <c r="C553">
        <v>270</v>
      </c>
      <c r="D553" t="s">
        <v>34</v>
      </c>
      <c r="E553" t="s">
        <v>33</v>
      </c>
      <c r="F553" t="s">
        <v>17</v>
      </c>
      <c r="G553">
        <v>129300</v>
      </c>
      <c r="H553">
        <v>-3900</v>
      </c>
      <c r="I553">
        <v>-2.93</v>
      </c>
      <c r="J553">
        <v>136000</v>
      </c>
      <c r="K553">
        <v>137500</v>
      </c>
      <c r="L553">
        <v>127900</v>
      </c>
      <c r="M553">
        <v>1768796</v>
      </c>
      <c r="N553">
        <v>231945077200</v>
      </c>
      <c r="O553">
        <v>390412998</v>
      </c>
      <c r="P553">
        <v>50480400641400</v>
      </c>
    </row>
    <row r="554" spans="1:16">
      <c r="A554" t="s">
        <v>33</v>
      </c>
      <c r="B554">
        <v>20260109</v>
      </c>
      <c r="C554">
        <v>270</v>
      </c>
      <c r="D554" t="s">
        <v>34</v>
      </c>
      <c r="E554" t="s">
        <v>33</v>
      </c>
      <c r="F554" t="s">
        <v>17</v>
      </c>
      <c r="G554">
        <v>133200</v>
      </c>
      <c r="H554">
        <v>8300</v>
      </c>
      <c r="I554">
        <v>6.65</v>
      </c>
      <c r="J554">
        <v>126400</v>
      </c>
      <c r="K554">
        <v>133600</v>
      </c>
      <c r="L554">
        <v>125300</v>
      </c>
      <c r="M554">
        <v>1738639</v>
      </c>
      <c r="N554">
        <v>225559286750</v>
      </c>
      <c r="O554">
        <v>390412998</v>
      </c>
      <c r="P554">
        <v>52003011333600</v>
      </c>
    </row>
    <row r="555" spans="1:16">
      <c r="A555" t="s">
        <v>33</v>
      </c>
      <c r="B555">
        <v>20260108</v>
      </c>
      <c r="C555">
        <v>270</v>
      </c>
      <c r="D555" t="s">
        <v>34</v>
      </c>
      <c r="E555" t="s">
        <v>33</v>
      </c>
      <c r="F555" t="s">
        <v>17</v>
      </c>
      <c r="G555">
        <v>124900</v>
      </c>
      <c r="H555">
        <v>-4400</v>
      </c>
      <c r="I555">
        <v>-3.4</v>
      </c>
      <c r="J555">
        <v>131000</v>
      </c>
      <c r="K555">
        <v>131100</v>
      </c>
      <c r="L555">
        <v>123600</v>
      </c>
      <c r="M555">
        <v>1693240</v>
      </c>
      <c r="N555">
        <v>213032721800</v>
      </c>
      <c r="O555">
        <v>390412998</v>
      </c>
      <c r="P555">
        <v>48762583450200</v>
      </c>
    </row>
    <row r="556" spans="1:16">
      <c r="A556" t="s">
        <v>33</v>
      </c>
      <c r="B556">
        <v>20260107</v>
      </c>
      <c r="C556">
        <v>270</v>
      </c>
      <c r="D556" t="s">
        <v>34</v>
      </c>
      <c r="E556" t="s">
        <v>33</v>
      </c>
      <c r="F556" t="s">
        <v>17</v>
      </c>
      <c r="G556">
        <v>129300</v>
      </c>
      <c r="H556">
        <v>6800</v>
      </c>
      <c r="I556">
        <v>5.55</v>
      </c>
      <c r="J556">
        <v>121400</v>
      </c>
      <c r="K556">
        <v>130500</v>
      </c>
      <c r="L556">
        <v>121300</v>
      </c>
      <c r="M556">
        <v>3038127</v>
      </c>
      <c r="N556">
        <v>386641683250</v>
      </c>
      <c r="O556">
        <v>390412998</v>
      </c>
      <c r="P556">
        <v>50480400641400</v>
      </c>
    </row>
    <row r="557" spans="1:16">
      <c r="A557" t="s">
        <v>33</v>
      </c>
      <c r="B557">
        <v>20260106</v>
      </c>
      <c r="C557">
        <v>270</v>
      </c>
      <c r="D557" t="s">
        <v>34</v>
      </c>
      <c r="E557" t="s">
        <v>33</v>
      </c>
      <c r="F557" t="s">
        <v>17</v>
      </c>
      <c r="G557">
        <v>122500</v>
      </c>
      <c r="H557">
        <v>-100</v>
      </c>
      <c r="I557">
        <v>-0.08</v>
      </c>
      <c r="J557">
        <v>124500</v>
      </c>
      <c r="K557">
        <v>125800</v>
      </c>
      <c r="L557">
        <v>121700</v>
      </c>
      <c r="M557">
        <v>1302137</v>
      </c>
      <c r="N557">
        <v>160173343150</v>
      </c>
      <c r="O557">
        <v>390412998</v>
      </c>
      <c r="P557">
        <v>47825592255000</v>
      </c>
    </row>
    <row r="558" spans="1:16">
      <c r="A558" t="s">
        <v>33</v>
      </c>
      <c r="B558">
        <v>20260105</v>
      </c>
      <c r="C558">
        <v>270</v>
      </c>
      <c r="D558" t="s">
        <v>34</v>
      </c>
      <c r="E558" t="s">
        <v>33</v>
      </c>
      <c r="F558" t="s">
        <v>17</v>
      </c>
      <c r="G558">
        <v>122600</v>
      </c>
      <c r="H558">
        <v>2000</v>
      </c>
      <c r="I558">
        <v>1.66</v>
      </c>
      <c r="J558">
        <v>121000</v>
      </c>
      <c r="K558">
        <v>123200</v>
      </c>
      <c r="L558">
        <v>120700</v>
      </c>
      <c r="M558">
        <v>858385</v>
      </c>
      <c r="N558">
        <v>105125205900</v>
      </c>
      <c r="O558">
        <v>390412998</v>
      </c>
      <c r="P558">
        <v>47864633554800</v>
      </c>
    </row>
    <row r="559" spans="1:16">
      <c r="A559" t="s">
        <v>33</v>
      </c>
      <c r="B559">
        <v>20260102</v>
      </c>
      <c r="C559">
        <v>270</v>
      </c>
      <c r="D559" t="s">
        <v>34</v>
      </c>
      <c r="E559" t="s">
        <v>33</v>
      </c>
      <c r="F559" t="s">
        <v>17</v>
      </c>
      <c r="G559">
        <v>120600</v>
      </c>
      <c r="H559">
        <v>-1200</v>
      </c>
      <c r="I559">
        <v>-0.99</v>
      </c>
      <c r="J559">
        <v>121100</v>
      </c>
      <c r="K559">
        <v>122200</v>
      </c>
      <c r="L559">
        <v>119500</v>
      </c>
      <c r="M559">
        <v>645645</v>
      </c>
      <c r="N559">
        <v>77972896750</v>
      </c>
      <c r="O559">
        <v>390412998</v>
      </c>
      <c r="P559">
        <v>47083807558800</v>
      </c>
    </row>
    <row r="560" spans="1:16">
      <c r="A560" t="s">
        <v>35</v>
      </c>
      <c r="B560">
        <v>20260403</v>
      </c>
      <c r="C560">
        <v>105560</v>
      </c>
      <c r="D560" t="s">
        <v>36</v>
      </c>
      <c r="E560" t="s">
        <v>35</v>
      </c>
      <c r="F560" t="s">
        <v>17</v>
      </c>
      <c r="G560">
        <v>145500</v>
      </c>
      <c r="H560">
        <v>-1000</v>
      </c>
      <c r="I560">
        <v>-0.68</v>
      </c>
      <c r="J560">
        <v>148300</v>
      </c>
      <c r="K560">
        <v>149400</v>
      </c>
      <c r="L560">
        <v>145150</v>
      </c>
      <c r="M560">
        <v>543104</v>
      </c>
      <c r="N560">
        <v>79643562000</v>
      </c>
      <c r="O560">
        <v>372850455</v>
      </c>
      <c r="P560">
        <v>54249741202500</v>
      </c>
    </row>
    <row r="561" spans="1:16">
      <c r="A561" t="s">
        <v>35</v>
      </c>
      <c r="B561">
        <v>20260402</v>
      </c>
      <c r="C561">
        <v>105560</v>
      </c>
      <c r="D561" t="s">
        <v>36</v>
      </c>
      <c r="E561" t="s">
        <v>35</v>
      </c>
      <c r="F561" t="s">
        <v>17</v>
      </c>
      <c r="G561">
        <v>146500</v>
      </c>
      <c r="H561">
        <v>-1800</v>
      </c>
      <c r="I561">
        <v>-1.21</v>
      </c>
      <c r="J561">
        <v>151300</v>
      </c>
      <c r="K561">
        <v>155300</v>
      </c>
      <c r="L561">
        <v>144500</v>
      </c>
      <c r="M561">
        <v>983517</v>
      </c>
      <c r="N561">
        <v>146079255650</v>
      </c>
      <c r="O561">
        <v>372850455</v>
      </c>
      <c r="P561">
        <v>54622591657500</v>
      </c>
    </row>
    <row r="562" spans="1:16">
      <c r="A562" t="s">
        <v>35</v>
      </c>
      <c r="B562">
        <v>20260401</v>
      </c>
      <c r="C562">
        <v>105560</v>
      </c>
      <c r="D562" t="s">
        <v>36</v>
      </c>
      <c r="E562" t="s">
        <v>35</v>
      </c>
      <c r="F562" t="s">
        <v>17</v>
      </c>
      <c r="G562">
        <v>148300</v>
      </c>
      <c r="H562">
        <v>6400</v>
      </c>
      <c r="I562">
        <v>4.51</v>
      </c>
      <c r="J562">
        <v>148000</v>
      </c>
      <c r="K562">
        <v>150000</v>
      </c>
      <c r="L562">
        <v>146600</v>
      </c>
      <c r="M562">
        <v>1752434</v>
      </c>
      <c r="N562">
        <v>260230343300</v>
      </c>
      <c r="O562">
        <v>372850455</v>
      </c>
      <c r="P562">
        <v>55293722476500</v>
      </c>
    </row>
    <row r="563" spans="1:16">
      <c r="A563" t="s">
        <v>35</v>
      </c>
      <c r="B563">
        <v>20260331</v>
      </c>
      <c r="C563">
        <v>105560</v>
      </c>
      <c r="D563" t="s">
        <v>36</v>
      </c>
      <c r="E563" t="s">
        <v>35</v>
      </c>
      <c r="F563" t="s">
        <v>17</v>
      </c>
      <c r="G563">
        <v>141900</v>
      </c>
      <c r="H563">
        <v>-4000</v>
      </c>
      <c r="I563">
        <v>-2.74</v>
      </c>
      <c r="J563">
        <v>143900</v>
      </c>
      <c r="K563">
        <v>145000</v>
      </c>
      <c r="L563">
        <v>141400</v>
      </c>
      <c r="M563">
        <v>2259948</v>
      </c>
      <c r="N563">
        <v>323053923150</v>
      </c>
      <c r="O563">
        <v>372850455</v>
      </c>
      <c r="P563">
        <v>52907479564500</v>
      </c>
    </row>
    <row r="564" spans="1:16">
      <c r="A564" t="s">
        <v>35</v>
      </c>
      <c r="B564">
        <v>20260330</v>
      </c>
      <c r="C564">
        <v>105560</v>
      </c>
      <c r="D564" t="s">
        <v>36</v>
      </c>
      <c r="E564" t="s">
        <v>35</v>
      </c>
      <c r="F564" t="s">
        <v>17</v>
      </c>
      <c r="G564">
        <v>145900</v>
      </c>
      <c r="H564">
        <v>-6300</v>
      </c>
      <c r="I564">
        <v>-4.1399999999999997</v>
      </c>
      <c r="J564">
        <v>143500</v>
      </c>
      <c r="K564">
        <v>148400</v>
      </c>
      <c r="L564">
        <v>143000</v>
      </c>
      <c r="M564">
        <v>1294041</v>
      </c>
      <c r="N564">
        <v>188891557950</v>
      </c>
      <c r="O564">
        <v>372850455</v>
      </c>
      <c r="P564">
        <v>54398881384500</v>
      </c>
    </row>
    <row r="565" spans="1:16">
      <c r="A565" t="s">
        <v>35</v>
      </c>
      <c r="B565">
        <v>20260327</v>
      </c>
      <c r="C565">
        <v>105560</v>
      </c>
      <c r="D565" t="s">
        <v>36</v>
      </c>
      <c r="E565" t="s">
        <v>35</v>
      </c>
      <c r="F565" t="s">
        <v>17</v>
      </c>
      <c r="G565">
        <v>152200</v>
      </c>
      <c r="H565">
        <v>0</v>
      </c>
      <c r="I565">
        <v>0</v>
      </c>
      <c r="J565">
        <v>146500</v>
      </c>
      <c r="K565">
        <v>153000</v>
      </c>
      <c r="L565">
        <v>146100</v>
      </c>
      <c r="M565">
        <v>1216855</v>
      </c>
      <c r="N565">
        <v>183511314700</v>
      </c>
      <c r="O565">
        <v>372850455</v>
      </c>
      <c r="P565">
        <v>56747839251000</v>
      </c>
    </row>
    <row r="566" spans="1:16">
      <c r="A566" t="s">
        <v>35</v>
      </c>
      <c r="B566">
        <v>20260326</v>
      </c>
      <c r="C566">
        <v>105560</v>
      </c>
      <c r="D566" t="s">
        <v>36</v>
      </c>
      <c r="E566" t="s">
        <v>35</v>
      </c>
      <c r="F566" t="s">
        <v>17</v>
      </c>
      <c r="G566">
        <v>152200</v>
      </c>
      <c r="H566">
        <v>2800</v>
      </c>
      <c r="I566">
        <v>1.87</v>
      </c>
      <c r="J566">
        <v>149500</v>
      </c>
      <c r="K566">
        <v>153400</v>
      </c>
      <c r="L566">
        <v>149000</v>
      </c>
      <c r="M566">
        <v>1058672</v>
      </c>
      <c r="N566">
        <v>160875923450</v>
      </c>
      <c r="O566">
        <v>372850455</v>
      </c>
      <c r="P566">
        <v>56747839251000</v>
      </c>
    </row>
    <row r="567" spans="1:16">
      <c r="A567" t="s">
        <v>35</v>
      </c>
      <c r="B567">
        <v>20260325</v>
      </c>
      <c r="C567">
        <v>105560</v>
      </c>
      <c r="D567" t="s">
        <v>36</v>
      </c>
      <c r="E567" t="s">
        <v>35</v>
      </c>
      <c r="F567" t="s">
        <v>17</v>
      </c>
      <c r="G567">
        <v>149400</v>
      </c>
      <c r="H567">
        <v>2500</v>
      </c>
      <c r="I567">
        <v>1.7</v>
      </c>
      <c r="J567">
        <v>152100</v>
      </c>
      <c r="K567">
        <v>152800</v>
      </c>
      <c r="L567">
        <v>148700</v>
      </c>
      <c r="M567">
        <v>1431022</v>
      </c>
      <c r="N567">
        <v>215829755550</v>
      </c>
      <c r="O567">
        <v>372850455</v>
      </c>
      <c r="P567">
        <v>55703857977000</v>
      </c>
    </row>
    <row r="568" spans="1:16">
      <c r="A568" t="s">
        <v>35</v>
      </c>
      <c r="B568">
        <v>20260324</v>
      </c>
      <c r="C568">
        <v>105560</v>
      </c>
      <c r="D568" t="s">
        <v>36</v>
      </c>
      <c r="E568" t="s">
        <v>35</v>
      </c>
      <c r="F568" t="s">
        <v>17</v>
      </c>
      <c r="G568">
        <v>146900</v>
      </c>
      <c r="H568">
        <v>1600</v>
      </c>
      <c r="I568">
        <v>1.1000000000000001</v>
      </c>
      <c r="J568">
        <v>149000</v>
      </c>
      <c r="K568">
        <v>150500</v>
      </c>
      <c r="L568">
        <v>144100</v>
      </c>
      <c r="M568">
        <v>1118859</v>
      </c>
      <c r="N568">
        <v>164128833150</v>
      </c>
      <c r="O568">
        <v>372850455</v>
      </c>
      <c r="P568">
        <v>54771731839500</v>
      </c>
    </row>
    <row r="569" spans="1:16">
      <c r="A569" t="s">
        <v>35</v>
      </c>
      <c r="B569">
        <v>20260323</v>
      </c>
      <c r="C569">
        <v>105560</v>
      </c>
      <c r="D569" t="s">
        <v>36</v>
      </c>
      <c r="E569" t="s">
        <v>35</v>
      </c>
      <c r="F569" t="s">
        <v>17</v>
      </c>
      <c r="G569">
        <v>145300</v>
      </c>
      <c r="H569">
        <v>-9900</v>
      </c>
      <c r="I569">
        <v>-6.38</v>
      </c>
      <c r="J569">
        <v>147900</v>
      </c>
      <c r="K569">
        <v>150300</v>
      </c>
      <c r="L569">
        <v>144100</v>
      </c>
      <c r="M569">
        <v>1121082</v>
      </c>
      <c r="N569">
        <v>164034922050</v>
      </c>
      <c r="O569">
        <v>372850455</v>
      </c>
      <c r="P569">
        <v>54175171111500</v>
      </c>
    </row>
    <row r="570" spans="1:16">
      <c r="A570" t="s">
        <v>35</v>
      </c>
      <c r="B570">
        <v>20260320</v>
      </c>
      <c r="C570">
        <v>105560</v>
      </c>
      <c r="D570" t="s">
        <v>36</v>
      </c>
      <c r="E570" t="s">
        <v>35</v>
      </c>
      <c r="F570" t="s">
        <v>17</v>
      </c>
      <c r="G570">
        <v>155200</v>
      </c>
      <c r="H570">
        <v>-500</v>
      </c>
      <c r="I570">
        <v>-0.32</v>
      </c>
      <c r="J570">
        <v>154200</v>
      </c>
      <c r="K570">
        <v>158200</v>
      </c>
      <c r="L570">
        <v>153500</v>
      </c>
      <c r="M570">
        <v>1114958</v>
      </c>
      <c r="N570">
        <v>173539122400</v>
      </c>
      <c r="O570">
        <v>372850455</v>
      </c>
      <c r="P570">
        <v>57866390616000</v>
      </c>
    </row>
    <row r="571" spans="1:16">
      <c r="A571" t="s">
        <v>35</v>
      </c>
      <c r="B571">
        <v>20260319</v>
      </c>
      <c r="C571">
        <v>105560</v>
      </c>
      <c r="D571" t="s">
        <v>36</v>
      </c>
      <c r="E571" t="s">
        <v>35</v>
      </c>
      <c r="F571" t="s">
        <v>17</v>
      </c>
      <c r="G571">
        <v>155700</v>
      </c>
      <c r="H571">
        <v>1000</v>
      </c>
      <c r="I571">
        <v>0.65</v>
      </c>
      <c r="J571">
        <v>151500</v>
      </c>
      <c r="K571">
        <v>158900</v>
      </c>
      <c r="L571">
        <v>150800</v>
      </c>
      <c r="M571">
        <v>954033</v>
      </c>
      <c r="N571">
        <v>148063467200</v>
      </c>
      <c r="O571">
        <v>372850455</v>
      </c>
      <c r="P571">
        <v>58052815843500</v>
      </c>
    </row>
    <row r="572" spans="1:16">
      <c r="A572" t="s">
        <v>35</v>
      </c>
      <c r="B572">
        <v>20260318</v>
      </c>
      <c r="C572">
        <v>105560</v>
      </c>
      <c r="D572" t="s">
        <v>36</v>
      </c>
      <c r="E572" t="s">
        <v>35</v>
      </c>
      <c r="F572" t="s">
        <v>17</v>
      </c>
      <c r="G572">
        <v>154700</v>
      </c>
      <c r="H572">
        <v>4000</v>
      </c>
      <c r="I572">
        <v>2.65</v>
      </c>
      <c r="J572">
        <v>152400</v>
      </c>
      <c r="K572">
        <v>156300</v>
      </c>
      <c r="L572">
        <v>152300</v>
      </c>
      <c r="M572">
        <v>1289740</v>
      </c>
      <c r="N572">
        <v>199668661750</v>
      </c>
      <c r="O572">
        <v>372850455</v>
      </c>
      <c r="P572">
        <v>57679965388500</v>
      </c>
    </row>
    <row r="573" spans="1:16">
      <c r="A573" t="s">
        <v>35</v>
      </c>
      <c r="B573">
        <v>20260317</v>
      </c>
      <c r="C573">
        <v>105560</v>
      </c>
      <c r="D573" t="s">
        <v>36</v>
      </c>
      <c r="E573" t="s">
        <v>35</v>
      </c>
      <c r="F573" t="s">
        <v>17</v>
      </c>
      <c r="G573">
        <v>150700</v>
      </c>
      <c r="H573">
        <v>1400</v>
      </c>
      <c r="I573">
        <v>0.94</v>
      </c>
      <c r="J573">
        <v>150800</v>
      </c>
      <c r="K573">
        <v>153300</v>
      </c>
      <c r="L573">
        <v>149700</v>
      </c>
      <c r="M573">
        <v>947530</v>
      </c>
      <c r="N573">
        <v>142977697700</v>
      </c>
      <c r="O573">
        <v>372850455</v>
      </c>
      <c r="P573">
        <v>56188563568500</v>
      </c>
    </row>
    <row r="574" spans="1:16">
      <c r="A574" t="s">
        <v>35</v>
      </c>
      <c r="B574">
        <v>20260316</v>
      </c>
      <c r="C574">
        <v>105560</v>
      </c>
      <c r="D574" t="s">
        <v>36</v>
      </c>
      <c r="E574" t="s">
        <v>35</v>
      </c>
      <c r="F574" t="s">
        <v>17</v>
      </c>
      <c r="G574">
        <v>149300</v>
      </c>
      <c r="H574">
        <v>400</v>
      </c>
      <c r="I574">
        <v>0.27</v>
      </c>
      <c r="J574">
        <v>149300</v>
      </c>
      <c r="K574">
        <v>153200</v>
      </c>
      <c r="L574">
        <v>147200</v>
      </c>
      <c r="M574">
        <v>957489</v>
      </c>
      <c r="N574">
        <v>143927399300</v>
      </c>
      <c r="O574">
        <v>372850455</v>
      </c>
      <c r="P574">
        <v>55666572931500</v>
      </c>
    </row>
    <row r="575" spans="1:16">
      <c r="A575" t="s">
        <v>35</v>
      </c>
      <c r="B575">
        <v>20260313</v>
      </c>
      <c r="C575">
        <v>105560</v>
      </c>
      <c r="D575" t="s">
        <v>36</v>
      </c>
      <c r="E575" t="s">
        <v>35</v>
      </c>
      <c r="F575" t="s">
        <v>17</v>
      </c>
      <c r="G575">
        <v>148900</v>
      </c>
      <c r="H575">
        <v>-300</v>
      </c>
      <c r="I575">
        <v>-0.2</v>
      </c>
      <c r="J575">
        <v>143200</v>
      </c>
      <c r="K575">
        <v>150800</v>
      </c>
      <c r="L575">
        <v>143000</v>
      </c>
      <c r="M575">
        <v>1424028</v>
      </c>
      <c r="N575">
        <v>211842441400</v>
      </c>
      <c r="O575">
        <v>372850455</v>
      </c>
      <c r="P575">
        <v>55517432749500</v>
      </c>
    </row>
    <row r="576" spans="1:16">
      <c r="A576" t="s">
        <v>35</v>
      </c>
      <c r="B576">
        <v>20260312</v>
      </c>
      <c r="C576">
        <v>105560</v>
      </c>
      <c r="D576" t="s">
        <v>36</v>
      </c>
      <c r="E576" t="s">
        <v>35</v>
      </c>
      <c r="F576" t="s">
        <v>17</v>
      </c>
      <c r="G576">
        <v>149200</v>
      </c>
      <c r="H576">
        <v>-2100</v>
      </c>
      <c r="I576">
        <v>-1.39</v>
      </c>
      <c r="J576">
        <v>149200</v>
      </c>
      <c r="K576">
        <v>150800</v>
      </c>
      <c r="L576">
        <v>147500</v>
      </c>
      <c r="M576">
        <v>803427</v>
      </c>
      <c r="N576">
        <v>119796897900</v>
      </c>
      <c r="O576">
        <v>372850455</v>
      </c>
      <c r="P576">
        <v>55629287886000</v>
      </c>
    </row>
    <row r="577" spans="1:16">
      <c r="A577" t="s">
        <v>35</v>
      </c>
      <c r="B577">
        <v>20260311</v>
      </c>
      <c r="C577">
        <v>105560</v>
      </c>
      <c r="D577" t="s">
        <v>36</v>
      </c>
      <c r="E577" t="s">
        <v>35</v>
      </c>
      <c r="F577" t="s">
        <v>17</v>
      </c>
      <c r="G577">
        <v>151300</v>
      </c>
      <c r="H577">
        <v>3900</v>
      </c>
      <c r="I577">
        <v>2.65</v>
      </c>
      <c r="J577">
        <v>154100</v>
      </c>
      <c r="K577">
        <v>157700</v>
      </c>
      <c r="L577">
        <v>149900</v>
      </c>
      <c r="M577">
        <v>1451829</v>
      </c>
      <c r="N577">
        <v>224574979300</v>
      </c>
      <c r="O577">
        <v>372850455</v>
      </c>
      <c r="P577">
        <v>56412273841500</v>
      </c>
    </row>
    <row r="578" spans="1:16">
      <c r="A578" t="s">
        <v>35</v>
      </c>
      <c r="B578">
        <v>20260310</v>
      </c>
      <c r="C578">
        <v>105560</v>
      </c>
      <c r="D578" t="s">
        <v>36</v>
      </c>
      <c r="E578" t="s">
        <v>35</v>
      </c>
      <c r="F578" t="s">
        <v>17</v>
      </c>
      <c r="G578">
        <v>147400</v>
      </c>
      <c r="H578">
        <v>4800</v>
      </c>
      <c r="I578">
        <v>3.37</v>
      </c>
      <c r="J578">
        <v>149700</v>
      </c>
      <c r="K578">
        <v>150600</v>
      </c>
      <c r="L578">
        <v>145300</v>
      </c>
      <c r="M578">
        <v>1371667</v>
      </c>
      <c r="N578">
        <v>202905961380</v>
      </c>
      <c r="O578">
        <v>372850455</v>
      </c>
      <c r="P578">
        <v>54958157067000</v>
      </c>
    </row>
    <row r="579" spans="1:16">
      <c r="A579" t="s">
        <v>35</v>
      </c>
      <c r="B579">
        <v>20260309</v>
      </c>
      <c r="C579">
        <v>105560</v>
      </c>
      <c r="D579" t="s">
        <v>36</v>
      </c>
      <c r="E579" t="s">
        <v>35</v>
      </c>
      <c r="F579" t="s">
        <v>17</v>
      </c>
      <c r="G579">
        <v>142600</v>
      </c>
      <c r="H579">
        <v>-4800</v>
      </c>
      <c r="I579">
        <v>-3.26</v>
      </c>
      <c r="J579">
        <v>132900</v>
      </c>
      <c r="K579">
        <v>143600</v>
      </c>
      <c r="L579">
        <v>132900</v>
      </c>
      <c r="M579">
        <v>1439220</v>
      </c>
      <c r="N579">
        <v>200959570500</v>
      </c>
      <c r="O579">
        <v>372850455</v>
      </c>
      <c r="P579">
        <v>53168474883000</v>
      </c>
    </row>
    <row r="580" spans="1:16">
      <c r="A580" t="s">
        <v>35</v>
      </c>
      <c r="B580">
        <v>20260306</v>
      </c>
      <c r="C580">
        <v>105560</v>
      </c>
      <c r="D580" t="s">
        <v>36</v>
      </c>
      <c r="E580" t="s">
        <v>35</v>
      </c>
      <c r="F580" t="s">
        <v>17</v>
      </c>
      <c r="G580">
        <v>147400</v>
      </c>
      <c r="H580">
        <v>-1600</v>
      </c>
      <c r="I580">
        <v>-1.07</v>
      </c>
      <c r="J580">
        <v>144500</v>
      </c>
      <c r="K580">
        <v>150300</v>
      </c>
      <c r="L580">
        <v>143200</v>
      </c>
      <c r="M580">
        <v>1238730</v>
      </c>
      <c r="N580">
        <v>182315934050</v>
      </c>
      <c r="O580">
        <v>372850455</v>
      </c>
      <c r="P580">
        <v>54958157067000</v>
      </c>
    </row>
    <row r="581" spans="1:16">
      <c r="A581" t="s">
        <v>35</v>
      </c>
      <c r="B581">
        <v>20260305</v>
      </c>
      <c r="C581">
        <v>105560</v>
      </c>
      <c r="D581" t="s">
        <v>36</v>
      </c>
      <c r="E581" t="s">
        <v>35</v>
      </c>
      <c r="F581" t="s">
        <v>17</v>
      </c>
      <c r="G581">
        <v>149000</v>
      </c>
      <c r="H581">
        <v>11300</v>
      </c>
      <c r="I581">
        <v>8.2100000000000009</v>
      </c>
      <c r="J581">
        <v>151400</v>
      </c>
      <c r="K581">
        <v>153100</v>
      </c>
      <c r="L581">
        <v>146900</v>
      </c>
      <c r="M581">
        <v>1934617</v>
      </c>
      <c r="N581">
        <v>289366519500</v>
      </c>
      <c r="O581">
        <v>372850455</v>
      </c>
      <c r="P581">
        <v>55554717795000</v>
      </c>
    </row>
    <row r="582" spans="1:16">
      <c r="A582" t="s">
        <v>35</v>
      </c>
      <c r="B582">
        <v>20260304</v>
      </c>
      <c r="C582">
        <v>105560</v>
      </c>
      <c r="D582" t="s">
        <v>36</v>
      </c>
      <c r="E582" t="s">
        <v>35</v>
      </c>
      <c r="F582" t="s">
        <v>17</v>
      </c>
      <c r="G582">
        <v>137700</v>
      </c>
      <c r="H582">
        <v>-15800</v>
      </c>
      <c r="I582">
        <v>-10.29</v>
      </c>
      <c r="J582">
        <v>148300</v>
      </c>
      <c r="K582">
        <v>149400</v>
      </c>
      <c r="L582">
        <v>135100</v>
      </c>
      <c r="M582">
        <v>2845836</v>
      </c>
      <c r="N582">
        <v>402898714300</v>
      </c>
      <c r="O582">
        <v>372850455</v>
      </c>
      <c r="P582">
        <v>51341507653500</v>
      </c>
    </row>
    <row r="583" spans="1:16">
      <c r="A583" t="s">
        <v>35</v>
      </c>
      <c r="B583">
        <v>20260303</v>
      </c>
      <c r="C583">
        <v>105560</v>
      </c>
      <c r="D583" t="s">
        <v>36</v>
      </c>
      <c r="E583" t="s">
        <v>35</v>
      </c>
      <c r="F583" t="s">
        <v>17</v>
      </c>
      <c r="G583">
        <v>153500</v>
      </c>
      <c r="H583">
        <v>-5500</v>
      </c>
      <c r="I583">
        <v>-3.46</v>
      </c>
      <c r="J583">
        <v>157500</v>
      </c>
      <c r="K583">
        <v>158300</v>
      </c>
      <c r="L583">
        <v>152500</v>
      </c>
      <c r="M583">
        <v>2412942</v>
      </c>
      <c r="N583">
        <v>375607126632</v>
      </c>
      <c r="O583">
        <v>372850455</v>
      </c>
      <c r="P583">
        <v>57232544842500</v>
      </c>
    </row>
    <row r="584" spans="1:16">
      <c r="A584" t="s">
        <v>35</v>
      </c>
      <c r="B584">
        <v>20260227</v>
      </c>
      <c r="C584">
        <v>105560</v>
      </c>
      <c r="D584" t="s">
        <v>36</v>
      </c>
      <c r="E584" t="s">
        <v>35</v>
      </c>
      <c r="F584" t="s">
        <v>17</v>
      </c>
      <c r="G584">
        <v>159000</v>
      </c>
      <c r="H584">
        <v>-6300</v>
      </c>
      <c r="I584">
        <v>-3.81</v>
      </c>
      <c r="J584">
        <v>161100</v>
      </c>
      <c r="K584">
        <v>164200</v>
      </c>
      <c r="L584">
        <v>159000</v>
      </c>
      <c r="M584">
        <v>2686751</v>
      </c>
      <c r="N584">
        <v>429393211150</v>
      </c>
      <c r="O584">
        <v>372850455</v>
      </c>
      <c r="P584">
        <v>59283222345000</v>
      </c>
    </row>
    <row r="585" spans="1:16">
      <c r="A585" t="s">
        <v>35</v>
      </c>
      <c r="B585">
        <v>20260226</v>
      </c>
      <c r="C585">
        <v>105560</v>
      </c>
      <c r="D585" t="s">
        <v>36</v>
      </c>
      <c r="E585" t="s">
        <v>35</v>
      </c>
      <c r="F585" t="s">
        <v>17</v>
      </c>
      <c r="G585">
        <v>165300</v>
      </c>
      <c r="H585">
        <v>-2400</v>
      </c>
      <c r="I585">
        <v>-1.43</v>
      </c>
      <c r="J585">
        <v>167400</v>
      </c>
      <c r="K585">
        <v>167400</v>
      </c>
      <c r="L585">
        <v>164300</v>
      </c>
      <c r="M585">
        <v>1373955</v>
      </c>
      <c r="N585">
        <v>227558862650</v>
      </c>
      <c r="O585">
        <v>372850455</v>
      </c>
      <c r="P585">
        <v>61632180211500</v>
      </c>
    </row>
    <row r="586" spans="1:16">
      <c r="A586" t="s">
        <v>35</v>
      </c>
      <c r="B586">
        <v>20260225</v>
      </c>
      <c r="C586">
        <v>105560</v>
      </c>
      <c r="D586" t="s">
        <v>36</v>
      </c>
      <c r="E586" t="s">
        <v>35</v>
      </c>
      <c r="F586" t="s">
        <v>17</v>
      </c>
      <c r="G586">
        <v>167700</v>
      </c>
      <c r="H586">
        <v>1000</v>
      </c>
      <c r="I586">
        <v>0.6</v>
      </c>
      <c r="J586">
        <v>166300</v>
      </c>
      <c r="K586">
        <v>169400</v>
      </c>
      <c r="L586">
        <v>165100</v>
      </c>
      <c r="M586">
        <v>1144011</v>
      </c>
      <c r="N586">
        <v>191529126700</v>
      </c>
      <c r="O586">
        <v>372850455</v>
      </c>
      <c r="P586">
        <v>62527021303500</v>
      </c>
    </row>
    <row r="587" spans="1:16">
      <c r="A587" t="s">
        <v>35</v>
      </c>
      <c r="B587">
        <v>20260224</v>
      </c>
      <c r="C587">
        <v>105560</v>
      </c>
      <c r="D587" t="s">
        <v>36</v>
      </c>
      <c r="E587" t="s">
        <v>35</v>
      </c>
      <c r="F587" t="s">
        <v>17</v>
      </c>
      <c r="G587">
        <v>166700</v>
      </c>
      <c r="H587">
        <v>-2000</v>
      </c>
      <c r="I587">
        <v>-1.19</v>
      </c>
      <c r="J587">
        <v>167500</v>
      </c>
      <c r="K587">
        <v>169300</v>
      </c>
      <c r="L587">
        <v>162000</v>
      </c>
      <c r="M587">
        <v>1478679</v>
      </c>
      <c r="N587">
        <v>245674133350</v>
      </c>
      <c r="O587">
        <v>372850455</v>
      </c>
      <c r="P587">
        <v>62154170848500</v>
      </c>
    </row>
    <row r="588" spans="1:16">
      <c r="A588" t="s">
        <v>35</v>
      </c>
      <c r="B588">
        <v>20260223</v>
      </c>
      <c r="C588">
        <v>105560</v>
      </c>
      <c r="D588" t="s">
        <v>36</v>
      </c>
      <c r="E588" t="s">
        <v>35</v>
      </c>
      <c r="F588" t="s">
        <v>17</v>
      </c>
      <c r="G588">
        <v>168700</v>
      </c>
      <c r="H588">
        <v>-100</v>
      </c>
      <c r="I588">
        <v>-0.06</v>
      </c>
      <c r="J588">
        <v>172500</v>
      </c>
      <c r="K588">
        <v>172500</v>
      </c>
      <c r="L588">
        <v>165100</v>
      </c>
      <c r="M588">
        <v>1349618</v>
      </c>
      <c r="N588">
        <v>226482073250</v>
      </c>
      <c r="O588">
        <v>372850455</v>
      </c>
      <c r="P588">
        <v>62899871758500</v>
      </c>
    </row>
    <row r="589" spans="1:16">
      <c r="A589" t="s">
        <v>35</v>
      </c>
      <c r="B589">
        <v>20260220</v>
      </c>
      <c r="C589">
        <v>105560</v>
      </c>
      <c r="D589" t="s">
        <v>36</v>
      </c>
      <c r="E589" t="s">
        <v>35</v>
      </c>
      <c r="F589" t="s">
        <v>17</v>
      </c>
      <c r="G589">
        <v>168800</v>
      </c>
      <c r="H589">
        <v>2300</v>
      </c>
      <c r="I589">
        <v>1.38</v>
      </c>
      <c r="J589">
        <v>167400</v>
      </c>
      <c r="K589">
        <v>169700</v>
      </c>
      <c r="L589">
        <v>167100</v>
      </c>
      <c r="M589">
        <v>1321785</v>
      </c>
      <c r="N589">
        <v>222953662300</v>
      </c>
      <c r="O589">
        <v>372850455</v>
      </c>
      <c r="P589">
        <v>62937156804000</v>
      </c>
    </row>
    <row r="590" spans="1:16">
      <c r="A590" t="s">
        <v>35</v>
      </c>
      <c r="B590">
        <v>20260219</v>
      </c>
      <c r="C590">
        <v>105560</v>
      </c>
      <c r="D590" t="s">
        <v>36</v>
      </c>
      <c r="E590" t="s">
        <v>35</v>
      </c>
      <c r="F590" t="s">
        <v>17</v>
      </c>
      <c r="G590">
        <v>166500</v>
      </c>
      <c r="H590">
        <v>-1400</v>
      </c>
      <c r="I590">
        <v>-0.83</v>
      </c>
      <c r="J590">
        <v>168800</v>
      </c>
      <c r="K590">
        <v>169800</v>
      </c>
      <c r="L590">
        <v>163700</v>
      </c>
      <c r="M590">
        <v>2035445</v>
      </c>
      <c r="N590">
        <v>339671002200</v>
      </c>
      <c r="O590">
        <v>372850455</v>
      </c>
      <c r="P590">
        <v>62079600757500</v>
      </c>
    </row>
    <row r="591" spans="1:16">
      <c r="A591" t="s">
        <v>35</v>
      </c>
      <c r="B591">
        <v>20260213</v>
      </c>
      <c r="C591">
        <v>105560</v>
      </c>
      <c r="D591" t="s">
        <v>36</v>
      </c>
      <c r="E591" t="s">
        <v>35</v>
      </c>
      <c r="F591" t="s">
        <v>17</v>
      </c>
      <c r="G591">
        <v>167900</v>
      </c>
      <c r="H591">
        <v>-600</v>
      </c>
      <c r="I591">
        <v>-0.36</v>
      </c>
      <c r="J591">
        <v>166800</v>
      </c>
      <c r="K591">
        <v>170500</v>
      </c>
      <c r="L591">
        <v>164000</v>
      </c>
      <c r="M591">
        <v>1772951</v>
      </c>
      <c r="N591">
        <v>297495498115</v>
      </c>
      <c r="O591">
        <v>372850455</v>
      </c>
      <c r="P591">
        <v>62601591394500</v>
      </c>
    </row>
    <row r="592" spans="1:16">
      <c r="A592" t="s">
        <v>35</v>
      </c>
      <c r="B592">
        <v>20260212</v>
      </c>
      <c r="C592">
        <v>105560</v>
      </c>
      <c r="D592" t="s">
        <v>36</v>
      </c>
      <c r="E592" t="s">
        <v>35</v>
      </c>
      <c r="F592" t="s">
        <v>17</v>
      </c>
      <c r="G592">
        <v>168500</v>
      </c>
      <c r="H592">
        <v>4000</v>
      </c>
      <c r="I592">
        <v>2.4300000000000002</v>
      </c>
      <c r="J592">
        <v>163800</v>
      </c>
      <c r="K592">
        <v>168500</v>
      </c>
      <c r="L592">
        <v>162400</v>
      </c>
      <c r="M592">
        <v>1821129</v>
      </c>
      <c r="N592">
        <v>302952634950</v>
      </c>
      <c r="O592">
        <v>372850455</v>
      </c>
      <c r="P592">
        <v>62825301667500</v>
      </c>
    </row>
    <row r="593" spans="1:16">
      <c r="A593" t="s">
        <v>35</v>
      </c>
      <c r="B593">
        <v>20260211</v>
      </c>
      <c r="C593">
        <v>105560</v>
      </c>
      <c r="D593" t="s">
        <v>36</v>
      </c>
      <c r="E593" t="s">
        <v>35</v>
      </c>
      <c r="F593" t="s">
        <v>17</v>
      </c>
      <c r="G593">
        <v>164500</v>
      </c>
      <c r="H593">
        <v>9000</v>
      </c>
      <c r="I593">
        <v>5.79</v>
      </c>
      <c r="J593">
        <v>155500</v>
      </c>
      <c r="K593">
        <v>165000</v>
      </c>
      <c r="L593">
        <v>155400</v>
      </c>
      <c r="M593">
        <v>2186027</v>
      </c>
      <c r="N593">
        <v>354177985599</v>
      </c>
      <c r="O593">
        <v>372850455</v>
      </c>
      <c r="P593">
        <v>61333899847500</v>
      </c>
    </row>
    <row r="594" spans="1:16">
      <c r="A594" t="s">
        <v>35</v>
      </c>
      <c r="B594">
        <v>20260210</v>
      </c>
      <c r="C594">
        <v>105560</v>
      </c>
      <c r="D594" t="s">
        <v>36</v>
      </c>
      <c r="E594" t="s">
        <v>35</v>
      </c>
      <c r="F594" t="s">
        <v>17</v>
      </c>
      <c r="G594">
        <v>155500</v>
      </c>
      <c r="H594">
        <v>4100</v>
      </c>
      <c r="I594">
        <v>2.71</v>
      </c>
      <c r="J594">
        <v>157300</v>
      </c>
      <c r="K594">
        <v>160300</v>
      </c>
      <c r="L594">
        <v>153300</v>
      </c>
      <c r="M594">
        <v>1876441</v>
      </c>
      <c r="N594">
        <v>293859664750</v>
      </c>
      <c r="O594">
        <v>372850455</v>
      </c>
      <c r="P594">
        <v>57978245752500</v>
      </c>
    </row>
    <row r="595" spans="1:16">
      <c r="A595" t="s">
        <v>35</v>
      </c>
      <c r="B595">
        <v>20260209</v>
      </c>
      <c r="C595">
        <v>105560</v>
      </c>
      <c r="D595" t="s">
        <v>36</v>
      </c>
      <c r="E595" t="s">
        <v>35</v>
      </c>
      <c r="F595" t="s">
        <v>17</v>
      </c>
      <c r="G595">
        <v>151400</v>
      </c>
      <c r="H595">
        <v>2100</v>
      </c>
      <c r="I595">
        <v>1.41</v>
      </c>
      <c r="J595">
        <v>150500</v>
      </c>
      <c r="K595">
        <v>152700</v>
      </c>
      <c r="L595">
        <v>148800</v>
      </c>
      <c r="M595">
        <v>1668370</v>
      </c>
      <c r="N595">
        <v>252249690520</v>
      </c>
      <c r="O595">
        <v>372850455</v>
      </c>
      <c r="P595">
        <v>56449558887000</v>
      </c>
    </row>
    <row r="596" spans="1:16">
      <c r="A596" t="s">
        <v>35</v>
      </c>
      <c r="B596">
        <v>20260206</v>
      </c>
      <c r="C596">
        <v>105560</v>
      </c>
      <c r="D596" t="s">
        <v>36</v>
      </c>
      <c r="E596" t="s">
        <v>35</v>
      </c>
      <c r="F596" t="s">
        <v>17</v>
      </c>
      <c r="G596">
        <v>149300</v>
      </c>
      <c r="H596">
        <v>9800</v>
      </c>
      <c r="I596">
        <v>7.03</v>
      </c>
      <c r="J596">
        <v>143900</v>
      </c>
      <c r="K596">
        <v>154200</v>
      </c>
      <c r="L596">
        <v>140000</v>
      </c>
      <c r="M596">
        <v>3931844</v>
      </c>
      <c r="N596">
        <v>581930906600</v>
      </c>
      <c r="O596">
        <v>372850455</v>
      </c>
      <c r="P596">
        <v>55666572931500</v>
      </c>
    </row>
    <row r="597" spans="1:16">
      <c r="A597" t="s">
        <v>35</v>
      </c>
      <c r="B597">
        <v>20260205</v>
      </c>
      <c r="C597">
        <v>105560</v>
      </c>
      <c r="D597" t="s">
        <v>36</v>
      </c>
      <c r="E597" t="s">
        <v>35</v>
      </c>
      <c r="F597" t="s">
        <v>17</v>
      </c>
      <c r="G597">
        <v>139500</v>
      </c>
      <c r="H597">
        <v>-2600</v>
      </c>
      <c r="I597">
        <v>-1.83</v>
      </c>
      <c r="J597">
        <v>141900</v>
      </c>
      <c r="K597">
        <v>144200</v>
      </c>
      <c r="L597">
        <v>138200</v>
      </c>
      <c r="M597">
        <v>1036611</v>
      </c>
      <c r="N597">
        <v>145526451900</v>
      </c>
      <c r="O597">
        <v>372850455</v>
      </c>
      <c r="P597">
        <v>52012638472500</v>
      </c>
    </row>
    <row r="598" spans="1:16">
      <c r="A598" t="s">
        <v>35</v>
      </c>
      <c r="B598">
        <v>20260204</v>
      </c>
      <c r="C598">
        <v>105560</v>
      </c>
      <c r="D598" t="s">
        <v>36</v>
      </c>
      <c r="E598" t="s">
        <v>35</v>
      </c>
      <c r="F598" t="s">
        <v>17</v>
      </c>
      <c r="G598">
        <v>142100</v>
      </c>
      <c r="H598">
        <v>3300</v>
      </c>
      <c r="I598">
        <v>2.38</v>
      </c>
      <c r="J598">
        <v>145000</v>
      </c>
      <c r="K598">
        <v>145000</v>
      </c>
      <c r="L598">
        <v>139300</v>
      </c>
      <c r="M598">
        <v>1429897</v>
      </c>
      <c r="N598">
        <v>203422429400</v>
      </c>
      <c r="O598">
        <v>381462103</v>
      </c>
      <c r="P598">
        <v>54205764836300</v>
      </c>
    </row>
    <row r="599" spans="1:16">
      <c r="A599" t="s">
        <v>35</v>
      </c>
      <c r="B599">
        <v>20260203</v>
      </c>
      <c r="C599">
        <v>105560</v>
      </c>
      <c r="D599" t="s">
        <v>36</v>
      </c>
      <c r="E599" t="s">
        <v>35</v>
      </c>
      <c r="F599" t="s">
        <v>17</v>
      </c>
      <c r="G599">
        <v>138800</v>
      </c>
      <c r="H599">
        <v>5100</v>
      </c>
      <c r="I599">
        <v>3.81</v>
      </c>
      <c r="J599">
        <v>138000</v>
      </c>
      <c r="K599">
        <v>139300</v>
      </c>
      <c r="L599">
        <v>136500</v>
      </c>
      <c r="M599">
        <v>922361</v>
      </c>
      <c r="N599">
        <v>127240145050</v>
      </c>
      <c r="O599">
        <v>381462103</v>
      </c>
      <c r="P599">
        <v>52946939896400</v>
      </c>
    </row>
    <row r="600" spans="1:16">
      <c r="A600" t="s">
        <v>35</v>
      </c>
      <c r="B600">
        <v>20260202</v>
      </c>
      <c r="C600">
        <v>105560</v>
      </c>
      <c r="D600" t="s">
        <v>36</v>
      </c>
      <c r="E600" t="s">
        <v>35</v>
      </c>
      <c r="F600" t="s">
        <v>17</v>
      </c>
      <c r="G600">
        <v>133700</v>
      </c>
      <c r="H600">
        <v>-1500</v>
      </c>
      <c r="I600">
        <v>-1.1100000000000001</v>
      </c>
      <c r="J600">
        <v>137900</v>
      </c>
      <c r="K600">
        <v>140500</v>
      </c>
      <c r="L600">
        <v>132200</v>
      </c>
      <c r="M600">
        <v>1409820</v>
      </c>
      <c r="N600">
        <v>191309377050</v>
      </c>
      <c r="O600">
        <v>381462103</v>
      </c>
      <c r="P600">
        <v>51001483171100</v>
      </c>
    </row>
    <row r="601" spans="1:16">
      <c r="A601" t="s">
        <v>35</v>
      </c>
      <c r="B601">
        <v>20260130</v>
      </c>
      <c r="C601">
        <v>105560</v>
      </c>
      <c r="D601" t="s">
        <v>36</v>
      </c>
      <c r="E601" t="s">
        <v>35</v>
      </c>
      <c r="F601" t="s">
        <v>17</v>
      </c>
      <c r="G601">
        <v>135200</v>
      </c>
      <c r="H601">
        <v>-2600</v>
      </c>
      <c r="I601">
        <v>-1.89</v>
      </c>
      <c r="J601">
        <v>137700</v>
      </c>
      <c r="K601">
        <v>138800</v>
      </c>
      <c r="L601">
        <v>135200</v>
      </c>
      <c r="M601">
        <v>1436454</v>
      </c>
      <c r="N601">
        <v>196362509000</v>
      </c>
      <c r="O601">
        <v>381462103</v>
      </c>
      <c r="P601">
        <v>51573676325600</v>
      </c>
    </row>
    <row r="602" spans="1:16">
      <c r="A602" t="s">
        <v>35</v>
      </c>
      <c r="B602">
        <v>20260129</v>
      </c>
      <c r="C602">
        <v>105560</v>
      </c>
      <c r="D602" t="s">
        <v>36</v>
      </c>
      <c r="E602" t="s">
        <v>35</v>
      </c>
      <c r="F602" t="s">
        <v>17</v>
      </c>
      <c r="G602">
        <v>137800</v>
      </c>
      <c r="H602">
        <v>-100</v>
      </c>
      <c r="I602">
        <v>-7.0000000000000007E-2</v>
      </c>
      <c r="J602">
        <v>139100</v>
      </c>
      <c r="K602">
        <v>139100</v>
      </c>
      <c r="L602">
        <v>134600</v>
      </c>
      <c r="M602">
        <v>1152291</v>
      </c>
      <c r="N602">
        <v>158388126350</v>
      </c>
      <c r="O602">
        <v>381462103</v>
      </c>
      <c r="P602">
        <v>52565477793400</v>
      </c>
    </row>
    <row r="603" spans="1:16">
      <c r="A603" t="s">
        <v>35</v>
      </c>
      <c r="B603">
        <v>20260128</v>
      </c>
      <c r="C603">
        <v>105560</v>
      </c>
      <c r="D603" t="s">
        <v>36</v>
      </c>
      <c r="E603" t="s">
        <v>35</v>
      </c>
      <c r="F603" t="s">
        <v>17</v>
      </c>
      <c r="G603">
        <v>137900</v>
      </c>
      <c r="H603">
        <v>-5100</v>
      </c>
      <c r="I603">
        <v>-3.57</v>
      </c>
      <c r="J603">
        <v>141700</v>
      </c>
      <c r="K603">
        <v>143000</v>
      </c>
      <c r="L603">
        <v>136900</v>
      </c>
      <c r="M603">
        <v>1591428</v>
      </c>
      <c r="N603">
        <v>221381870685</v>
      </c>
      <c r="O603">
        <v>381462103</v>
      </c>
      <c r="P603">
        <v>52603624003700</v>
      </c>
    </row>
    <row r="604" spans="1:16">
      <c r="A604" t="s">
        <v>35</v>
      </c>
      <c r="B604">
        <v>20260127</v>
      </c>
      <c r="C604">
        <v>105560</v>
      </c>
      <c r="D604" t="s">
        <v>36</v>
      </c>
      <c r="E604" t="s">
        <v>35</v>
      </c>
      <c r="F604" t="s">
        <v>17</v>
      </c>
      <c r="G604">
        <v>143000</v>
      </c>
      <c r="H604">
        <v>7500</v>
      </c>
      <c r="I604">
        <v>5.54</v>
      </c>
      <c r="J604">
        <v>137500</v>
      </c>
      <c r="K604">
        <v>143600</v>
      </c>
      <c r="L604">
        <v>136800</v>
      </c>
      <c r="M604">
        <v>1179043</v>
      </c>
      <c r="N604">
        <v>166986515608</v>
      </c>
      <c r="O604">
        <v>381462103</v>
      </c>
      <c r="P604">
        <v>54549080729000</v>
      </c>
    </row>
    <row r="605" spans="1:16">
      <c r="A605" t="s">
        <v>35</v>
      </c>
      <c r="B605">
        <v>20260126</v>
      </c>
      <c r="C605">
        <v>105560</v>
      </c>
      <c r="D605" t="s">
        <v>36</v>
      </c>
      <c r="E605" t="s">
        <v>35</v>
      </c>
      <c r="F605" t="s">
        <v>17</v>
      </c>
      <c r="G605">
        <v>135500</v>
      </c>
      <c r="H605">
        <v>-100</v>
      </c>
      <c r="I605">
        <v>-7.0000000000000007E-2</v>
      </c>
      <c r="J605">
        <v>134800</v>
      </c>
      <c r="K605">
        <v>138900</v>
      </c>
      <c r="L605">
        <v>134700</v>
      </c>
      <c r="M605">
        <v>724794</v>
      </c>
      <c r="N605">
        <v>99246199050</v>
      </c>
      <c r="O605">
        <v>381462103</v>
      </c>
      <c r="P605">
        <v>51688114956500</v>
      </c>
    </row>
    <row r="606" spans="1:16">
      <c r="A606" t="s">
        <v>35</v>
      </c>
      <c r="B606">
        <v>20260123</v>
      </c>
      <c r="C606">
        <v>105560</v>
      </c>
      <c r="D606" t="s">
        <v>36</v>
      </c>
      <c r="E606" t="s">
        <v>35</v>
      </c>
      <c r="F606" t="s">
        <v>17</v>
      </c>
      <c r="G606">
        <v>135600</v>
      </c>
      <c r="H606">
        <v>900</v>
      </c>
      <c r="I606">
        <v>0.67</v>
      </c>
      <c r="J606">
        <v>133700</v>
      </c>
      <c r="K606">
        <v>136000</v>
      </c>
      <c r="L606">
        <v>133100</v>
      </c>
      <c r="M606">
        <v>857227</v>
      </c>
      <c r="N606">
        <v>115800677550</v>
      </c>
      <c r="O606">
        <v>381462103</v>
      </c>
      <c r="P606">
        <v>51726261166800</v>
      </c>
    </row>
    <row r="607" spans="1:16">
      <c r="A607" t="s">
        <v>35</v>
      </c>
      <c r="B607">
        <v>20260122</v>
      </c>
      <c r="C607">
        <v>105560</v>
      </c>
      <c r="D607" t="s">
        <v>36</v>
      </c>
      <c r="E607" t="s">
        <v>35</v>
      </c>
      <c r="F607" t="s">
        <v>17</v>
      </c>
      <c r="G607">
        <v>134700</v>
      </c>
      <c r="H607">
        <v>-2100</v>
      </c>
      <c r="I607">
        <v>-1.54</v>
      </c>
      <c r="J607">
        <v>136800</v>
      </c>
      <c r="K607">
        <v>138900</v>
      </c>
      <c r="L607">
        <v>134000</v>
      </c>
      <c r="M607">
        <v>1115532</v>
      </c>
      <c r="N607">
        <v>151011520600</v>
      </c>
      <c r="O607">
        <v>381462103</v>
      </c>
      <c r="P607">
        <v>51382945274100</v>
      </c>
    </row>
    <row r="608" spans="1:16">
      <c r="A608" t="s">
        <v>35</v>
      </c>
      <c r="B608">
        <v>20260121</v>
      </c>
      <c r="C608">
        <v>105560</v>
      </c>
      <c r="D608" t="s">
        <v>36</v>
      </c>
      <c r="E608" t="s">
        <v>35</v>
      </c>
      <c r="F608" t="s">
        <v>17</v>
      </c>
      <c r="G608">
        <v>136800</v>
      </c>
      <c r="H608">
        <v>3700</v>
      </c>
      <c r="I608">
        <v>2.78</v>
      </c>
      <c r="J608">
        <v>131900</v>
      </c>
      <c r="K608">
        <v>136800</v>
      </c>
      <c r="L608">
        <v>130800</v>
      </c>
      <c r="M608">
        <v>1023965</v>
      </c>
      <c r="N608">
        <v>137490566900</v>
      </c>
      <c r="O608">
        <v>381462103</v>
      </c>
      <c r="P608">
        <v>52184015690400</v>
      </c>
    </row>
    <row r="609" spans="1:16">
      <c r="A609" t="s">
        <v>35</v>
      </c>
      <c r="B609">
        <v>20260120</v>
      </c>
      <c r="C609">
        <v>105560</v>
      </c>
      <c r="D609" t="s">
        <v>36</v>
      </c>
      <c r="E609" t="s">
        <v>35</v>
      </c>
      <c r="F609" t="s">
        <v>17</v>
      </c>
      <c r="G609">
        <v>133100</v>
      </c>
      <c r="H609">
        <v>3600</v>
      </c>
      <c r="I609">
        <v>2.78</v>
      </c>
      <c r="J609">
        <v>128300</v>
      </c>
      <c r="K609">
        <v>135000</v>
      </c>
      <c r="L609">
        <v>127200</v>
      </c>
      <c r="M609">
        <v>1088716</v>
      </c>
      <c r="N609">
        <v>145001254800</v>
      </c>
      <c r="O609">
        <v>381462103</v>
      </c>
      <c r="P609">
        <v>50772605909300</v>
      </c>
    </row>
    <row r="610" spans="1:16">
      <c r="A610" t="s">
        <v>35</v>
      </c>
      <c r="B610">
        <v>20260119</v>
      </c>
      <c r="C610">
        <v>105560</v>
      </c>
      <c r="D610" t="s">
        <v>36</v>
      </c>
      <c r="E610" t="s">
        <v>35</v>
      </c>
      <c r="F610" t="s">
        <v>17</v>
      </c>
      <c r="G610">
        <v>129500</v>
      </c>
      <c r="H610">
        <v>-1400</v>
      </c>
      <c r="I610">
        <v>-1.07</v>
      </c>
      <c r="J610">
        <v>128800</v>
      </c>
      <c r="K610">
        <v>130400</v>
      </c>
      <c r="L610">
        <v>128000</v>
      </c>
      <c r="M610">
        <v>619937</v>
      </c>
      <c r="N610">
        <v>80238053700</v>
      </c>
      <c r="O610">
        <v>381462103</v>
      </c>
      <c r="P610">
        <v>49399342338500</v>
      </c>
    </row>
    <row r="611" spans="1:16">
      <c r="A611" t="s">
        <v>35</v>
      </c>
      <c r="B611">
        <v>20260116</v>
      </c>
      <c r="C611">
        <v>105560</v>
      </c>
      <c r="D611" t="s">
        <v>36</v>
      </c>
      <c r="E611" t="s">
        <v>35</v>
      </c>
      <c r="F611" t="s">
        <v>17</v>
      </c>
      <c r="G611">
        <v>130900</v>
      </c>
      <c r="H611">
        <v>800</v>
      </c>
      <c r="I611">
        <v>0.61</v>
      </c>
      <c r="J611">
        <v>131500</v>
      </c>
      <c r="K611">
        <v>131900</v>
      </c>
      <c r="L611">
        <v>128800</v>
      </c>
      <c r="M611">
        <v>743043</v>
      </c>
      <c r="N611">
        <v>96975308350</v>
      </c>
      <c r="O611">
        <v>381462103</v>
      </c>
      <c r="P611">
        <v>49933389282700</v>
      </c>
    </row>
    <row r="612" spans="1:16">
      <c r="A612" t="s">
        <v>35</v>
      </c>
      <c r="B612">
        <v>20260115</v>
      </c>
      <c r="C612">
        <v>105560</v>
      </c>
      <c r="D612" t="s">
        <v>36</v>
      </c>
      <c r="E612" t="s">
        <v>35</v>
      </c>
      <c r="F612" t="s">
        <v>17</v>
      </c>
      <c r="G612">
        <v>130100</v>
      </c>
      <c r="H612">
        <v>1200</v>
      </c>
      <c r="I612">
        <v>0.93</v>
      </c>
      <c r="J612">
        <v>130100</v>
      </c>
      <c r="K612">
        <v>133200</v>
      </c>
      <c r="L612">
        <v>129300</v>
      </c>
      <c r="M612">
        <v>997830</v>
      </c>
      <c r="N612">
        <v>130066427800</v>
      </c>
      <c r="O612">
        <v>381462103</v>
      </c>
      <c r="P612">
        <v>49628219600300</v>
      </c>
    </row>
    <row r="613" spans="1:16">
      <c r="A613" t="s">
        <v>35</v>
      </c>
      <c r="B613">
        <v>20260114</v>
      </c>
      <c r="C613">
        <v>105560</v>
      </c>
      <c r="D613" t="s">
        <v>36</v>
      </c>
      <c r="E613" t="s">
        <v>35</v>
      </c>
      <c r="F613" t="s">
        <v>17</v>
      </c>
      <c r="G613">
        <v>128900</v>
      </c>
      <c r="H613">
        <v>400</v>
      </c>
      <c r="I613">
        <v>0.31</v>
      </c>
      <c r="J613">
        <v>128700</v>
      </c>
      <c r="K613">
        <v>129200</v>
      </c>
      <c r="L613">
        <v>126400</v>
      </c>
      <c r="M613">
        <v>671803</v>
      </c>
      <c r="N613">
        <v>86377190450</v>
      </c>
      <c r="O613">
        <v>381462103</v>
      </c>
      <c r="P613">
        <v>49170465076700</v>
      </c>
    </row>
    <row r="614" spans="1:16">
      <c r="A614" t="s">
        <v>35</v>
      </c>
      <c r="B614">
        <v>20260113</v>
      </c>
      <c r="C614">
        <v>105560</v>
      </c>
      <c r="D614" t="s">
        <v>36</v>
      </c>
      <c r="E614" t="s">
        <v>35</v>
      </c>
      <c r="F614" t="s">
        <v>17</v>
      </c>
      <c r="G614">
        <v>128500</v>
      </c>
      <c r="H614">
        <v>3000</v>
      </c>
      <c r="I614">
        <v>2.39</v>
      </c>
      <c r="J614">
        <v>126900</v>
      </c>
      <c r="K614">
        <v>128500</v>
      </c>
      <c r="L614">
        <v>125300</v>
      </c>
      <c r="M614">
        <v>759486</v>
      </c>
      <c r="N614">
        <v>96429903800</v>
      </c>
      <c r="O614">
        <v>381462103</v>
      </c>
      <c r="P614">
        <v>49017880235500</v>
      </c>
    </row>
    <row r="615" spans="1:16">
      <c r="A615" t="s">
        <v>35</v>
      </c>
      <c r="B615">
        <v>20260112</v>
      </c>
      <c r="C615">
        <v>105560</v>
      </c>
      <c r="D615" t="s">
        <v>36</v>
      </c>
      <c r="E615" t="s">
        <v>35</v>
      </c>
      <c r="F615" t="s">
        <v>17</v>
      </c>
      <c r="G615">
        <v>125500</v>
      </c>
      <c r="H615">
        <v>-1100</v>
      </c>
      <c r="I615">
        <v>-0.87</v>
      </c>
      <c r="J615">
        <v>127000</v>
      </c>
      <c r="K615">
        <v>127000</v>
      </c>
      <c r="L615">
        <v>124600</v>
      </c>
      <c r="M615">
        <v>668915</v>
      </c>
      <c r="N615">
        <v>83933256600</v>
      </c>
      <c r="O615">
        <v>381462103</v>
      </c>
      <c r="P615">
        <v>47873493926500</v>
      </c>
    </row>
    <row r="616" spans="1:16">
      <c r="A616" t="s">
        <v>35</v>
      </c>
      <c r="B616">
        <v>20260109</v>
      </c>
      <c r="C616">
        <v>105560</v>
      </c>
      <c r="D616" t="s">
        <v>36</v>
      </c>
      <c r="E616" t="s">
        <v>35</v>
      </c>
      <c r="F616" t="s">
        <v>17</v>
      </c>
      <c r="G616">
        <v>126600</v>
      </c>
      <c r="H616">
        <v>3100</v>
      </c>
      <c r="I616">
        <v>2.5099999999999998</v>
      </c>
      <c r="J616">
        <v>124600</v>
      </c>
      <c r="K616">
        <v>127800</v>
      </c>
      <c r="L616">
        <v>123500</v>
      </c>
      <c r="M616">
        <v>1006164</v>
      </c>
      <c r="N616">
        <v>127341015900</v>
      </c>
      <c r="O616">
        <v>381462103</v>
      </c>
      <c r="P616">
        <v>48293102239800</v>
      </c>
    </row>
    <row r="617" spans="1:16">
      <c r="A617" t="s">
        <v>35</v>
      </c>
      <c r="B617">
        <v>20260108</v>
      </c>
      <c r="C617">
        <v>105560</v>
      </c>
      <c r="D617" t="s">
        <v>36</v>
      </c>
      <c r="E617" t="s">
        <v>35</v>
      </c>
      <c r="F617" t="s">
        <v>17</v>
      </c>
      <c r="G617">
        <v>123500</v>
      </c>
      <c r="H617">
        <v>-1200</v>
      </c>
      <c r="I617">
        <v>-0.96</v>
      </c>
      <c r="J617">
        <v>125200</v>
      </c>
      <c r="K617">
        <v>125200</v>
      </c>
      <c r="L617">
        <v>122300</v>
      </c>
      <c r="M617">
        <v>904618</v>
      </c>
      <c r="N617">
        <v>111555820200</v>
      </c>
      <c r="O617">
        <v>381462103</v>
      </c>
      <c r="P617">
        <v>47110569720500</v>
      </c>
    </row>
    <row r="618" spans="1:16">
      <c r="A618" t="s">
        <v>35</v>
      </c>
      <c r="B618">
        <v>20260107</v>
      </c>
      <c r="C618">
        <v>105560</v>
      </c>
      <c r="D618" t="s">
        <v>36</v>
      </c>
      <c r="E618" t="s">
        <v>35</v>
      </c>
      <c r="F618" t="s">
        <v>17</v>
      </c>
      <c r="G618">
        <v>124700</v>
      </c>
      <c r="H618">
        <v>-1700</v>
      </c>
      <c r="I618">
        <v>-1.34</v>
      </c>
      <c r="J618">
        <v>125000</v>
      </c>
      <c r="K618">
        <v>126300</v>
      </c>
      <c r="L618">
        <v>123700</v>
      </c>
      <c r="M618">
        <v>879963</v>
      </c>
      <c r="N618">
        <v>109720363426</v>
      </c>
      <c r="O618">
        <v>381462103</v>
      </c>
      <c r="P618">
        <v>47568324244100</v>
      </c>
    </row>
    <row r="619" spans="1:16">
      <c r="A619" t="s">
        <v>35</v>
      </c>
      <c r="B619">
        <v>20260106</v>
      </c>
      <c r="C619">
        <v>105560</v>
      </c>
      <c r="D619" t="s">
        <v>36</v>
      </c>
      <c r="E619" t="s">
        <v>35</v>
      </c>
      <c r="F619" t="s">
        <v>17</v>
      </c>
      <c r="G619">
        <v>126400</v>
      </c>
      <c r="H619">
        <v>-400</v>
      </c>
      <c r="I619">
        <v>-0.32</v>
      </c>
      <c r="J619">
        <v>127700</v>
      </c>
      <c r="K619">
        <v>127800</v>
      </c>
      <c r="L619">
        <v>125700</v>
      </c>
      <c r="M619">
        <v>928918</v>
      </c>
      <c r="N619">
        <v>117809529755</v>
      </c>
      <c r="O619">
        <v>381462103</v>
      </c>
      <c r="P619">
        <v>48216809819200</v>
      </c>
    </row>
    <row r="620" spans="1:16">
      <c r="A620" t="s">
        <v>35</v>
      </c>
      <c r="B620">
        <v>20260105</v>
      </c>
      <c r="C620">
        <v>105560</v>
      </c>
      <c r="D620" t="s">
        <v>36</v>
      </c>
      <c r="E620" t="s">
        <v>35</v>
      </c>
      <c r="F620" t="s">
        <v>17</v>
      </c>
      <c r="G620">
        <v>126800</v>
      </c>
      <c r="H620">
        <v>3500</v>
      </c>
      <c r="I620">
        <v>2.84</v>
      </c>
      <c r="J620">
        <v>124200</v>
      </c>
      <c r="K620">
        <v>127500</v>
      </c>
      <c r="L620">
        <v>123500</v>
      </c>
      <c r="M620">
        <v>795417</v>
      </c>
      <c r="N620">
        <v>100150777950</v>
      </c>
      <c r="O620">
        <v>381462103</v>
      </c>
      <c r="P620">
        <v>48369394660400</v>
      </c>
    </row>
    <row r="621" spans="1:16">
      <c r="A621" t="s">
        <v>35</v>
      </c>
      <c r="B621">
        <v>20260102</v>
      </c>
      <c r="C621">
        <v>105560</v>
      </c>
      <c r="D621" t="s">
        <v>36</v>
      </c>
      <c r="E621" t="s">
        <v>35</v>
      </c>
      <c r="F621" t="s">
        <v>17</v>
      </c>
      <c r="G621">
        <v>123300</v>
      </c>
      <c r="H621">
        <v>-1400</v>
      </c>
      <c r="I621">
        <v>-1.1200000000000001</v>
      </c>
      <c r="J621">
        <v>123600</v>
      </c>
      <c r="K621">
        <v>124700</v>
      </c>
      <c r="L621">
        <v>122800</v>
      </c>
      <c r="M621">
        <v>648227</v>
      </c>
      <c r="N621">
        <v>80002359550</v>
      </c>
      <c r="O621">
        <v>381462103</v>
      </c>
      <c r="P621">
        <v>47034277299900</v>
      </c>
    </row>
    <row r="622" spans="1:16">
      <c r="A622" t="s">
        <v>37</v>
      </c>
      <c r="B622">
        <v>20260403</v>
      </c>
      <c r="C622">
        <v>329180</v>
      </c>
      <c r="D622" t="s">
        <v>38</v>
      </c>
      <c r="E622" t="s">
        <v>37</v>
      </c>
      <c r="F622" t="s">
        <v>17</v>
      </c>
      <c r="G622">
        <v>479500</v>
      </c>
      <c r="H622">
        <v>40500</v>
      </c>
      <c r="I622">
        <v>9.23</v>
      </c>
      <c r="J622">
        <v>452500</v>
      </c>
      <c r="K622">
        <v>490000</v>
      </c>
      <c r="L622">
        <v>447000</v>
      </c>
      <c r="M622">
        <v>743866</v>
      </c>
      <c r="N622">
        <v>352588174000</v>
      </c>
      <c r="O622">
        <v>104961225</v>
      </c>
      <c r="P622">
        <v>50328907387500</v>
      </c>
    </row>
    <row r="623" spans="1:16">
      <c r="A623" t="s">
        <v>37</v>
      </c>
      <c r="B623">
        <v>20260402</v>
      </c>
      <c r="C623">
        <v>329180</v>
      </c>
      <c r="D623" t="s">
        <v>38</v>
      </c>
      <c r="E623" t="s">
        <v>37</v>
      </c>
      <c r="F623" t="s">
        <v>17</v>
      </c>
      <c r="G623">
        <v>439000</v>
      </c>
      <c r="H623">
        <v>-12500</v>
      </c>
      <c r="I623">
        <v>-2.77</v>
      </c>
      <c r="J623">
        <v>467000</v>
      </c>
      <c r="K623">
        <v>468500</v>
      </c>
      <c r="L623">
        <v>435000</v>
      </c>
      <c r="M623">
        <v>662311</v>
      </c>
      <c r="N623">
        <v>296783938000</v>
      </c>
      <c r="O623">
        <v>104961225</v>
      </c>
      <c r="P623">
        <v>46077977775000</v>
      </c>
    </row>
    <row r="624" spans="1:16">
      <c r="A624" t="s">
        <v>37</v>
      </c>
      <c r="B624">
        <v>20260401</v>
      </c>
      <c r="C624">
        <v>329180</v>
      </c>
      <c r="D624" t="s">
        <v>38</v>
      </c>
      <c r="E624" t="s">
        <v>37</v>
      </c>
      <c r="F624" t="s">
        <v>17</v>
      </c>
      <c r="G624">
        <v>451500</v>
      </c>
      <c r="H624">
        <v>-13500</v>
      </c>
      <c r="I624">
        <v>-2.9</v>
      </c>
      <c r="J624">
        <v>456500</v>
      </c>
      <c r="K624">
        <v>460500</v>
      </c>
      <c r="L624">
        <v>428000</v>
      </c>
      <c r="M624">
        <v>1929070</v>
      </c>
      <c r="N624">
        <v>847011911250</v>
      </c>
      <c r="O624">
        <v>104961225</v>
      </c>
      <c r="P624">
        <v>47389993087500</v>
      </c>
    </row>
    <row r="625" spans="1:16">
      <c r="A625" t="s">
        <v>37</v>
      </c>
      <c r="B625">
        <v>20260331</v>
      </c>
      <c r="C625">
        <v>329180</v>
      </c>
      <c r="D625" t="s">
        <v>38</v>
      </c>
      <c r="E625" t="s">
        <v>37</v>
      </c>
      <c r="F625" t="s">
        <v>17</v>
      </c>
      <c r="G625">
        <v>465000</v>
      </c>
      <c r="H625">
        <v>-15000</v>
      </c>
      <c r="I625">
        <v>-3.13</v>
      </c>
      <c r="J625">
        <v>480000</v>
      </c>
      <c r="K625">
        <v>488000</v>
      </c>
      <c r="L625">
        <v>463500</v>
      </c>
      <c r="M625">
        <v>285931</v>
      </c>
      <c r="N625">
        <v>135076832750</v>
      </c>
      <c r="O625">
        <v>104961225</v>
      </c>
      <c r="P625">
        <v>48806969625000</v>
      </c>
    </row>
    <row r="626" spans="1:16">
      <c r="A626" t="s">
        <v>37</v>
      </c>
      <c r="B626">
        <v>20260330</v>
      </c>
      <c r="C626">
        <v>329180</v>
      </c>
      <c r="D626" t="s">
        <v>38</v>
      </c>
      <c r="E626" t="s">
        <v>37</v>
      </c>
      <c r="F626" t="s">
        <v>17</v>
      </c>
      <c r="G626">
        <v>480000</v>
      </c>
      <c r="H626">
        <v>-18500</v>
      </c>
      <c r="I626">
        <v>-3.71</v>
      </c>
      <c r="J626">
        <v>466000</v>
      </c>
      <c r="K626">
        <v>485000</v>
      </c>
      <c r="L626">
        <v>460500</v>
      </c>
      <c r="M626">
        <v>226431</v>
      </c>
      <c r="N626">
        <v>107568608750</v>
      </c>
      <c r="O626">
        <v>104961225</v>
      </c>
      <c r="P626">
        <v>50381388000000</v>
      </c>
    </row>
    <row r="627" spans="1:16">
      <c r="A627" t="s">
        <v>37</v>
      </c>
      <c r="B627">
        <v>20260327</v>
      </c>
      <c r="C627">
        <v>329180</v>
      </c>
      <c r="D627" t="s">
        <v>38</v>
      </c>
      <c r="E627" t="s">
        <v>37</v>
      </c>
      <c r="F627" t="s">
        <v>17</v>
      </c>
      <c r="G627">
        <v>498500</v>
      </c>
      <c r="H627">
        <v>-12500</v>
      </c>
      <c r="I627">
        <v>-2.4500000000000002</v>
      </c>
      <c r="J627">
        <v>494000</v>
      </c>
      <c r="K627">
        <v>500000</v>
      </c>
      <c r="L627">
        <v>480000</v>
      </c>
      <c r="M627">
        <v>227698</v>
      </c>
      <c r="N627">
        <v>111688932500</v>
      </c>
      <c r="O627">
        <v>104961225</v>
      </c>
      <c r="P627">
        <v>52323170662500</v>
      </c>
    </row>
    <row r="628" spans="1:16">
      <c r="A628" t="s">
        <v>37</v>
      </c>
      <c r="B628">
        <v>20260326</v>
      </c>
      <c r="C628">
        <v>329180</v>
      </c>
      <c r="D628" t="s">
        <v>38</v>
      </c>
      <c r="E628" t="s">
        <v>37</v>
      </c>
      <c r="F628" t="s">
        <v>17</v>
      </c>
      <c r="G628">
        <v>511000</v>
      </c>
      <c r="H628">
        <v>-12000</v>
      </c>
      <c r="I628">
        <v>-2.29</v>
      </c>
      <c r="J628">
        <v>529000</v>
      </c>
      <c r="K628">
        <v>529000</v>
      </c>
      <c r="L628">
        <v>509000</v>
      </c>
      <c r="M628">
        <v>179100</v>
      </c>
      <c r="N628">
        <v>92595314000</v>
      </c>
      <c r="O628">
        <v>104961225</v>
      </c>
      <c r="P628">
        <v>53635185975000</v>
      </c>
    </row>
    <row r="629" spans="1:16">
      <c r="A629" t="s">
        <v>37</v>
      </c>
      <c r="B629">
        <v>20260325</v>
      </c>
      <c r="C629">
        <v>329180</v>
      </c>
      <c r="D629" t="s">
        <v>38</v>
      </c>
      <c r="E629" t="s">
        <v>37</v>
      </c>
      <c r="F629" t="s">
        <v>17</v>
      </c>
      <c r="G629">
        <v>523000</v>
      </c>
      <c r="H629">
        <v>7000</v>
      </c>
      <c r="I629">
        <v>1.36</v>
      </c>
      <c r="J629">
        <v>524000</v>
      </c>
      <c r="K629">
        <v>526000</v>
      </c>
      <c r="L629">
        <v>505000</v>
      </c>
      <c r="M629">
        <v>262835</v>
      </c>
      <c r="N629">
        <v>135455351500</v>
      </c>
      <c r="O629">
        <v>104961225</v>
      </c>
      <c r="P629">
        <v>54894720675000</v>
      </c>
    </row>
    <row r="630" spans="1:16">
      <c r="A630" t="s">
        <v>37</v>
      </c>
      <c r="B630">
        <v>20260324</v>
      </c>
      <c r="C630">
        <v>329180</v>
      </c>
      <c r="D630" t="s">
        <v>38</v>
      </c>
      <c r="E630" t="s">
        <v>37</v>
      </c>
      <c r="F630" t="s">
        <v>17</v>
      </c>
      <c r="G630">
        <v>516000</v>
      </c>
      <c r="H630">
        <v>14000</v>
      </c>
      <c r="I630">
        <v>2.79</v>
      </c>
      <c r="J630">
        <v>527000</v>
      </c>
      <c r="K630">
        <v>528000</v>
      </c>
      <c r="L630">
        <v>497000</v>
      </c>
      <c r="M630">
        <v>194214</v>
      </c>
      <c r="N630">
        <v>99523118750</v>
      </c>
      <c r="O630">
        <v>104961225</v>
      </c>
      <c r="P630">
        <v>54159992100000</v>
      </c>
    </row>
    <row r="631" spans="1:16">
      <c r="A631" t="s">
        <v>37</v>
      </c>
      <c r="B631">
        <v>20260323</v>
      </c>
      <c r="C631">
        <v>329180</v>
      </c>
      <c r="D631" t="s">
        <v>38</v>
      </c>
      <c r="E631" t="s">
        <v>37</v>
      </c>
      <c r="F631" t="s">
        <v>17</v>
      </c>
      <c r="G631">
        <v>502000</v>
      </c>
      <c r="H631">
        <v>-57000</v>
      </c>
      <c r="I631">
        <v>-10.199999999999999</v>
      </c>
      <c r="J631">
        <v>535000</v>
      </c>
      <c r="K631">
        <v>539000</v>
      </c>
      <c r="L631">
        <v>502000</v>
      </c>
      <c r="M631">
        <v>282229</v>
      </c>
      <c r="N631">
        <v>144998277000</v>
      </c>
      <c r="O631">
        <v>104961225</v>
      </c>
      <c r="P631">
        <v>52690534950000</v>
      </c>
    </row>
    <row r="632" spans="1:16">
      <c r="A632" t="s">
        <v>37</v>
      </c>
      <c r="B632">
        <v>20260320</v>
      </c>
      <c r="C632">
        <v>329180</v>
      </c>
      <c r="D632" t="s">
        <v>38</v>
      </c>
      <c r="E632" t="s">
        <v>37</v>
      </c>
      <c r="F632" t="s">
        <v>17</v>
      </c>
      <c r="G632">
        <v>559000</v>
      </c>
      <c r="H632">
        <v>-8000</v>
      </c>
      <c r="I632">
        <v>-1.41</v>
      </c>
      <c r="J632">
        <v>569000</v>
      </c>
      <c r="K632">
        <v>572000</v>
      </c>
      <c r="L632">
        <v>555000</v>
      </c>
      <c r="M632">
        <v>269023</v>
      </c>
      <c r="N632">
        <v>151200602000</v>
      </c>
      <c r="O632">
        <v>104961225</v>
      </c>
      <c r="P632">
        <v>58673324775000</v>
      </c>
    </row>
    <row r="633" spans="1:16">
      <c r="A633" t="s">
        <v>37</v>
      </c>
      <c r="B633">
        <v>20260319</v>
      </c>
      <c r="C633">
        <v>329180</v>
      </c>
      <c r="D633" t="s">
        <v>38</v>
      </c>
      <c r="E633" t="s">
        <v>37</v>
      </c>
      <c r="F633" t="s">
        <v>17</v>
      </c>
      <c r="G633">
        <v>567000</v>
      </c>
      <c r="H633">
        <v>-23000</v>
      </c>
      <c r="I633">
        <v>-3.9</v>
      </c>
      <c r="J633">
        <v>580000</v>
      </c>
      <c r="K633">
        <v>584000</v>
      </c>
      <c r="L633">
        <v>566000</v>
      </c>
      <c r="M633">
        <v>173145</v>
      </c>
      <c r="N633">
        <v>98725509500</v>
      </c>
      <c r="O633">
        <v>104961225</v>
      </c>
      <c r="P633">
        <v>59513014575000</v>
      </c>
    </row>
    <row r="634" spans="1:16">
      <c r="A634" t="s">
        <v>37</v>
      </c>
      <c r="B634">
        <v>20260318</v>
      </c>
      <c r="C634">
        <v>329180</v>
      </c>
      <c r="D634" t="s">
        <v>38</v>
      </c>
      <c r="E634" t="s">
        <v>37</v>
      </c>
      <c r="F634" t="s">
        <v>17</v>
      </c>
      <c r="G634">
        <v>590000</v>
      </c>
      <c r="H634">
        <v>3000</v>
      </c>
      <c r="I634">
        <v>0.51</v>
      </c>
      <c r="J634">
        <v>596000</v>
      </c>
      <c r="K634">
        <v>598000</v>
      </c>
      <c r="L634">
        <v>578000</v>
      </c>
      <c r="M634">
        <v>231091</v>
      </c>
      <c r="N634">
        <v>136359712500</v>
      </c>
      <c r="O634">
        <v>104961225</v>
      </c>
      <c r="P634">
        <v>61927122750000</v>
      </c>
    </row>
    <row r="635" spans="1:16">
      <c r="A635" t="s">
        <v>37</v>
      </c>
      <c r="B635">
        <v>20260317</v>
      </c>
      <c r="C635">
        <v>329180</v>
      </c>
      <c r="D635" t="s">
        <v>38</v>
      </c>
      <c r="E635" t="s">
        <v>37</v>
      </c>
      <c r="F635" t="s">
        <v>17</v>
      </c>
      <c r="G635">
        <v>587000</v>
      </c>
      <c r="H635">
        <v>4000</v>
      </c>
      <c r="I635">
        <v>0.69</v>
      </c>
      <c r="J635">
        <v>587000</v>
      </c>
      <c r="K635">
        <v>596000</v>
      </c>
      <c r="L635">
        <v>583000</v>
      </c>
      <c r="M635">
        <v>164715</v>
      </c>
      <c r="N635">
        <v>97132610000</v>
      </c>
      <c r="O635">
        <v>104961225</v>
      </c>
      <c r="P635">
        <v>61612239075000</v>
      </c>
    </row>
    <row r="636" spans="1:16">
      <c r="A636" t="s">
        <v>37</v>
      </c>
      <c r="B636">
        <v>20260316</v>
      </c>
      <c r="C636">
        <v>329180</v>
      </c>
      <c r="D636" t="s">
        <v>38</v>
      </c>
      <c r="E636" t="s">
        <v>37</v>
      </c>
      <c r="F636" t="s">
        <v>17</v>
      </c>
      <c r="G636">
        <v>583000</v>
      </c>
      <c r="H636">
        <v>-13000</v>
      </c>
      <c r="I636">
        <v>-2.1800000000000002</v>
      </c>
      <c r="J636">
        <v>592000</v>
      </c>
      <c r="K636">
        <v>594000</v>
      </c>
      <c r="L636">
        <v>576000</v>
      </c>
      <c r="M636">
        <v>153623</v>
      </c>
      <c r="N636">
        <v>89726159500</v>
      </c>
      <c r="O636">
        <v>104961225</v>
      </c>
      <c r="P636">
        <v>61192394175000</v>
      </c>
    </row>
    <row r="637" spans="1:16">
      <c r="A637" t="s">
        <v>37</v>
      </c>
      <c r="B637">
        <v>20260313</v>
      </c>
      <c r="C637">
        <v>329180</v>
      </c>
      <c r="D637" t="s">
        <v>38</v>
      </c>
      <c r="E637" t="s">
        <v>37</v>
      </c>
      <c r="F637" t="s">
        <v>17</v>
      </c>
      <c r="G637">
        <v>596000</v>
      </c>
      <c r="H637">
        <v>-8000</v>
      </c>
      <c r="I637">
        <v>-1.32</v>
      </c>
      <c r="J637">
        <v>600000</v>
      </c>
      <c r="K637">
        <v>604000</v>
      </c>
      <c r="L637">
        <v>588000</v>
      </c>
      <c r="M637">
        <v>187775</v>
      </c>
      <c r="N637">
        <v>111556699500</v>
      </c>
      <c r="O637">
        <v>104961225</v>
      </c>
      <c r="P637">
        <v>62556890100000</v>
      </c>
    </row>
    <row r="638" spans="1:16">
      <c r="A638" t="s">
        <v>37</v>
      </c>
      <c r="B638">
        <v>20260312</v>
      </c>
      <c r="C638">
        <v>329180</v>
      </c>
      <c r="D638" t="s">
        <v>38</v>
      </c>
      <c r="E638" t="s">
        <v>37</v>
      </c>
      <c r="F638" t="s">
        <v>17</v>
      </c>
      <c r="G638">
        <v>604000</v>
      </c>
      <c r="H638">
        <v>14000</v>
      </c>
      <c r="I638">
        <v>2.37</v>
      </c>
      <c r="J638">
        <v>588000</v>
      </c>
      <c r="K638">
        <v>608000</v>
      </c>
      <c r="L638">
        <v>582000</v>
      </c>
      <c r="M638">
        <v>270605</v>
      </c>
      <c r="N638">
        <v>162750008500</v>
      </c>
      <c r="O638">
        <v>104961225</v>
      </c>
      <c r="P638">
        <v>63396579900000</v>
      </c>
    </row>
    <row r="639" spans="1:16">
      <c r="A639" t="s">
        <v>37</v>
      </c>
      <c r="B639">
        <v>20260311</v>
      </c>
      <c r="C639">
        <v>329180</v>
      </c>
      <c r="D639" t="s">
        <v>38</v>
      </c>
      <c r="E639" t="s">
        <v>37</v>
      </c>
      <c r="F639" t="s">
        <v>17</v>
      </c>
      <c r="G639">
        <v>590000</v>
      </c>
      <c r="H639">
        <v>7000</v>
      </c>
      <c r="I639">
        <v>1.2</v>
      </c>
      <c r="J639">
        <v>595000</v>
      </c>
      <c r="K639">
        <v>611000</v>
      </c>
      <c r="L639">
        <v>585000</v>
      </c>
      <c r="M639">
        <v>256643</v>
      </c>
      <c r="N639">
        <v>153995391000</v>
      </c>
      <c r="O639">
        <v>104961225</v>
      </c>
      <c r="P639">
        <v>61927122750000</v>
      </c>
    </row>
    <row r="640" spans="1:16">
      <c r="A640" t="s">
        <v>37</v>
      </c>
      <c r="B640">
        <v>20260310</v>
      </c>
      <c r="C640">
        <v>329180</v>
      </c>
      <c r="D640" t="s">
        <v>38</v>
      </c>
      <c r="E640" t="s">
        <v>37</v>
      </c>
      <c r="F640" t="s">
        <v>17</v>
      </c>
      <c r="G640">
        <v>583000</v>
      </c>
      <c r="H640">
        <v>7000</v>
      </c>
      <c r="I640">
        <v>1.22</v>
      </c>
      <c r="J640">
        <v>586000</v>
      </c>
      <c r="K640">
        <v>589000</v>
      </c>
      <c r="L640">
        <v>564000</v>
      </c>
      <c r="M640">
        <v>265047</v>
      </c>
      <c r="N640">
        <v>153102886500</v>
      </c>
      <c r="O640">
        <v>104961225</v>
      </c>
      <c r="P640">
        <v>61192394175000</v>
      </c>
    </row>
    <row r="641" spans="1:16">
      <c r="A641" t="s">
        <v>37</v>
      </c>
      <c r="B641">
        <v>20260309</v>
      </c>
      <c r="C641">
        <v>329180</v>
      </c>
      <c r="D641" t="s">
        <v>38</v>
      </c>
      <c r="E641" t="s">
        <v>37</v>
      </c>
      <c r="F641" t="s">
        <v>17</v>
      </c>
      <c r="G641">
        <v>576000</v>
      </c>
      <c r="H641">
        <v>22000</v>
      </c>
      <c r="I641">
        <v>3.97</v>
      </c>
      <c r="J641">
        <v>524000</v>
      </c>
      <c r="K641">
        <v>580000</v>
      </c>
      <c r="L641">
        <v>521000</v>
      </c>
      <c r="M641">
        <v>362474</v>
      </c>
      <c r="N641">
        <v>204006546000</v>
      </c>
      <c r="O641">
        <v>104961225</v>
      </c>
      <c r="P641">
        <v>60457665600000</v>
      </c>
    </row>
    <row r="642" spans="1:16">
      <c r="A642" t="s">
        <v>37</v>
      </c>
      <c r="B642">
        <v>20260306</v>
      </c>
      <c r="C642">
        <v>329180</v>
      </c>
      <c r="D642" t="s">
        <v>38</v>
      </c>
      <c r="E642" t="s">
        <v>37</v>
      </c>
      <c r="F642" t="s">
        <v>17</v>
      </c>
      <c r="G642">
        <v>554000</v>
      </c>
      <c r="H642">
        <v>-5000</v>
      </c>
      <c r="I642">
        <v>-0.89</v>
      </c>
      <c r="J642">
        <v>538000</v>
      </c>
      <c r="K642">
        <v>564000</v>
      </c>
      <c r="L642">
        <v>536000</v>
      </c>
      <c r="M642">
        <v>202506</v>
      </c>
      <c r="N642">
        <v>111542718000</v>
      </c>
      <c r="O642">
        <v>104961225</v>
      </c>
      <c r="P642">
        <v>58148518650000</v>
      </c>
    </row>
    <row r="643" spans="1:16">
      <c r="A643" t="s">
        <v>37</v>
      </c>
      <c r="B643">
        <v>20260305</v>
      </c>
      <c r="C643">
        <v>329180</v>
      </c>
      <c r="D643" t="s">
        <v>38</v>
      </c>
      <c r="E643" t="s">
        <v>37</v>
      </c>
      <c r="F643" t="s">
        <v>17</v>
      </c>
      <c r="G643">
        <v>559000</v>
      </c>
      <c r="H643">
        <v>48000</v>
      </c>
      <c r="I643">
        <v>9.39</v>
      </c>
      <c r="J643">
        <v>560000</v>
      </c>
      <c r="K643">
        <v>565000</v>
      </c>
      <c r="L643">
        <v>545000</v>
      </c>
      <c r="M643">
        <v>251920</v>
      </c>
      <c r="N643">
        <v>139996537500</v>
      </c>
      <c r="O643">
        <v>104961225</v>
      </c>
      <c r="P643">
        <v>58673324775000</v>
      </c>
    </row>
    <row r="644" spans="1:16">
      <c r="A644" t="s">
        <v>37</v>
      </c>
      <c r="B644">
        <v>20260304</v>
      </c>
      <c r="C644">
        <v>329180</v>
      </c>
      <c r="D644" t="s">
        <v>38</v>
      </c>
      <c r="E644" t="s">
        <v>37</v>
      </c>
      <c r="F644" t="s">
        <v>17</v>
      </c>
      <c r="G644">
        <v>511000</v>
      </c>
      <c r="H644">
        <v>-79000</v>
      </c>
      <c r="I644">
        <v>-13.39</v>
      </c>
      <c r="J644">
        <v>568000</v>
      </c>
      <c r="K644">
        <v>574000</v>
      </c>
      <c r="L644">
        <v>503000</v>
      </c>
      <c r="M644">
        <v>481480</v>
      </c>
      <c r="N644">
        <v>256818802500</v>
      </c>
      <c r="O644">
        <v>104961225</v>
      </c>
      <c r="P644">
        <v>53635185975000</v>
      </c>
    </row>
    <row r="645" spans="1:16">
      <c r="A645" t="s">
        <v>37</v>
      </c>
      <c r="B645">
        <v>20260303</v>
      </c>
      <c r="C645">
        <v>329180</v>
      </c>
      <c r="D645" t="s">
        <v>38</v>
      </c>
      <c r="E645" t="s">
        <v>37</v>
      </c>
      <c r="F645" t="s">
        <v>17</v>
      </c>
      <c r="G645">
        <v>590000</v>
      </c>
      <c r="H645">
        <v>-13000</v>
      </c>
      <c r="I645">
        <v>-2.16</v>
      </c>
      <c r="J645">
        <v>609000</v>
      </c>
      <c r="K645">
        <v>630000</v>
      </c>
      <c r="L645">
        <v>589000</v>
      </c>
      <c r="M645">
        <v>416330</v>
      </c>
      <c r="N645">
        <v>252662597500</v>
      </c>
      <c r="O645">
        <v>104961225</v>
      </c>
      <c r="P645">
        <v>61927122750000</v>
      </c>
    </row>
    <row r="646" spans="1:16">
      <c r="A646" t="s">
        <v>37</v>
      </c>
      <c r="B646">
        <v>20260227</v>
      </c>
      <c r="C646">
        <v>329180</v>
      </c>
      <c r="D646" t="s">
        <v>38</v>
      </c>
      <c r="E646" t="s">
        <v>37</v>
      </c>
      <c r="F646" t="s">
        <v>17</v>
      </c>
      <c r="G646">
        <v>603000</v>
      </c>
      <c r="H646">
        <v>11000</v>
      </c>
      <c r="I646">
        <v>1.86</v>
      </c>
      <c r="J646">
        <v>599000</v>
      </c>
      <c r="K646">
        <v>620000</v>
      </c>
      <c r="L646">
        <v>595000</v>
      </c>
      <c r="M646">
        <v>424522</v>
      </c>
      <c r="N646">
        <v>256614843500</v>
      </c>
      <c r="O646">
        <v>104961225</v>
      </c>
      <c r="P646">
        <v>63291618675000</v>
      </c>
    </row>
    <row r="647" spans="1:16">
      <c r="A647" t="s">
        <v>37</v>
      </c>
      <c r="B647">
        <v>20260226</v>
      </c>
      <c r="C647">
        <v>329180</v>
      </c>
      <c r="D647" t="s">
        <v>38</v>
      </c>
      <c r="E647" t="s">
        <v>37</v>
      </c>
      <c r="F647" t="s">
        <v>17</v>
      </c>
      <c r="G647">
        <v>592000</v>
      </c>
      <c r="H647">
        <v>-2000</v>
      </c>
      <c r="I647">
        <v>-0.34</v>
      </c>
      <c r="J647">
        <v>590000</v>
      </c>
      <c r="K647">
        <v>592000</v>
      </c>
      <c r="L647">
        <v>578000</v>
      </c>
      <c r="M647">
        <v>231458</v>
      </c>
      <c r="N647">
        <v>135441628000</v>
      </c>
      <c r="O647">
        <v>104961225</v>
      </c>
      <c r="P647">
        <v>62137045200000</v>
      </c>
    </row>
    <row r="648" spans="1:16">
      <c r="A648" t="s">
        <v>37</v>
      </c>
      <c r="B648">
        <v>20260225</v>
      </c>
      <c r="C648">
        <v>329180</v>
      </c>
      <c r="D648" t="s">
        <v>38</v>
      </c>
      <c r="E648" t="s">
        <v>37</v>
      </c>
      <c r="F648" t="s">
        <v>17</v>
      </c>
      <c r="G648">
        <v>594000</v>
      </c>
      <c r="H648">
        <v>-2000</v>
      </c>
      <c r="I648">
        <v>-0.34</v>
      </c>
      <c r="J648">
        <v>598000</v>
      </c>
      <c r="K648">
        <v>600000</v>
      </c>
      <c r="L648">
        <v>588000</v>
      </c>
      <c r="M648">
        <v>184053</v>
      </c>
      <c r="N648">
        <v>109396744500</v>
      </c>
      <c r="O648">
        <v>104961225</v>
      </c>
      <c r="P648">
        <v>62346967650000</v>
      </c>
    </row>
    <row r="649" spans="1:16">
      <c r="A649" t="s">
        <v>37</v>
      </c>
      <c r="B649">
        <v>20260224</v>
      </c>
      <c r="C649">
        <v>329180</v>
      </c>
      <c r="D649" t="s">
        <v>38</v>
      </c>
      <c r="E649" t="s">
        <v>37</v>
      </c>
      <c r="F649" t="s">
        <v>17</v>
      </c>
      <c r="G649">
        <v>596000</v>
      </c>
      <c r="H649">
        <v>-11000</v>
      </c>
      <c r="I649">
        <v>-1.81</v>
      </c>
      <c r="J649">
        <v>599000</v>
      </c>
      <c r="K649">
        <v>600000</v>
      </c>
      <c r="L649">
        <v>583000</v>
      </c>
      <c r="M649">
        <v>281793</v>
      </c>
      <c r="N649">
        <v>167026425000</v>
      </c>
      <c r="O649">
        <v>104961225</v>
      </c>
      <c r="P649">
        <v>62556890100000</v>
      </c>
    </row>
    <row r="650" spans="1:16">
      <c r="A650" t="s">
        <v>37</v>
      </c>
      <c r="B650">
        <v>20260223</v>
      </c>
      <c r="C650">
        <v>329180</v>
      </c>
      <c r="D650" t="s">
        <v>38</v>
      </c>
      <c r="E650" t="s">
        <v>37</v>
      </c>
      <c r="F650" t="s">
        <v>17</v>
      </c>
      <c r="G650">
        <v>607000</v>
      </c>
      <c r="H650">
        <v>5000</v>
      </c>
      <c r="I650">
        <v>0.83</v>
      </c>
      <c r="J650">
        <v>605000</v>
      </c>
      <c r="K650">
        <v>611000</v>
      </c>
      <c r="L650">
        <v>588000</v>
      </c>
      <c r="M650">
        <v>227875</v>
      </c>
      <c r="N650">
        <v>137495402000</v>
      </c>
      <c r="O650">
        <v>104961225</v>
      </c>
      <c r="P650">
        <v>63711463575000</v>
      </c>
    </row>
    <row r="651" spans="1:16">
      <c r="A651" t="s">
        <v>37</v>
      </c>
      <c r="B651">
        <v>20260220</v>
      </c>
      <c r="C651">
        <v>329180</v>
      </c>
      <c r="D651" t="s">
        <v>38</v>
      </c>
      <c r="E651" t="s">
        <v>37</v>
      </c>
      <c r="F651" t="s">
        <v>17</v>
      </c>
      <c r="G651">
        <v>602000</v>
      </c>
      <c r="H651">
        <v>28000</v>
      </c>
      <c r="I651">
        <v>4.88</v>
      </c>
      <c r="J651">
        <v>584000</v>
      </c>
      <c r="K651">
        <v>605000</v>
      </c>
      <c r="L651">
        <v>570000</v>
      </c>
      <c r="M651">
        <v>333710</v>
      </c>
      <c r="N651">
        <v>198348613000</v>
      </c>
      <c r="O651">
        <v>104961225</v>
      </c>
      <c r="P651">
        <v>63186657450000</v>
      </c>
    </row>
    <row r="652" spans="1:16">
      <c r="A652" t="s">
        <v>37</v>
      </c>
      <c r="B652">
        <v>20260219</v>
      </c>
      <c r="C652">
        <v>329180</v>
      </c>
      <c r="D652" t="s">
        <v>38</v>
      </c>
      <c r="E652" t="s">
        <v>37</v>
      </c>
      <c r="F652" t="s">
        <v>17</v>
      </c>
      <c r="G652">
        <v>574000</v>
      </c>
      <c r="H652">
        <v>31000</v>
      </c>
      <c r="I652">
        <v>5.71</v>
      </c>
      <c r="J652">
        <v>570000</v>
      </c>
      <c r="K652">
        <v>594000</v>
      </c>
      <c r="L652">
        <v>564000</v>
      </c>
      <c r="M652">
        <v>278184</v>
      </c>
      <c r="N652">
        <v>161136050000</v>
      </c>
      <c r="O652">
        <v>104961225</v>
      </c>
      <c r="P652">
        <v>60247743150000</v>
      </c>
    </row>
    <row r="653" spans="1:16">
      <c r="A653" t="s">
        <v>37</v>
      </c>
      <c r="B653">
        <v>20260213</v>
      </c>
      <c r="C653">
        <v>329180</v>
      </c>
      <c r="D653" t="s">
        <v>38</v>
      </c>
      <c r="E653" t="s">
        <v>37</v>
      </c>
      <c r="F653" t="s">
        <v>17</v>
      </c>
      <c r="G653">
        <v>543000</v>
      </c>
      <c r="H653">
        <v>4000</v>
      </c>
      <c r="I653">
        <v>0.74</v>
      </c>
      <c r="J653">
        <v>537000</v>
      </c>
      <c r="K653">
        <v>555000</v>
      </c>
      <c r="L653">
        <v>532000</v>
      </c>
      <c r="M653">
        <v>280535</v>
      </c>
      <c r="N653">
        <v>153068595500</v>
      </c>
      <c r="O653">
        <v>104961225</v>
      </c>
      <c r="P653">
        <v>56993945175000</v>
      </c>
    </row>
    <row r="654" spans="1:16">
      <c r="A654" t="s">
        <v>37</v>
      </c>
      <c r="B654">
        <v>20260212</v>
      </c>
      <c r="C654">
        <v>329180</v>
      </c>
      <c r="D654" t="s">
        <v>38</v>
      </c>
      <c r="E654" t="s">
        <v>37</v>
      </c>
      <c r="F654" t="s">
        <v>17</v>
      </c>
      <c r="G654">
        <v>539000</v>
      </c>
      <c r="H654">
        <v>2000</v>
      </c>
      <c r="I654">
        <v>0.37</v>
      </c>
      <c r="J654">
        <v>543000</v>
      </c>
      <c r="K654">
        <v>552000</v>
      </c>
      <c r="L654">
        <v>537000</v>
      </c>
      <c r="M654">
        <v>246531</v>
      </c>
      <c r="N654">
        <v>133407260500</v>
      </c>
      <c r="O654">
        <v>104961225</v>
      </c>
      <c r="P654">
        <v>56574100275000</v>
      </c>
    </row>
    <row r="655" spans="1:16">
      <c r="A655" t="s">
        <v>37</v>
      </c>
      <c r="B655">
        <v>20260211</v>
      </c>
      <c r="C655">
        <v>329180</v>
      </c>
      <c r="D655" t="s">
        <v>38</v>
      </c>
      <c r="E655" t="s">
        <v>37</v>
      </c>
      <c r="F655" t="s">
        <v>17</v>
      </c>
      <c r="G655">
        <v>537000</v>
      </c>
      <c r="H655">
        <v>3000</v>
      </c>
      <c r="I655">
        <v>0.56000000000000005</v>
      </c>
      <c r="J655">
        <v>538000</v>
      </c>
      <c r="K655">
        <v>543000</v>
      </c>
      <c r="L655">
        <v>529000</v>
      </c>
      <c r="M655">
        <v>184457</v>
      </c>
      <c r="N655">
        <v>98890214500</v>
      </c>
      <c r="O655">
        <v>104961225</v>
      </c>
      <c r="P655">
        <v>56364177825000</v>
      </c>
    </row>
    <row r="656" spans="1:16">
      <c r="A656" t="s">
        <v>37</v>
      </c>
      <c r="B656">
        <v>20260210</v>
      </c>
      <c r="C656">
        <v>329180</v>
      </c>
      <c r="D656" t="s">
        <v>38</v>
      </c>
      <c r="E656" t="s">
        <v>37</v>
      </c>
      <c r="F656" t="s">
        <v>17</v>
      </c>
      <c r="G656">
        <v>534000</v>
      </c>
      <c r="H656">
        <v>-6000</v>
      </c>
      <c r="I656">
        <v>-1.1100000000000001</v>
      </c>
      <c r="J656">
        <v>547000</v>
      </c>
      <c r="K656">
        <v>551000</v>
      </c>
      <c r="L656">
        <v>525000</v>
      </c>
      <c r="M656">
        <v>379930</v>
      </c>
      <c r="N656">
        <v>202162193500</v>
      </c>
      <c r="O656">
        <v>104961225</v>
      </c>
      <c r="P656">
        <v>56049294150000</v>
      </c>
    </row>
    <row r="657" spans="1:16">
      <c r="A657" t="s">
        <v>37</v>
      </c>
      <c r="B657">
        <v>20260209</v>
      </c>
      <c r="C657">
        <v>329180</v>
      </c>
      <c r="D657" t="s">
        <v>38</v>
      </c>
      <c r="E657" t="s">
        <v>37</v>
      </c>
      <c r="F657" t="s">
        <v>17</v>
      </c>
      <c r="G657">
        <v>540000</v>
      </c>
      <c r="H657">
        <v>1000</v>
      </c>
      <c r="I657">
        <v>0.19</v>
      </c>
      <c r="J657">
        <v>560000</v>
      </c>
      <c r="K657">
        <v>561000</v>
      </c>
      <c r="L657">
        <v>532000</v>
      </c>
      <c r="M657">
        <v>207410</v>
      </c>
      <c r="N657">
        <v>113050635500</v>
      </c>
      <c r="O657">
        <v>104961225</v>
      </c>
      <c r="P657">
        <v>56679061500000</v>
      </c>
    </row>
    <row r="658" spans="1:16">
      <c r="A658" t="s">
        <v>37</v>
      </c>
      <c r="B658">
        <v>20260206</v>
      </c>
      <c r="C658">
        <v>329180</v>
      </c>
      <c r="D658" t="s">
        <v>38</v>
      </c>
      <c r="E658" t="s">
        <v>37</v>
      </c>
      <c r="F658" t="s">
        <v>17</v>
      </c>
      <c r="G658">
        <v>539000</v>
      </c>
      <c r="H658">
        <v>-11000</v>
      </c>
      <c r="I658">
        <v>-2</v>
      </c>
      <c r="J658">
        <v>531000</v>
      </c>
      <c r="K658">
        <v>540000</v>
      </c>
      <c r="L658">
        <v>513000</v>
      </c>
      <c r="M658">
        <v>194693</v>
      </c>
      <c r="N658">
        <v>103345543500</v>
      </c>
      <c r="O658">
        <v>104961225</v>
      </c>
      <c r="P658">
        <v>56574100275000</v>
      </c>
    </row>
    <row r="659" spans="1:16">
      <c r="A659" t="s">
        <v>37</v>
      </c>
      <c r="B659">
        <v>20260205</v>
      </c>
      <c r="C659">
        <v>329180</v>
      </c>
      <c r="D659" t="s">
        <v>38</v>
      </c>
      <c r="E659" t="s">
        <v>37</v>
      </c>
      <c r="F659" t="s">
        <v>17</v>
      </c>
      <c r="G659">
        <v>550000</v>
      </c>
      <c r="H659">
        <v>-33000</v>
      </c>
      <c r="I659">
        <v>-5.66</v>
      </c>
      <c r="J659">
        <v>578000</v>
      </c>
      <c r="K659">
        <v>585000</v>
      </c>
      <c r="L659">
        <v>546000</v>
      </c>
      <c r="M659">
        <v>263577</v>
      </c>
      <c r="N659">
        <v>147212072500</v>
      </c>
      <c r="O659">
        <v>104961225</v>
      </c>
      <c r="P659">
        <v>57728673750000</v>
      </c>
    </row>
    <row r="660" spans="1:16">
      <c r="A660" t="s">
        <v>37</v>
      </c>
      <c r="B660">
        <v>20260204</v>
      </c>
      <c r="C660">
        <v>329180</v>
      </c>
      <c r="D660" t="s">
        <v>38</v>
      </c>
      <c r="E660" t="s">
        <v>37</v>
      </c>
      <c r="F660" t="s">
        <v>17</v>
      </c>
      <c r="G660">
        <v>583000</v>
      </c>
      <c r="H660">
        <v>1000</v>
      </c>
      <c r="I660">
        <v>0.17</v>
      </c>
      <c r="J660">
        <v>592000</v>
      </c>
      <c r="K660">
        <v>593000</v>
      </c>
      <c r="L660">
        <v>579000</v>
      </c>
      <c r="M660">
        <v>148346</v>
      </c>
      <c r="N660">
        <v>86610395500</v>
      </c>
      <c r="O660">
        <v>104961225</v>
      </c>
      <c r="P660">
        <v>61192394175000</v>
      </c>
    </row>
    <row r="661" spans="1:16">
      <c r="A661" t="s">
        <v>37</v>
      </c>
      <c r="B661">
        <v>20260203</v>
      </c>
      <c r="C661">
        <v>329180</v>
      </c>
      <c r="D661" t="s">
        <v>38</v>
      </c>
      <c r="E661" t="s">
        <v>37</v>
      </c>
      <c r="F661" t="s">
        <v>17</v>
      </c>
      <c r="G661">
        <v>582000</v>
      </c>
      <c r="H661">
        <v>33000</v>
      </c>
      <c r="I661">
        <v>6.01</v>
      </c>
      <c r="J661">
        <v>569000</v>
      </c>
      <c r="K661">
        <v>582000</v>
      </c>
      <c r="L661">
        <v>556000</v>
      </c>
      <c r="M661">
        <v>204407</v>
      </c>
      <c r="N661">
        <v>117493869000</v>
      </c>
      <c r="O661">
        <v>104961225</v>
      </c>
      <c r="P661">
        <v>61087432950000</v>
      </c>
    </row>
    <row r="662" spans="1:16">
      <c r="A662" t="s">
        <v>37</v>
      </c>
      <c r="B662">
        <v>20260202</v>
      </c>
      <c r="C662">
        <v>329180</v>
      </c>
      <c r="D662" t="s">
        <v>38</v>
      </c>
      <c r="E662" t="s">
        <v>37</v>
      </c>
      <c r="F662" t="s">
        <v>17</v>
      </c>
      <c r="G662">
        <v>549000</v>
      </c>
      <c r="H662">
        <v>-26000</v>
      </c>
      <c r="I662">
        <v>-4.5199999999999996</v>
      </c>
      <c r="J662">
        <v>574000</v>
      </c>
      <c r="K662">
        <v>579000</v>
      </c>
      <c r="L662">
        <v>543000</v>
      </c>
      <c r="M662">
        <v>231997</v>
      </c>
      <c r="N662">
        <v>129807762500</v>
      </c>
      <c r="O662">
        <v>104961225</v>
      </c>
      <c r="P662">
        <v>57623712525000</v>
      </c>
    </row>
    <row r="663" spans="1:16">
      <c r="A663" t="s">
        <v>37</v>
      </c>
      <c r="B663">
        <v>20260130</v>
      </c>
      <c r="C663">
        <v>329180</v>
      </c>
      <c r="D663" t="s">
        <v>38</v>
      </c>
      <c r="E663" t="s">
        <v>37</v>
      </c>
      <c r="F663" t="s">
        <v>17</v>
      </c>
      <c r="G663">
        <v>575000</v>
      </c>
      <c r="H663">
        <v>-13000</v>
      </c>
      <c r="I663">
        <v>-2.21</v>
      </c>
      <c r="J663">
        <v>587000</v>
      </c>
      <c r="K663">
        <v>594000</v>
      </c>
      <c r="L663">
        <v>575000</v>
      </c>
      <c r="M663">
        <v>203434</v>
      </c>
      <c r="N663">
        <v>117982747500</v>
      </c>
      <c r="O663">
        <v>104961225</v>
      </c>
      <c r="P663">
        <v>60352704375000</v>
      </c>
    </row>
    <row r="664" spans="1:16">
      <c r="A664" t="s">
        <v>37</v>
      </c>
      <c r="B664">
        <v>20260129</v>
      </c>
      <c r="C664">
        <v>329180</v>
      </c>
      <c r="D664" t="s">
        <v>38</v>
      </c>
      <c r="E664" t="s">
        <v>37</v>
      </c>
      <c r="F664" t="s">
        <v>17</v>
      </c>
      <c r="G664">
        <v>588000</v>
      </c>
      <c r="H664">
        <v>2000</v>
      </c>
      <c r="I664">
        <v>0.34</v>
      </c>
      <c r="J664">
        <v>584000</v>
      </c>
      <c r="K664">
        <v>595000</v>
      </c>
      <c r="L664">
        <v>572000</v>
      </c>
      <c r="M664">
        <v>313979</v>
      </c>
      <c r="N664">
        <v>182840516000</v>
      </c>
      <c r="O664">
        <v>104961225</v>
      </c>
      <c r="P664">
        <v>61717200300000</v>
      </c>
    </row>
    <row r="665" spans="1:16">
      <c r="A665" t="s">
        <v>37</v>
      </c>
      <c r="B665">
        <v>20260128</v>
      </c>
      <c r="C665">
        <v>329180</v>
      </c>
      <c r="D665" t="s">
        <v>38</v>
      </c>
      <c r="E665" t="s">
        <v>37</v>
      </c>
      <c r="F665" t="s">
        <v>17</v>
      </c>
      <c r="G665">
        <v>586000</v>
      </c>
      <c r="H665">
        <v>-2000</v>
      </c>
      <c r="I665">
        <v>-0.34</v>
      </c>
      <c r="J665">
        <v>594000</v>
      </c>
      <c r="K665">
        <v>596000</v>
      </c>
      <c r="L665">
        <v>581000</v>
      </c>
      <c r="M665">
        <v>266379</v>
      </c>
      <c r="N665">
        <v>155905848500</v>
      </c>
      <c r="O665">
        <v>104961225</v>
      </c>
      <c r="P665">
        <v>61507277850000</v>
      </c>
    </row>
    <row r="666" spans="1:16">
      <c r="A666" t="s">
        <v>37</v>
      </c>
      <c r="B666">
        <v>20260127</v>
      </c>
      <c r="C666">
        <v>329180</v>
      </c>
      <c r="D666" t="s">
        <v>38</v>
      </c>
      <c r="E666" t="s">
        <v>37</v>
      </c>
      <c r="F666" t="s">
        <v>17</v>
      </c>
      <c r="G666">
        <v>588000</v>
      </c>
      <c r="H666">
        <v>-17000</v>
      </c>
      <c r="I666">
        <v>-2.81</v>
      </c>
      <c r="J666">
        <v>612000</v>
      </c>
      <c r="K666">
        <v>613000</v>
      </c>
      <c r="L666">
        <v>571000</v>
      </c>
      <c r="M666">
        <v>449651</v>
      </c>
      <c r="N666">
        <v>262489722500</v>
      </c>
      <c r="O666">
        <v>104961225</v>
      </c>
      <c r="P666">
        <v>61717200300000</v>
      </c>
    </row>
    <row r="667" spans="1:16">
      <c r="A667" t="s">
        <v>37</v>
      </c>
      <c r="B667">
        <v>20260126</v>
      </c>
      <c r="C667">
        <v>329180</v>
      </c>
      <c r="D667" t="s">
        <v>38</v>
      </c>
      <c r="E667" t="s">
        <v>37</v>
      </c>
      <c r="F667" t="s">
        <v>17</v>
      </c>
      <c r="G667">
        <v>605000</v>
      </c>
      <c r="H667">
        <v>-22000</v>
      </c>
      <c r="I667">
        <v>-3.51</v>
      </c>
      <c r="J667">
        <v>620000</v>
      </c>
      <c r="K667">
        <v>626000</v>
      </c>
      <c r="L667">
        <v>599000</v>
      </c>
      <c r="M667">
        <v>212615</v>
      </c>
      <c r="N667">
        <v>129310684500</v>
      </c>
      <c r="O667">
        <v>104961225</v>
      </c>
      <c r="P667">
        <v>63501541125000</v>
      </c>
    </row>
    <row r="668" spans="1:16">
      <c r="A668" t="s">
        <v>37</v>
      </c>
      <c r="B668">
        <v>20260123</v>
      </c>
      <c r="C668">
        <v>329180</v>
      </c>
      <c r="D668" t="s">
        <v>38</v>
      </c>
      <c r="E668" t="s">
        <v>37</v>
      </c>
      <c r="F668" t="s">
        <v>17</v>
      </c>
      <c r="G668">
        <v>627000</v>
      </c>
      <c r="H668">
        <v>14000</v>
      </c>
      <c r="I668">
        <v>2.2799999999999998</v>
      </c>
      <c r="J668">
        <v>620000</v>
      </c>
      <c r="K668">
        <v>639000</v>
      </c>
      <c r="L668">
        <v>617000</v>
      </c>
      <c r="M668">
        <v>199771</v>
      </c>
      <c r="N668">
        <v>125345572000</v>
      </c>
      <c r="O668">
        <v>104961225</v>
      </c>
      <c r="P668">
        <v>65810688075000</v>
      </c>
    </row>
    <row r="669" spans="1:16">
      <c r="A669" t="s">
        <v>37</v>
      </c>
      <c r="B669">
        <v>20260122</v>
      </c>
      <c r="C669">
        <v>329180</v>
      </c>
      <c r="D669" t="s">
        <v>38</v>
      </c>
      <c r="E669" t="s">
        <v>37</v>
      </c>
      <c r="F669" t="s">
        <v>17</v>
      </c>
      <c r="G669">
        <v>613000</v>
      </c>
      <c r="H669">
        <v>-18000</v>
      </c>
      <c r="I669">
        <v>-2.85</v>
      </c>
      <c r="J669">
        <v>628000</v>
      </c>
      <c r="K669">
        <v>631000</v>
      </c>
      <c r="L669">
        <v>606000</v>
      </c>
      <c r="M669">
        <v>233220</v>
      </c>
      <c r="N669">
        <v>143338337000</v>
      </c>
      <c r="O669">
        <v>104961225</v>
      </c>
      <c r="P669">
        <v>64341230925000</v>
      </c>
    </row>
    <row r="670" spans="1:16">
      <c r="A670" t="s">
        <v>37</v>
      </c>
      <c r="B670">
        <v>20260121</v>
      </c>
      <c r="C670">
        <v>329180</v>
      </c>
      <c r="D670" t="s">
        <v>38</v>
      </c>
      <c r="E670" t="s">
        <v>37</v>
      </c>
      <c r="F670" t="s">
        <v>17</v>
      </c>
      <c r="G670">
        <v>631000</v>
      </c>
      <c r="H670">
        <v>-10000</v>
      </c>
      <c r="I670">
        <v>-1.56</v>
      </c>
      <c r="J670">
        <v>621000</v>
      </c>
      <c r="K670">
        <v>632000</v>
      </c>
      <c r="L670">
        <v>615000</v>
      </c>
      <c r="M670">
        <v>196439</v>
      </c>
      <c r="N670">
        <v>122828526000</v>
      </c>
      <c r="O670">
        <v>104961225</v>
      </c>
      <c r="P670">
        <v>66230532975000</v>
      </c>
    </row>
    <row r="671" spans="1:16">
      <c r="A671" t="s">
        <v>37</v>
      </c>
      <c r="B671">
        <v>20260120</v>
      </c>
      <c r="C671">
        <v>329180</v>
      </c>
      <c r="D671" t="s">
        <v>38</v>
      </c>
      <c r="E671" t="s">
        <v>37</v>
      </c>
      <c r="F671" t="s">
        <v>17</v>
      </c>
      <c r="G671">
        <v>641000</v>
      </c>
      <c r="H671">
        <v>-7000</v>
      </c>
      <c r="I671">
        <v>-1.08</v>
      </c>
      <c r="J671">
        <v>642000</v>
      </c>
      <c r="K671">
        <v>652000</v>
      </c>
      <c r="L671">
        <v>628000</v>
      </c>
      <c r="M671">
        <v>187350</v>
      </c>
      <c r="N671">
        <v>119509058500</v>
      </c>
      <c r="O671">
        <v>104961225</v>
      </c>
      <c r="P671">
        <v>67280145225000</v>
      </c>
    </row>
    <row r="672" spans="1:16">
      <c r="A672" t="s">
        <v>37</v>
      </c>
      <c r="B672">
        <v>20260119</v>
      </c>
      <c r="C672">
        <v>329180</v>
      </c>
      <c r="D672" t="s">
        <v>38</v>
      </c>
      <c r="E672" t="s">
        <v>37</v>
      </c>
      <c r="F672" t="s">
        <v>17</v>
      </c>
      <c r="G672">
        <v>648000</v>
      </c>
      <c r="H672">
        <v>26000</v>
      </c>
      <c r="I672">
        <v>4.18</v>
      </c>
      <c r="J672">
        <v>632000</v>
      </c>
      <c r="K672">
        <v>650000</v>
      </c>
      <c r="L672">
        <v>626000</v>
      </c>
      <c r="M672">
        <v>217458</v>
      </c>
      <c r="N672">
        <v>139481006500</v>
      </c>
      <c r="O672">
        <v>104961225</v>
      </c>
      <c r="P672">
        <v>68014873800000</v>
      </c>
    </row>
    <row r="673" spans="1:16">
      <c r="A673" t="s">
        <v>37</v>
      </c>
      <c r="B673">
        <v>20260116</v>
      </c>
      <c r="C673">
        <v>329180</v>
      </c>
      <c r="D673" t="s">
        <v>38</v>
      </c>
      <c r="E673" t="s">
        <v>37</v>
      </c>
      <c r="F673" t="s">
        <v>17</v>
      </c>
      <c r="G673">
        <v>622000</v>
      </c>
      <c r="H673">
        <v>-9000</v>
      </c>
      <c r="I673">
        <v>-1.43</v>
      </c>
      <c r="J673">
        <v>631000</v>
      </c>
      <c r="K673">
        <v>631000</v>
      </c>
      <c r="L673">
        <v>613000</v>
      </c>
      <c r="M673">
        <v>186432</v>
      </c>
      <c r="N673">
        <v>116172127000</v>
      </c>
      <c r="O673">
        <v>104961225</v>
      </c>
      <c r="P673">
        <v>65285881950000</v>
      </c>
    </row>
    <row r="674" spans="1:16">
      <c r="A674" t="s">
        <v>37</v>
      </c>
      <c r="B674">
        <v>20260115</v>
      </c>
      <c r="C674">
        <v>329180</v>
      </c>
      <c r="D674" t="s">
        <v>38</v>
      </c>
      <c r="E674" t="s">
        <v>37</v>
      </c>
      <c r="F674" t="s">
        <v>17</v>
      </c>
      <c r="G674">
        <v>631000</v>
      </c>
      <c r="H674">
        <v>16000</v>
      </c>
      <c r="I674">
        <v>2.6</v>
      </c>
      <c r="J674">
        <v>633000</v>
      </c>
      <c r="K674">
        <v>642000</v>
      </c>
      <c r="L674">
        <v>623000</v>
      </c>
      <c r="M674">
        <v>251843</v>
      </c>
      <c r="N674">
        <v>158943724500</v>
      </c>
      <c r="O674">
        <v>104961225</v>
      </c>
      <c r="P674">
        <v>66230532975000</v>
      </c>
    </row>
    <row r="675" spans="1:16">
      <c r="A675" t="s">
        <v>37</v>
      </c>
      <c r="B675">
        <v>20260114</v>
      </c>
      <c r="C675">
        <v>329180</v>
      </c>
      <c r="D675" t="s">
        <v>38</v>
      </c>
      <c r="E675" t="s">
        <v>37</v>
      </c>
      <c r="F675" t="s">
        <v>17</v>
      </c>
      <c r="G675">
        <v>615000</v>
      </c>
      <c r="H675">
        <v>-30000</v>
      </c>
      <c r="I675">
        <v>-4.6500000000000004</v>
      </c>
      <c r="J675">
        <v>639000</v>
      </c>
      <c r="K675">
        <v>642000</v>
      </c>
      <c r="L675">
        <v>612000</v>
      </c>
      <c r="M675">
        <v>249448</v>
      </c>
      <c r="N675">
        <v>155341830500</v>
      </c>
      <c r="O675">
        <v>104961225</v>
      </c>
      <c r="P675">
        <v>64551153375000</v>
      </c>
    </row>
    <row r="676" spans="1:16">
      <c r="A676" t="s">
        <v>37</v>
      </c>
      <c r="B676">
        <v>20260113</v>
      </c>
      <c r="C676">
        <v>329180</v>
      </c>
      <c r="D676" t="s">
        <v>38</v>
      </c>
      <c r="E676" t="s">
        <v>37</v>
      </c>
      <c r="F676" t="s">
        <v>17</v>
      </c>
      <c r="G676">
        <v>645000</v>
      </c>
      <c r="H676">
        <v>41000</v>
      </c>
      <c r="I676">
        <v>6.79</v>
      </c>
      <c r="J676">
        <v>609000</v>
      </c>
      <c r="K676">
        <v>645000</v>
      </c>
      <c r="L676">
        <v>606000</v>
      </c>
      <c r="M676">
        <v>426070</v>
      </c>
      <c r="N676">
        <v>269388234500</v>
      </c>
      <c r="O676">
        <v>104961225</v>
      </c>
      <c r="P676">
        <v>67699990125000</v>
      </c>
    </row>
    <row r="677" spans="1:16">
      <c r="A677" t="s">
        <v>37</v>
      </c>
      <c r="B677">
        <v>20260112</v>
      </c>
      <c r="C677">
        <v>329180</v>
      </c>
      <c r="D677" t="s">
        <v>38</v>
      </c>
      <c r="E677" t="s">
        <v>37</v>
      </c>
      <c r="F677" t="s">
        <v>17</v>
      </c>
      <c r="G677">
        <v>604000</v>
      </c>
      <c r="H677">
        <v>-5000</v>
      </c>
      <c r="I677">
        <v>-0.82</v>
      </c>
      <c r="J677">
        <v>607000</v>
      </c>
      <c r="K677">
        <v>609000</v>
      </c>
      <c r="L677">
        <v>591000</v>
      </c>
      <c r="M677">
        <v>436934</v>
      </c>
      <c r="N677">
        <v>262584477500</v>
      </c>
      <c r="O677">
        <v>104961225</v>
      </c>
      <c r="P677">
        <v>63396579900000</v>
      </c>
    </row>
    <row r="678" spans="1:16">
      <c r="A678" t="s">
        <v>37</v>
      </c>
      <c r="B678">
        <v>20260109</v>
      </c>
      <c r="C678">
        <v>329180</v>
      </c>
      <c r="D678" t="s">
        <v>38</v>
      </c>
      <c r="E678" t="s">
        <v>37</v>
      </c>
      <c r="F678" t="s">
        <v>17</v>
      </c>
      <c r="G678">
        <v>609000</v>
      </c>
      <c r="H678">
        <v>27000</v>
      </c>
      <c r="I678">
        <v>4.6399999999999997</v>
      </c>
      <c r="J678">
        <v>583000</v>
      </c>
      <c r="K678">
        <v>609000</v>
      </c>
      <c r="L678">
        <v>579000</v>
      </c>
      <c r="M678">
        <v>309982</v>
      </c>
      <c r="N678">
        <v>186258861500</v>
      </c>
      <c r="O678">
        <v>104961225</v>
      </c>
      <c r="P678">
        <v>63921386025000</v>
      </c>
    </row>
    <row r="679" spans="1:16">
      <c r="A679" t="s">
        <v>37</v>
      </c>
      <c r="B679">
        <v>20260108</v>
      </c>
      <c r="C679">
        <v>329180</v>
      </c>
      <c r="D679" t="s">
        <v>38</v>
      </c>
      <c r="E679" t="s">
        <v>37</v>
      </c>
      <c r="F679" t="s">
        <v>17</v>
      </c>
      <c r="G679">
        <v>582000</v>
      </c>
      <c r="H679">
        <v>25000</v>
      </c>
      <c r="I679">
        <v>4.49</v>
      </c>
      <c r="J679">
        <v>562000</v>
      </c>
      <c r="K679">
        <v>592000</v>
      </c>
      <c r="L679">
        <v>559000</v>
      </c>
      <c r="M679">
        <v>485746</v>
      </c>
      <c r="N679">
        <v>283919119000</v>
      </c>
      <c r="O679">
        <v>104961225</v>
      </c>
      <c r="P679">
        <v>61087432950000</v>
      </c>
    </row>
    <row r="680" spans="1:16">
      <c r="A680" t="s">
        <v>37</v>
      </c>
      <c r="B680">
        <v>20260107</v>
      </c>
      <c r="C680">
        <v>329180</v>
      </c>
      <c r="D680" t="s">
        <v>38</v>
      </c>
      <c r="E680" t="s">
        <v>37</v>
      </c>
      <c r="F680" t="s">
        <v>17</v>
      </c>
      <c r="G680">
        <v>557000</v>
      </c>
      <c r="H680">
        <v>7000</v>
      </c>
      <c r="I680">
        <v>1.27</v>
      </c>
      <c r="J680">
        <v>545000</v>
      </c>
      <c r="K680">
        <v>572000</v>
      </c>
      <c r="L680">
        <v>542000</v>
      </c>
      <c r="M680">
        <v>261613</v>
      </c>
      <c r="N680">
        <v>146330331000</v>
      </c>
      <c r="O680">
        <v>104961225</v>
      </c>
      <c r="P680">
        <v>58463402325000</v>
      </c>
    </row>
    <row r="681" spans="1:16">
      <c r="A681" t="s">
        <v>37</v>
      </c>
      <c r="B681">
        <v>20260106</v>
      </c>
      <c r="C681">
        <v>329180</v>
      </c>
      <c r="D681" t="s">
        <v>38</v>
      </c>
      <c r="E681" t="s">
        <v>37</v>
      </c>
      <c r="F681" t="s">
        <v>17</v>
      </c>
      <c r="G681">
        <v>550000</v>
      </c>
      <c r="H681">
        <v>37000</v>
      </c>
      <c r="I681">
        <v>7.21</v>
      </c>
      <c r="J681">
        <v>521000</v>
      </c>
      <c r="K681">
        <v>550000</v>
      </c>
      <c r="L681">
        <v>519000</v>
      </c>
      <c r="M681">
        <v>403915</v>
      </c>
      <c r="N681">
        <v>218366270000</v>
      </c>
      <c r="O681">
        <v>104961225</v>
      </c>
      <c r="P681">
        <v>57728673750000</v>
      </c>
    </row>
    <row r="682" spans="1:16">
      <c r="A682" t="s">
        <v>37</v>
      </c>
      <c r="B682">
        <v>20260105</v>
      </c>
      <c r="C682">
        <v>329180</v>
      </c>
      <c r="D682" t="s">
        <v>38</v>
      </c>
      <c r="E682" t="s">
        <v>37</v>
      </c>
      <c r="F682" t="s">
        <v>17</v>
      </c>
      <c r="G682">
        <v>513000</v>
      </c>
      <c r="H682">
        <v>9000</v>
      </c>
      <c r="I682">
        <v>1.79</v>
      </c>
      <c r="J682">
        <v>499500</v>
      </c>
      <c r="K682">
        <v>516000</v>
      </c>
      <c r="L682">
        <v>497500</v>
      </c>
      <c r="M682">
        <v>274884</v>
      </c>
      <c r="N682">
        <v>139893758500</v>
      </c>
      <c r="O682">
        <v>104961225</v>
      </c>
      <c r="P682">
        <v>53845108425000</v>
      </c>
    </row>
    <row r="683" spans="1:16">
      <c r="A683" t="s">
        <v>37</v>
      </c>
      <c r="B683">
        <v>20260102</v>
      </c>
      <c r="C683">
        <v>329180</v>
      </c>
      <c r="D683" t="s">
        <v>38</v>
      </c>
      <c r="E683" t="s">
        <v>37</v>
      </c>
      <c r="F683" t="s">
        <v>17</v>
      </c>
      <c r="G683">
        <v>504000</v>
      </c>
      <c r="H683">
        <v>-5000</v>
      </c>
      <c r="I683">
        <v>-0.98</v>
      </c>
      <c r="J683">
        <v>514000</v>
      </c>
      <c r="K683">
        <v>516000</v>
      </c>
      <c r="L683">
        <v>499000</v>
      </c>
      <c r="M683">
        <v>225977</v>
      </c>
      <c r="N683">
        <v>113977577750</v>
      </c>
      <c r="O683">
        <v>104961225</v>
      </c>
      <c r="P683">
        <v>52900457400000</v>
      </c>
    </row>
    <row r="684" spans="1:16">
      <c r="A684" t="s">
        <v>39</v>
      </c>
      <c r="B684">
        <v>20260403</v>
      </c>
      <c r="C684">
        <v>68270</v>
      </c>
      <c r="D684" t="s">
        <v>40</v>
      </c>
      <c r="E684" t="s">
        <v>39</v>
      </c>
      <c r="F684" t="s">
        <v>17</v>
      </c>
      <c r="G684">
        <v>195300</v>
      </c>
      <c r="H684">
        <v>-1400</v>
      </c>
      <c r="I684">
        <v>-0.71</v>
      </c>
      <c r="J684">
        <v>200000</v>
      </c>
      <c r="K684">
        <v>200500</v>
      </c>
      <c r="L684">
        <v>195300</v>
      </c>
      <c r="M684">
        <v>289560</v>
      </c>
      <c r="N684">
        <v>56966586200</v>
      </c>
      <c r="O684">
        <v>231048261</v>
      </c>
      <c r="P684">
        <v>45123725373300</v>
      </c>
    </row>
    <row r="685" spans="1:16">
      <c r="A685" t="s">
        <v>39</v>
      </c>
      <c r="B685">
        <v>20260402</v>
      </c>
      <c r="C685">
        <v>68270</v>
      </c>
      <c r="D685" t="s">
        <v>40</v>
      </c>
      <c r="E685" t="s">
        <v>39</v>
      </c>
      <c r="F685" t="s">
        <v>17</v>
      </c>
      <c r="G685">
        <v>196700</v>
      </c>
      <c r="H685">
        <v>-9300</v>
      </c>
      <c r="I685">
        <v>-4.51</v>
      </c>
      <c r="J685">
        <v>207000</v>
      </c>
      <c r="K685">
        <v>208000</v>
      </c>
      <c r="L685">
        <v>193900</v>
      </c>
      <c r="M685">
        <v>640427</v>
      </c>
      <c r="N685">
        <v>127821505150</v>
      </c>
      <c r="O685">
        <v>231048261</v>
      </c>
      <c r="P685">
        <v>45447192938700</v>
      </c>
    </row>
    <row r="686" spans="1:16">
      <c r="A686" t="s">
        <v>39</v>
      </c>
      <c r="B686">
        <v>20260401</v>
      </c>
      <c r="C686">
        <v>68270</v>
      </c>
      <c r="D686" t="s">
        <v>40</v>
      </c>
      <c r="E686" t="s">
        <v>39</v>
      </c>
      <c r="F686" t="s">
        <v>17</v>
      </c>
      <c r="G686">
        <v>206000</v>
      </c>
      <c r="H686">
        <v>8800</v>
      </c>
      <c r="I686">
        <v>4.46</v>
      </c>
      <c r="J686">
        <v>204000</v>
      </c>
      <c r="K686">
        <v>207000</v>
      </c>
      <c r="L686">
        <v>200000</v>
      </c>
      <c r="M686">
        <v>503442</v>
      </c>
      <c r="N686">
        <v>102702325000</v>
      </c>
      <c r="O686">
        <v>231048261</v>
      </c>
      <c r="P686">
        <v>47595941766000</v>
      </c>
    </row>
    <row r="687" spans="1:16">
      <c r="A687" t="s">
        <v>39</v>
      </c>
      <c r="B687">
        <v>20260331</v>
      </c>
      <c r="C687">
        <v>68270</v>
      </c>
      <c r="D687" t="s">
        <v>40</v>
      </c>
      <c r="E687" t="s">
        <v>39</v>
      </c>
      <c r="F687" t="s">
        <v>17</v>
      </c>
      <c r="G687">
        <v>197200</v>
      </c>
      <c r="H687">
        <v>-4300</v>
      </c>
      <c r="I687">
        <v>-2.13</v>
      </c>
      <c r="J687">
        <v>199500</v>
      </c>
      <c r="K687">
        <v>202000</v>
      </c>
      <c r="L687">
        <v>196100</v>
      </c>
      <c r="M687">
        <v>569975</v>
      </c>
      <c r="N687">
        <v>113239676150</v>
      </c>
      <c r="O687">
        <v>231048261</v>
      </c>
      <c r="P687">
        <v>45562717069200</v>
      </c>
    </row>
    <row r="688" spans="1:16">
      <c r="A688" t="s">
        <v>39</v>
      </c>
      <c r="B688">
        <v>20260330</v>
      </c>
      <c r="C688">
        <v>68270</v>
      </c>
      <c r="D688" t="s">
        <v>40</v>
      </c>
      <c r="E688" t="s">
        <v>39</v>
      </c>
      <c r="F688" t="s">
        <v>17</v>
      </c>
      <c r="G688">
        <v>201500</v>
      </c>
      <c r="H688">
        <v>-4500</v>
      </c>
      <c r="I688">
        <v>-2.1800000000000002</v>
      </c>
      <c r="J688">
        <v>197700</v>
      </c>
      <c r="K688">
        <v>203500</v>
      </c>
      <c r="L688">
        <v>197000</v>
      </c>
      <c r="M688">
        <v>426735</v>
      </c>
      <c r="N688">
        <v>85548123400</v>
      </c>
      <c r="O688">
        <v>231048261</v>
      </c>
      <c r="P688">
        <v>46556224591500</v>
      </c>
    </row>
    <row r="689" spans="1:16">
      <c r="A689" t="s">
        <v>39</v>
      </c>
      <c r="B689">
        <v>20260327</v>
      </c>
      <c r="C689">
        <v>68270</v>
      </c>
      <c r="D689" t="s">
        <v>40</v>
      </c>
      <c r="E689" t="s">
        <v>39</v>
      </c>
      <c r="F689" t="s">
        <v>17</v>
      </c>
      <c r="G689">
        <v>206000</v>
      </c>
      <c r="H689">
        <v>3000</v>
      </c>
      <c r="I689">
        <v>1.48</v>
      </c>
      <c r="J689">
        <v>200500</v>
      </c>
      <c r="K689">
        <v>207000</v>
      </c>
      <c r="L689">
        <v>199100</v>
      </c>
      <c r="M689">
        <v>466923</v>
      </c>
      <c r="N689">
        <v>95278607800</v>
      </c>
      <c r="O689">
        <v>231048261</v>
      </c>
      <c r="P689">
        <v>47595941766000</v>
      </c>
    </row>
    <row r="690" spans="1:16">
      <c r="A690" t="s">
        <v>39</v>
      </c>
      <c r="B690">
        <v>20260326</v>
      </c>
      <c r="C690">
        <v>68270</v>
      </c>
      <c r="D690" t="s">
        <v>40</v>
      </c>
      <c r="E690" t="s">
        <v>39</v>
      </c>
      <c r="F690" t="s">
        <v>17</v>
      </c>
      <c r="G690">
        <v>203000</v>
      </c>
      <c r="H690">
        <v>-500</v>
      </c>
      <c r="I690">
        <v>-0.25</v>
      </c>
      <c r="J690">
        <v>204500</v>
      </c>
      <c r="K690">
        <v>207750</v>
      </c>
      <c r="L690">
        <v>201500</v>
      </c>
      <c r="M690">
        <v>441297</v>
      </c>
      <c r="N690">
        <v>89974643750</v>
      </c>
      <c r="O690">
        <v>231048261</v>
      </c>
      <c r="P690">
        <v>46902796983000</v>
      </c>
    </row>
    <row r="691" spans="1:16">
      <c r="A691" t="s">
        <v>39</v>
      </c>
      <c r="B691">
        <v>20260325</v>
      </c>
      <c r="C691">
        <v>68270</v>
      </c>
      <c r="D691" t="s">
        <v>40</v>
      </c>
      <c r="E691" t="s">
        <v>39</v>
      </c>
      <c r="F691" t="s">
        <v>17</v>
      </c>
      <c r="G691">
        <v>203500</v>
      </c>
      <c r="H691">
        <v>3900</v>
      </c>
      <c r="I691">
        <v>1.95</v>
      </c>
      <c r="J691">
        <v>202000</v>
      </c>
      <c r="K691">
        <v>206000</v>
      </c>
      <c r="L691">
        <v>200000</v>
      </c>
      <c r="M691">
        <v>472726</v>
      </c>
      <c r="N691">
        <v>96236766750</v>
      </c>
      <c r="O691">
        <v>231048261</v>
      </c>
      <c r="P691">
        <v>47018321113500</v>
      </c>
    </row>
    <row r="692" spans="1:16">
      <c r="A692" t="s">
        <v>39</v>
      </c>
      <c r="B692">
        <v>20260324</v>
      </c>
      <c r="C692">
        <v>68270</v>
      </c>
      <c r="D692" t="s">
        <v>40</v>
      </c>
      <c r="E692" t="s">
        <v>39</v>
      </c>
      <c r="F692" t="s">
        <v>17</v>
      </c>
      <c r="G692">
        <v>199600</v>
      </c>
      <c r="H692">
        <v>11300</v>
      </c>
      <c r="I692">
        <v>6</v>
      </c>
      <c r="J692">
        <v>195100</v>
      </c>
      <c r="K692">
        <v>203500</v>
      </c>
      <c r="L692">
        <v>189300</v>
      </c>
      <c r="M692">
        <v>689973</v>
      </c>
      <c r="N692">
        <v>135637492650</v>
      </c>
      <c r="O692">
        <v>231048261</v>
      </c>
      <c r="P692">
        <v>46117232895600</v>
      </c>
    </row>
    <row r="693" spans="1:16">
      <c r="A693" t="s">
        <v>39</v>
      </c>
      <c r="B693">
        <v>20260323</v>
      </c>
      <c r="C693">
        <v>68270</v>
      </c>
      <c r="D693" t="s">
        <v>40</v>
      </c>
      <c r="E693" t="s">
        <v>39</v>
      </c>
      <c r="F693" t="s">
        <v>17</v>
      </c>
      <c r="G693">
        <v>188300</v>
      </c>
      <c r="H693">
        <v>-13700</v>
      </c>
      <c r="I693">
        <v>-6.78</v>
      </c>
      <c r="J693">
        <v>195000</v>
      </c>
      <c r="K693">
        <v>195100</v>
      </c>
      <c r="L693">
        <v>187700</v>
      </c>
      <c r="M693">
        <v>741755</v>
      </c>
      <c r="N693">
        <v>141018015200</v>
      </c>
      <c r="O693">
        <v>231048261</v>
      </c>
      <c r="P693">
        <v>43506387546300</v>
      </c>
    </row>
    <row r="694" spans="1:16">
      <c r="A694" t="s">
        <v>39</v>
      </c>
      <c r="B694">
        <v>20260320</v>
      </c>
      <c r="C694">
        <v>68270</v>
      </c>
      <c r="D694" t="s">
        <v>40</v>
      </c>
      <c r="E694" t="s">
        <v>39</v>
      </c>
      <c r="F694" t="s">
        <v>17</v>
      </c>
      <c r="G694">
        <v>202000</v>
      </c>
      <c r="H694">
        <v>0</v>
      </c>
      <c r="I694">
        <v>0</v>
      </c>
      <c r="J694">
        <v>203000</v>
      </c>
      <c r="K694">
        <v>204500</v>
      </c>
      <c r="L694">
        <v>200500</v>
      </c>
      <c r="M694">
        <v>452728</v>
      </c>
      <c r="N694">
        <v>91568178000</v>
      </c>
      <c r="O694">
        <v>231048261</v>
      </c>
      <c r="P694">
        <v>46671748722000</v>
      </c>
    </row>
    <row r="695" spans="1:16">
      <c r="A695" t="s">
        <v>39</v>
      </c>
      <c r="B695">
        <v>20260319</v>
      </c>
      <c r="C695">
        <v>68270</v>
      </c>
      <c r="D695" t="s">
        <v>40</v>
      </c>
      <c r="E695" t="s">
        <v>39</v>
      </c>
      <c r="F695" t="s">
        <v>17</v>
      </c>
      <c r="G695">
        <v>202000</v>
      </c>
      <c r="H695">
        <v>-7500</v>
      </c>
      <c r="I695">
        <v>-3.58</v>
      </c>
      <c r="J695">
        <v>203000</v>
      </c>
      <c r="K695">
        <v>205000</v>
      </c>
      <c r="L695">
        <v>201500</v>
      </c>
      <c r="M695">
        <v>532994</v>
      </c>
      <c r="N695">
        <v>107953872000</v>
      </c>
      <c r="O695">
        <v>231048261</v>
      </c>
      <c r="P695">
        <v>46671748722000</v>
      </c>
    </row>
    <row r="696" spans="1:16">
      <c r="A696" t="s">
        <v>39</v>
      </c>
      <c r="B696">
        <v>20260318</v>
      </c>
      <c r="C696">
        <v>68270</v>
      </c>
      <c r="D696" t="s">
        <v>40</v>
      </c>
      <c r="E696" t="s">
        <v>39</v>
      </c>
      <c r="F696" t="s">
        <v>17</v>
      </c>
      <c r="G696">
        <v>209500</v>
      </c>
      <c r="H696">
        <v>3500</v>
      </c>
      <c r="I696">
        <v>1.7</v>
      </c>
      <c r="J696">
        <v>210500</v>
      </c>
      <c r="K696">
        <v>212000</v>
      </c>
      <c r="L696">
        <v>208000</v>
      </c>
      <c r="M696">
        <v>413983</v>
      </c>
      <c r="N696">
        <v>87088657250</v>
      </c>
      <c r="O696">
        <v>231048261</v>
      </c>
      <c r="P696">
        <v>48404610679500</v>
      </c>
    </row>
    <row r="697" spans="1:16">
      <c r="A697" t="s">
        <v>39</v>
      </c>
      <c r="B697">
        <v>20260317</v>
      </c>
      <c r="C697">
        <v>68270</v>
      </c>
      <c r="D697" t="s">
        <v>40</v>
      </c>
      <c r="E697" t="s">
        <v>39</v>
      </c>
      <c r="F697" t="s">
        <v>17</v>
      </c>
      <c r="G697">
        <v>206000</v>
      </c>
      <c r="H697">
        <v>6000</v>
      </c>
      <c r="I697">
        <v>3</v>
      </c>
      <c r="J697">
        <v>205500</v>
      </c>
      <c r="K697">
        <v>208500</v>
      </c>
      <c r="L697">
        <v>204000</v>
      </c>
      <c r="M697">
        <v>359729</v>
      </c>
      <c r="N697">
        <v>74096075500</v>
      </c>
      <c r="O697">
        <v>231048261</v>
      </c>
      <c r="P697">
        <v>47595941766000</v>
      </c>
    </row>
    <row r="698" spans="1:16">
      <c r="A698" t="s">
        <v>39</v>
      </c>
      <c r="B698">
        <v>20260316</v>
      </c>
      <c r="C698">
        <v>68270</v>
      </c>
      <c r="D698" t="s">
        <v>40</v>
      </c>
      <c r="E698" t="s">
        <v>39</v>
      </c>
      <c r="F698" t="s">
        <v>17</v>
      </c>
      <c r="G698">
        <v>200000</v>
      </c>
      <c r="H698">
        <v>-5500</v>
      </c>
      <c r="I698">
        <v>-2.68</v>
      </c>
      <c r="J698">
        <v>203500</v>
      </c>
      <c r="K698">
        <v>204000</v>
      </c>
      <c r="L698">
        <v>199500</v>
      </c>
      <c r="M698">
        <v>432257</v>
      </c>
      <c r="N698">
        <v>86724511650</v>
      </c>
      <c r="O698">
        <v>231048261</v>
      </c>
      <c r="P698">
        <v>46209652200000</v>
      </c>
    </row>
    <row r="699" spans="1:16">
      <c r="A699" t="s">
        <v>39</v>
      </c>
      <c r="B699">
        <v>20260313</v>
      </c>
      <c r="C699">
        <v>68270</v>
      </c>
      <c r="D699" t="s">
        <v>40</v>
      </c>
      <c r="E699" t="s">
        <v>39</v>
      </c>
      <c r="F699" t="s">
        <v>17</v>
      </c>
      <c r="G699">
        <v>205500</v>
      </c>
      <c r="H699">
        <v>-500</v>
      </c>
      <c r="I699">
        <v>-0.24</v>
      </c>
      <c r="J699">
        <v>200500</v>
      </c>
      <c r="K699">
        <v>208000</v>
      </c>
      <c r="L699">
        <v>200000</v>
      </c>
      <c r="M699">
        <v>516104</v>
      </c>
      <c r="N699">
        <v>105727682250</v>
      </c>
      <c r="O699">
        <v>231048261</v>
      </c>
      <c r="P699">
        <v>47480417635500</v>
      </c>
    </row>
    <row r="700" spans="1:16">
      <c r="A700" t="s">
        <v>39</v>
      </c>
      <c r="B700">
        <v>20260312</v>
      </c>
      <c r="C700">
        <v>68270</v>
      </c>
      <c r="D700" t="s">
        <v>40</v>
      </c>
      <c r="E700" t="s">
        <v>39</v>
      </c>
      <c r="F700" t="s">
        <v>17</v>
      </c>
      <c r="G700">
        <v>206000</v>
      </c>
      <c r="H700">
        <v>-3000</v>
      </c>
      <c r="I700">
        <v>-1.44</v>
      </c>
      <c r="J700">
        <v>207000</v>
      </c>
      <c r="K700">
        <v>208000</v>
      </c>
      <c r="L700">
        <v>203000</v>
      </c>
      <c r="M700">
        <v>501196</v>
      </c>
      <c r="N700">
        <v>102899742696</v>
      </c>
      <c r="O700">
        <v>231048261</v>
      </c>
      <c r="P700">
        <v>47595941766000</v>
      </c>
    </row>
    <row r="701" spans="1:16">
      <c r="A701" t="s">
        <v>39</v>
      </c>
      <c r="B701">
        <v>20260311</v>
      </c>
      <c r="C701">
        <v>68270</v>
      </c>
      <c r="D701" t="s">
        <v>40</v>
      </c>
      <c r="E701" t="s">
        <v>39</v>
      </c>
      <c r="F701" t="s">
        <v>17</v>
      </c>
      <c r="G701">
        <v>209000</v>
      </c>
      <c r="H701">
        <v>3000</v>
      </c>
      <c r="I701">
        <v>1.46</v>
      </c>
      <c r="J701">
        <v>209500</v>
      </c>
      <c r="K701">
        <v>214000</v>
      </c>
      <c r="L701">
        <v>207000</v>
      </c>
      <c r="M701">
        <v>430951</v>
      </c>
      <c r="N701">
        <v>90944268250</v>
      </c>
      <c r="O701">
        <v>231048261</v>
      </c>
      <c r="P701">
        <v>48289086549000</v>
      </c>
    </row>
    <row r="702" spans="1:16">
      <c r="A702" t="s">
        <v>39</v>
      </c>
      <c r="B702">
        <v>20260310</v>
      </c>
      <c r="C702">
        <v>68270</v>
      </c>
      <c r="D702" t="s">
        <v>40</v>
      </c>
      <c r="E702" t="s">
        <v>39</v>
      </c>
      <c r="F702" t="s">
        <v>17</v>
      </c>
      <c r="G702">
        <v>206000</v>
      </c>
      <c r="H702">
        <v>2000</v>
      </c>
      <c r="I702">
        <v>0.98</v>
      </c>
      <c r="J702">
        <v>212500</v>
      </c>
      <c r="K702">
        <v>213500</v>
      </c>
      <c r="L702">
        <v>204000</v>
      </c>
      <c r="M702">
        <v>489112</v>
      </c>
      <c r="N702">
        <v>101658708000</v>
      </c>
      <c r="O702">
        <v>231048261</v>
      </c>
      <c r="P702">
        <v>47595941766000</v>
      </c>
    </row>
    <row r="703" spans="1:16">
      <c r="A703" t="s">
        <v>39</v>
      </c>
      <c r="B703">
        <v>20260309</v>
      </c>
      <c r="C703">
        <v>68270</v>
      </c>
      <c r="D703" t="s">
        <v>40</v>
      </c>
      <c r="E703" t="s">
        <v>39</v>
      </c>
      <c r="F703" t="s">
        <v>17</v>
      </c>
      <c r="G703">
        <v>204000</v>
      </c>
      <c r="H703">
        <v>-8500</v>
      </c>
      <c r="I703">
        <v>-4</v>
      </c>
      <c r="J703">
        <v>199900</v>
      </c>
      <c r="K703">
        <v>204000</v>
      </c>
      <c r="L703">
        <v>199100</v>
      </c>
      <c r="M703">
        <v>701450</v>
      </c>
      <c r="N703">
        <v>140959754050</v>
      </c>
      <c r="O703">
        <v>231048261</v>
      </c>
      <c r="P703">
        <v>47133845244000</v>
      </c>
    </row>
    <row r="704" spans="1:16">
      <c r="A704" t="s">
        <v>39</v>
      </c>
      <c r="B704">
        <v>20260306</v>
      </c>
      <c r="C704">
        <v>68270</v>
      </c>
      <c r="D704" t="s">
        <v>40</v>
      </c>
      <c r="E704" t="s">
        <v>39</v>
      </c>
      <c r="F704" t="s">
        <v>17</v>
      </c>
      <c r="G704">
        <v>212500</v>
      </c>
      <c r="H704">
        <v>1000</v>
      </c>
      <c r="I704">
        <v>0.47</v>
      </c>
      <c r="J704">
        <v>214500</v>
      </c>
      <c r="K704">
        <v>216500</v>
      </c>
      <c r="L704">
        <v>206500</v>
      </c>
      <c r="M704">
        <v>573057</v>
      </c>
      <c r="N704">
        <v>121551033750</v>
      </c>
      <c r="O704">
        <v>231048261</v>
      </c>
      <c r="P704">
        <v>49097755462500</v>
      </c>
    </row>
    <row r="705" spans="1:16">
      <c r="A705" t="s">
        <v>39</v>
      </c>
      <c r="B705">
        <v>20260305</v>
      </c>
      <c r="C705">
        <v>68270</v>
      </c>
      <c r="D705" t="s">
        <v>40</v>
      </c>
      <c r="E705" t="s">
        <v>39</v>
      </c>
      <c r="F705" t="s">
        <v>17</v>
      </c>
      <c r="G705">
        <v>211500</v>
      </c>
      <c r="H705">
        <v>14100</v>
      </c>
      <c r="I705">
        <v>7.14</v>
      </c>
      <c r="J705">
        <v>214000</v>
      </c>
      <c r="K705">
        <v>216000</v>
      </c>
      <c r="L705">
        <v>205500</v>
      </c>
      <c r="M705">
        <v>917410</v>
      </c>
      <c r="N705">
        <v>193482169750</v>
      </c>
      <c r="O705">
        <v>231048261</v>
      </c>
      <c r="P705">
        <v>48866707201500</v>
      </c>
    </row>
    <row r="706" spans="1:16">
      <c r="A706" t="s">
        <v>39</v>
      </c>
      <c r="B706">
        <v>20260304</v>
      </c>
      <c r="C706">
        <v>68270</v>
      </c>
      <c r="D706" t="s">
        <v>40</v>
      </c>
      <c r="E706" t="s">
        <v>39</v>
      </c>
      <c r="F706" t="s">
        <v>17</v>
      </c>
      <c r="G706">
        <v>197400</v>
      </c>
      <c r="H706">
        <v>-27600</v>
      </c>
      <c r="I706">
        <v>-12.27</v>
      </c>
      <c r="J706">
        <v>214000</v>
      </c>
      <c r="K706">
        <v>218500</v>
      </c>
      <c r="L706">
        <v>195900</v>
      </c>
      <c r="M706">
        <v>1535839</v>
      </c>
      <c r="N706">
        <v>314990251900</v>
      </c>
      <c r="O706">
        <v>231048261</v>
      </c>
      <c r="P706">
        <v>45608926721400</v>
      </c>
    </row>
    <row r="707" spans="1:16">
      <c r="A707" t="s">
        <v>39</v>
      </c>
      <c r="B707">
        <v>20260303</v>
      </c>
      <c r="C707">
        <v>68270</v>
      </c>
      <c r="D707" t="s">
        <v>40</v>
      </c>
      <c r="E707" t="s">
        <v>39</v>
      </c>
      <c r="F707" t="s">
        <v>17</v>
      </c>
      <c r="G707">
        <v>225000</v>
      </c>
      <c r="H707">
        <v>-13500</v>
      </c>
      <c r="I707">
        <v>-5.66</v>
      </c>
      <c r="J707">
        <v>231500</v>
      </c>
      <c r="K707">
        <v>235500</v>
      </c>
      <c r="L707">
        <v>223500</v>
      </c>
      <c r="M707">
        <v>867580</v>
      </c>
      <c r="N707">
        <v>199522198500</v>
      </c>
      <c r="O707">
        <v>231048261</v>
      </c>
      <c r="P707">
        <v>51985858725000</v>
      </c>
    </row>
    <row r="708" spans="1:16">
      <c r="A708" t="s">
        <v>39</v>
      </c>
      <c r="B708">
        <v>20260227</v>
      </c>
      <c r="C708">
        <v>68270</v>
      </c>
      <c r="D708" t="s">
        <v>40</v>
      </c>
      <c r="E708" t="s">
        <v>39</v>
      </c>
      <c r="F708" t="s">
        <v>17</v>
      </c>
      <c r="G708">
        <v>238500</v>
      </c>
      <c r="H708">
        <v>-3500</v>
      </c>
      <c r="I708">
        <v>-1.45</v>
      </c>
      <c r="J708">
        <v>241500</v>
      </c>
      <c r="K708">
        <v>244000</v>
      </c>
      <c r="L708">
        <v>235000</v>
      </c>
      <c r="M708">
        <v>833169</v>
      </c>
      <c r="N708">
        <v>198543887000</v>
      </c>
      <c r="O708">
        <v>231048261</v>
      </c>
      <c r="P708">
        <v>55105010248500</v>
      </c>
    </row>
    <row r="709" spans="1:16">
      <c r="A709" t="s">
        <v>39</v>
      </c>
      <c r="B709">
        <v>20260226</v>
      </c>
      <c r="C709">
        <v>68270</v>
      </c>
      <c r="D709" t="s">
        <v>40</v>
      </c>
      <c r="E709" t="s">
        <v>39</v>
      </c>
      <c r="F709" t="s">
        <v>17</v>
      </c>
      <c r="G709">
        <v>242000</v>
      </c>
      <c r="H709">
        <v>-2500</v>
      </c>
      <c r="I709">
        <v>-1.02</v>
      </c>
      <c r="J709">
        <v>242500</v>
      </c>
      <c r="K709">
        <v>244000</v>
      </c>
      <c r="L709">
        <v>238500</v>
      </c>
      <c r="M709">
        <v>625920</v>
      </c>
      <c r="N709">
        <v>151282354250</v>
      </c>
      <c r="O709">
        <v>231048261</v>
      </c>
      <c r="P709">
        <v>55913679162000</v>
      </c>
    </row>
    <row r="710" spans="1:16">
      <c r="A710" t="s">
        <v>39</v>
      </c>
      <c r="B710">
        <v>20260225</v>
      </c>
      <c r="C710">
        <v>68270</v>
      </c>
      <c r="D710" t="s">
        <v>40</v>
      </c>
      <c r="E710" t="s">
        <v>39</v>
      </c>
      <c r="F710" t="s">
        <v>17</v>
      </c>
      <c r="G710">
        <v>244500</v>
      </c>
      <c r="H710">
        <v>-4000</v>
      </c>
      <c r="I710">
        <v>-1.61</v>
      </c>
      <c r="J710">
        <v>249500</v>
      </c>
      <c r="K710">
        <v>249500</v>
      </c>
      <c r="L710">
        <v>242500</v>
      </c>
      <c r="M710">
        <v>543961</v>
      </c>
      <c r="N710">
        <v>133146512750</v>
      </c>
      <c r="O710">
        <v>231048261</v>
      </c>
      <c r="P710">
        <v>56491299814500</v>
      </c>
    </row>
    <row r="711" spans="1:16">
      <c r="A711" t="s">
        <v>39</v>
      </c>
      <c r="B711">
        <v>20260224</v>
      </c>
      <c r="C711">
        <v>68270</v>
      </c>
      <c r="D711" t="s">
        <v>40</v>
      </c>
      <c r="E711" t="s">
        <v>39</v>
      </c>
      <c r="F711" t="s">
        <v>17</v>
      </c>
      <c r="G711">
        <v>248500</v>
      </c>
      <c r="H711">
        <v>5500</v>
      </c>
      <c r="I711">
        <v>2.2599999999999998</v>
      </c>
      <c r="J711">
        <v>246500</v>
      </c>
      <c r="K711">
        <v>251000</v>
      </c>
      <c r="L711">
        <v>245500</v>
      </c>
      <c r="M711">
        <v>654474</v>
      </c>
      <c r="N711">
        <v>162578566250</v>
      </c>
      <c r="O711">
        <v>231048261</v>
      </c>
      <c r="P711">
        <v>57415492858500</v>
      </c>
    </row>
    <row r="712" spans="1:16">
      <c r="A712" t="s">
        <v>39</v>
      </c>
      <c r="B712">
        <v>20260223</v>
      </c>
      <c r="C712">
        <v>68270</v>
      </c>
      <c r="D712" t="s">
        <v>40</v>
      </c>
      <c r="E712" t="s">
        <v>39</v>
      </c>
      <c r="F712" t="s">
        <v>17</v>
      </c>
      <c r="G712">
        <v>243000</v>
      </c>
      <c r="H712">
        <v>1000</v>
      </c>
      <c r="I712">
        <v>0.41</v>
      </c>
      <c r="J712">
        <v>243000</v>
      </c>
      <c r="K712">
        <v>244000</v>
      </c>
      <c r="L712">
        <v>240500</v>
      </c>
      <c r="M712">
        <v>492926</v>
      </c>
      <c r="N712">
        <v>119482300500</v>
      </c>
      <c r="O712">
        <v>231048261</v>
      </c>
      <c r="P712">
        <v>56144727423000</v>
      </c>
    </row>
    <row r="713" spans="1:16">
      <c r="A713" t="s">
        <v>39</v>
      </c>
      <c r="B713">
        <v>20260220</v>
      </c>
      <c r="C713">
        <v>68270</v>
      </c>
      <c r="D713" t="s">
        <v>40</v>
      </c>
      <c r="E713" t="s">
        <v>39</v>
      </c>
      <c r="F713" t="s">
        <v>17</v>
      </c>
      <c r="G713">
        <v>242000</v>
      </c>
      <c r="H713">
        <v>-2500</v>
      </c>
      <c r="I713">
        <v>-1.02</v>
      </c>
      <c r="J713">
        <v>242500</v>
      </c>
      <c r="K713">
        <v>245000</v>
      </c>
      <c r="L713">
        <v>240500</v>
      </c>
      <c r="M713">
        <v>468296</v>
      </c>
      <c r="N713">
        <v>113440826750</v>
      </c>
      <c r="O713">
        <v>231048261</v>
      </c>
      <c r="P713">
        <v>55913679162000</v>
      </c>
    </row>
    <row r="714" spans="1:16">
      <c r="A714" t="s">
        <v>39</v>
      </c>
      <c r="B714">
        <v>20260219</v>
      </c>
      <c r="C714">
        <v>68270</v>
      </c>
      <c r="D714" t="s">
        <v>40</v>
      </c>
      <c r="E714" t="s">
        <v>39</v>
      </c>
      <c r="F714" t="s">
        <v>17</v>
      </c>
      <c r="G714">
        <v>244500</v>
      </c>
      <c r="H714">
        <v>6500</v>
      </c>
      <c r="I714">
        <v>2.73</v>
      </c>
      <c r="J714">
        <v>240500</v>
      </c>
      <c r="K714">
        <v>246000</v>
      </c>
      <c r="L714">
        <v>239500</v>
      </c>
      <c r="M714">
        <v>562258</v>
      </c>
      <c r="N714">
        <v>136951341250</v>
      </c>
      <c r="O714">
        <v>231048261</v>
      </c>
      <c r="P714">
        <v>56491299814500</v>
      </c>
    </row>
    <row r="715" spans="1:16">
      <c r="A715" t="s">
        <v>39</v>
      </c>
      <c r="B715">
        <v>20260213</v>
      </c>
      <c r="C715">
        <v>68270</v>
      </c>
      <c r="D715" t="s">
        <v>40</v>
      </c>
      <c r="E715" t="s">
        <v>39</v>
      </c>
      <c r="F715" t="s">
        <v>17</v>
      </c>
      <c r="G715">
        <v>238000</v>
      </c>
      <c r="H715">
        <v>-500</v>
      </c>
      <c r="I715">
        <v>-0.21</v>
      </c>
      <c r="J715">
        <v>242000</v>
      </c>
      <c r="K715">
        <v>242500</v>
      </c>
      <c r="L715">
        <v>234000</v>
      </c>
      <c r="M715">
        <v>672153</v>
      </c>
      <c r="N715">
        <v>160212903500</v>
      </c>
      <c r="O715">
        <v>231048261</v>
      </c>
      <c r="P715">
        <v>54989486118000</v>
      </c>
    </row>
    <row r="716" spans="1:16">
      <c r="A716" t="s">
        <v>39</v>
      </c>
      <c r="B716">
        <v>20260212</v>
      </c>
      <c r="C716">
        <v>68270</v>
      </c>
      <c r="D716" t="s">
        <v>40</v>
      </c>
      <c r="E716" t="s">
        <v>39</v>
      </c>
      <c r="F716" t="s">
        <v>17</v>
      </c>
      <c r="G716">
        <v>238500</v>
      </c>
      <c r="H716">
        <v>-1000</v>
      </c>
      <c r="I716">
        <v>-0.42</v>
      </c>
      <c r="J716">
        <v>238500</v>
      </c>
      <c r="K716">
        <v>239500</v>
      </c>
      <c r="L716">
        <v>231500</v>
      </c>
      <c r="M716">
        <v>952461</v>
      </c>
      <c r="N716">
        <v>224547186000</v>
      </c>
      <c r="O716">
        <v>230960969</v>
      </c>
      <c r="P716">
        <v>55084191106500</v>
      </c>
    </row>
    <row r="717" spans="1:16">
      <c r="A717" t="s">
        <v>39</v>
      </c>
      <c r="B717">
        <v>20260211</v>
      </c>
      <c r="C717">
        <v>68270</v>
      </c>
      <c r="D717" t="s">
        <v>40</v>
      </c>
      <c r="E717" t="s">
        <v>39</v>
      </c>
      <c r="F717" t="s">
        <v>17</v>
      </c>
      <c r="G717">
        <v>239500</v>
      </c>
      <c r="H717">
        <v>12000</v>
      </c>
      <c r="I717">
        <v>5.27</v>
      </c>
      <c r="J717">
        <v>232000</v>
      </c>
      <c r="K717">
        <v>243500</v>
      </c>
      <c r="L717">
        <v>231000</v>
      </c>
      <c r="M717">
        <v>1723596</v>
      </c>
      <c r="N717">
        <v>411413314000</v>
      </c>
      <c r="O717">
        <v>230960969</v>
      </c>
      <c r="P717">
        <v>55315152075500</v>
      </c>
    </row>
    <row r="718" spans="1:16">
      <c r="A718" t="s">
        <v>39</v>
      </c>
      <c r="B718">
        <v>20260210</v>
      </c>
      <c r="C718">
        <v>68270</v>
      </c>
      <c r="D718" t="s">
        <v>40</v>
      </c>
      <c r="E718" t="s">
        <v>39</v>
      </c>
      <c r="F718" t="s">
        <v>17</v>
      </c>
      <c r="G718">
        <v>227500</v>
      </c>
      <c r="H718">
        <v>-2500</v>
      </c>
      <c r="I718">
        <v>-1.0900000000000001</v>
      </c>
      <c r="J718">
        <v>228000</v>
      </c>
      <c r="K718">
        <v>231500</v>
      </c>
      <c r="L718">
        <v>225000</v>
      </c>
      <c r="M718">
        <v>621686</v>
      </c>
      <c r="N718">
        <v>141474168750</v>
      </c>
      <c r="O718">
        <v>230960969</v>
      </c>
      <c r="P718">
        <v>52543620447500</v>
      </c>
    </row>
    <row r="719" spans="1:16">
      <c r="A719" t="s">
        <v>39</v>
      </c>
      <c r="B719">
        <v>20260209</v>
      </c>
      <c r="C719">
        <v>68270</v>
      </c>
      <c r="D719" t="s">
        <v>40</v>
      </c>
      <c r="E719" t="s">
        <v>39</v>
      </c>
      <c r="F719" t="s">
        <v>17</v>
      </c>
      <c r="G719">
        <v>230000</v>
      </c>
      <c r="H719">
        <v>10000</v>
      </c>
      <c r="I719">
        <v>4.55</v>
      </c>
      <c r="J719">
        <v>225000</v>
      </c>
      <c r="K719">
        <v>234500</v>
      </c>
      <c r="L719">
        <v>224500</v>
      </c>
      <c r="M719">
        <v>1603024</v>
      </c>
      <c r="N719">
        <v>369105797000</v>
      </c>
      <c r="O719">
        <v>230960969</v>
      </c>
      <c r="P719">
        <v>53121022870000</v>
      </c>
    </row>
    <row r="720" spans="1:16">
      <c r="A720" t="s">
        <v>39</v>
      </c>
      <c r="B720">
        <v>20260206</v>
      </c>
      <c r="C720">
        <v>68270</v>
      </c>
      <c r="D720" t="s">
        <v>40</v>
      </c>
      <c r="E720" t="s">
        <v>39</v>
      </c>
      <c r="F720" t="s">
        <v>17</v>
      </c>
      <c r="G720">
        <v>220000</v>
      </c>
      <c r="H720">
        <v>2500</v>
      </c>
      <c r="I720">
        <v>1.1499999999999999</v>
      </c>
      <c r="J720">
        <v>212000</v>
      </c>
      <c r="K720">
        <v>220000</v>
      </c>
      <c r="L720">
        <v>208000</v>
      </c>
      <c r="M720">
        <v>989519</v>
      </c>
      <c r="N720">
        <v>213833371500</v>
      </c>
      <c r="O720">
        <v>230960969</v>
      </c>
      <c r="P720">
        <v>50811413180000</v>
      </c>
    </row>
    <row r="721" spans="1:16">
      <c r="A721" t="s">
        <v>39</v>
      </c>
      <c r="B721">
        <v>20260205</v>
      </c>
      <c r="C721">
        <v>68270</v>
      </c>
      <c r="D721" t="s">
        <v>40</v>
      </c>
      <c r="E721" t="s">
        <v>39</v>
      </c>
      <c r="F721" t="s">
        <v>17</v>
      </c>
      <c r="G721">
        <v>217500</v>
      </c>
      <c r="H721">
        <v>3000</v>
      </c>
      <c r="I721">
        <v>1.4</v>
      </c>
      <c r="J721">
        <v>224500</v>
      </c>
      <c r="K721">
        <v>226000</v>
      </c>
      <c r="L721">
        <v>215000</v>
      </c>
      <c r="M721">
        <v>1376434</v>
      </c>
      <c r="N721">
        <v>301022736250</v>
      </c>
      <c r="O721">
        <v>230960969</v>
      </c>
      <c r="P721">
        <v>50234010757500</v>
      </c>
    </row>
    <row r="722" spans="1:16">
      <c r="A722" t="s">
        <v>39</v>
      </c>
      <c r="B722">
        <v>20260204</v>
      </c>
      <c r="C722">
        <v>68270</v>
      </c>
      <c r="D722" t="s">
        <v>40</v>
      </c>
      <c r="E722" t="s">
        <v>39</v>
      </c>
      <c r="F722" t="s">
        <v>17</v>
      </c>
      <c r="G722">
        <v>214500</v>
      </c>
      <c r="H722">
        <v>7000</v>
      </c>
      <c r="I722">
        <v>3.37</v>
      </c>
      <c r="J722">
        <v>206500</v>
      </c>
      <c r="K722">
        <v>217500</v>
      </c>
      <c r="L722">
        <v>206500</v>
      </c>
      <c r="M722">
        <v>796142</v>
      </c>
      <c r="N722">
        <v>170776862250</v>
      </c>
      <c r="O722">
        <v>230960969</v>
      </c>
      <c r="P722">
        <v>49541127850500</v>
      </c>
    </row>
    <row r="723" spans="1:16">
      <c r="A723" t="s">
        <v>39</v>
      </c>
      <c r="B723">
        <v>20260203</v>
      </c>
      <c r="C723">
        <v>68270</v>
      </c>
      <c r="D723" t="s">
        <v>40</v>
      </c>
      <c r="E723" t="s">
        <v>39</v>
      </c>
      <c r="F723" t="s">
        <v>17</v>
      </c>
      <c r="G723">
        <v>207500</v>
      </c>
      <c r="H723">
        <v>4500</v>
      </c>
      <c r="I723">
        <v>2.2200000000000002</v>
      </c>
      <c r="J723">
        <v>207500</v>
      </c>
      <c r="K723">
        <v>208500</v>
      </c>
      <c r="L723">
        <v>204000</v>
      </c>
      <c r="M723">
        <v>444478</v>
      </c>
      <c r="N723">
        <v>91535784250</v>
      </c>
      <c r="O723">
        <v>230960969</v>
      </c>
      <c r="P723">
        <v>47924401067500</v>
      </c>
    </row>
    <row r="724" spans="1:16">
      <c r="A724" t="s">
        <v>39</v>
      </c>
      <c r="B724">
        <v>20260202</v>
      </c>
      <c r="C724">
        <v>68270</v>
      </c>
      <c r="D724" t="s">
        <v>40</v>
      </c>
      <c r="E724" t="s">
        <v>39</v>
      </c>
      <c r="F724" t="s">
        <v>17</v>
      </c>
      <c r="G724">
        <v>203000</v>
      </c>
      <c r="H724">
        <v>-7000</v>
      </c>
      <c r="I724">
        <v>-3.33</v>
      </c>
      <c r="J724">
        <v>207500</v>
      </c>
      <c r="K724">
        <v>210000</v>
      </c>
      <c r="L724">
        <v>201500</v>
      </c>
      <c r="M724">
        <v>671793</v>
      </c>
      <c r="N724">
        <v>137915887000</v>
      </c>
      <c r="O724">
        <v>230960969</v>
      </c>
      <c r="P724">
        <v>46885076707000</v>
      </c>
    </row>
    <row r="725" spans="1:16">
      <c r="A725" t="s">
        <v>39</v>
      </c>
      <c r="B725">
        <v>20260130</v>
      </c>
      <c r="C725">
        <v>68270</v>
      </c>
      <c r="D725" t="s">
        <v>40</v>
      </c>
      <c r="E725" t="s">
        <v>39</v>
      </c>
      <c r="F725" t="s">
        <v>17</v>
      </c>
      <c r="G725">
        <v>210000</v>
      </c>
      <c r="H725">
        <v>-4500</v>
      </c>
      <c r="I725">
        <v>-2.1</v>
      </c>
      <c r="J725">
        <v>213000</v>
      </c>
      <c r="K725">
        <v>215000</v>
      </c>
      <c r="L725">
        <v>210000</v>
      </c>
      <c r="M725">
        <v>712855</v>
      </c>
      <c r="N725">
        <v>150844209250</v>
      </c>
      <c r="O725">
        <v>230960969</v>
      </c>
      <c r="P725">
        <v>48501803490000</v>
      </c>
    </row>
    <row r="726" spans="1:16">
      <c r="A726" t="s">
        <v>39</v>
      </c>
      <c r="B726">
        <v>20260129</v>
      </c>
      <c r="C726">
        <v>68270</v>
      </c>
      <c r="D726" t="s">
        <v>40</v>
      </c>
      <c r="E726" t="s">
        <v>39</v>
      </c>
      <c r="F726" t="s">
        <v>17</v>
      </c>
      <c r="G726">
        <v>214500</v>
      </c>
      <c r="H726">
        <v>-4000</v>
      </c>
      <c r="I726">
        <v>-1.83</v>
      </c>
      <c r="J726">
        <v>216500</v>
      </c>
      <c r="K726">
        <v>217000</v>
      </c>
      <c r="L726">
        <v>211500</v>
      </c>
      <c r="M726">
        <v>801398</v>
      </c>
      <c r="N726">
        <v>171487605750</v>
      </c>
      <c r="O726">
        <v>230960969</v>
      </c>
      <c r="P726">
        <v>49541127850500</v>
      </c>
    </row>
    <row r="727" spans="1:16">
      <c r="A727" t="s">
        <v>39</v>
      </c>
      <c r="B727">
        <v>20260128</v>
      </c>
      <c r="C727">
        <v>68270</v>
      </c>
      <c r="D727" t="s">
        <v>40</v>
      </c>
      <c r="E727" t="s">
        <v>39</v>
      </c>
      <c r="F727" t="s">
        <v>17</v>
      </c>
      <c r="G727">
        <v>218500</v>
      </c>
      <c r="H727">
        <v>7000</v>
      </c>
      <c r="I727">
        <v>3.31</v>
      </c>
      <c r="J727">
        <v>212000</v>
      </c>
      <c r="K727">
        <v>222500</v>
      </c>
      <c r="L727">
        <v>210500</v>
      </c>
      <c r="M727">
        <v>1296733</v>
      </c>
      <c r="N727">
        <v>281444903250</v>
      </c>
      <c r="O727">
        <v>230960969</v>
      </c>
      <c r="P727">
        <v>50464971726500</v>
      </c>
    </row>
    <row r="728" spans="1:16">
      <c r="A728" t="s">
        <v>39</v>
      </c>
      <c r="B728">
        <v>20260127</v>
      </c>
      <c r="C728">
        <v>68270</v>
      </c>
      <c r="D728" t="s">
        <v>40</v>
      </c>
      <c r="E728" t="s">
        <v>39</v>
      </c>
      <c r="F728" t="s">
        <v>17</v>
      </c>
      <c r="G728">
        <v>211500</v>
      </c>
      <c r="H728">
        <v>-3500</v>
      </c>
      <c r="I728">
        <v>-1.63</v>
      </c>
      <c r="J728">
        <v>210000</v>
      </c>
      <c r="K728">
        <v>212500</v>
      </c>
      <c r="L728">
        <v>208500</v>
      </c>
      <c r="M728">
        <v>633332</v>
      </c>
      <c r="N728">
        <v>133240504250</v>
      </c>
      <c r="O728">
        <v>230960969</v>
      </c>
      <c r="P728">
        <v>48848244943500</v>
      </c>
    </row>
    <row r="729" spans="1:16">
      <c r="A729" t="s">
        <v>39</v>
      </c>
      <c r="B729">
        <v>20260126</v>
      </c>
      <c r="C729">
        <v>68270</v>
      </c>
      <c r="D729" t="s">
        <v>40</v>
      </c>
      <c r="E729" t="s">
        <v>39</v>
      </c>
      <c r="F729" t="s">
        <v>17</v>
      </c>
      <c r="G729">
        <v>215000</v>
      </c>
      <c r="H729">
        <v>3000</v>
      </c>
      <c r="I729">
        <v>1.42</v>
      </c>
      <c r="J729">
        <v>213500</v>
      </c>
      <c r="K729">
        <v>217000</v>
      </c>
      <c r="L729">
        <v>212000</v>
      </c>
      <c r="M729">
        <v>632230</v>
      </c>
      <c r="N729">
        <v>135138146000</v>
      </c>
      <c r="O729">
        <v>230960969</v>
      </c>
      <c r="P729">
        <v>49656608335000</v>
      </c>
    </row>
    <row r="730" spans="1:16">
      <c r="A730" t="s">
        <v>39</v>
      </c>
      <c r="B730">
        <v>20260123</v>
      </c>
      <c r="C730">
        <v>68270</v>
      </c>
      <c r="D730" t="s">
        <v>40</v>
      </c>
      <c r="E730" t="s">
        <v>39</v>
      </c>
      <c r="F730" t="s">
        <v>17</v>
      </c>
      <c r="G730">
        <v>212000</v>
      </c>
      <c r="H730">
        <v>4000</v>
      </c>
      <c r="I730">
        <v>1.92</v>
      </c>
      <c r="J730">
        <v>209000</v>
      </c>
      <c r="K730">
        <v>213500</v>
      </c>
      <c r="L730">
        <v>206500</v>
      </c>
      <c r="M730">
        <v>698933</v>
      </c>
      <c r="N730">
        <v>147206092000</v>
      </c>
      <c r="O730">
        <v>230960969</v>
      </c>
      <c r="P730">
        <v>48963725428000</v>
      </c>
    </row>
    <row r="731" spans="1:16">
      <c r="A731" t="s">
        <v>39</v>
      </c>
      <c r="B731">
        <v>20260122</v>
      </c>
      <c r="C731">
        <v>68270</v>
      </c>
      <c r="D731" t="s">
        <v>40</v>
      </c>
      <c r="E731" t="s">
        <v>39</v>
      </c>
      <c r="F731" t="s">
        <v>17</v>
      </c>
      <c r="G731">
        <v>208000</v>
      </c>
      <c r="H731">
        <v>4000</v>
      </c>
      <c r="I731">
        <v>1.96</v>
      </c>
      <c r="J731">
        <v>205500</v>
      </c>
      <c r="K731">
        <v>210000</v>
      </c>
      <c r="L731">
        <v>202500</v>
      </c>
      <c r="M731">
        <v>836396</v>
      </c>
      <c r="N731">
        <v>173358601000</v>
      </c>
      <c r="O731">
        <v>230960969</v>
      </c>
      <c r="P731">
        <v>48039881552000</v>
      </c>
    </row>
    <row r="732" spans="1:16">
      <c r="A732" t="s">
        <v>39</v>
      </c>
      <c r="B732">
        <v>20260121</v>
      </c>
      <c r="C732">
        <v>68270</v>
      </c>
      <c r="D732" t="s">
        <v>40</v>
      </c>
      <c r="E732" t="s">
        <v>39</v>
      </c>
      <c r="F732" t="s">
        <v>17</v>
      </c>
      <c r="G732">
        <v>204000</v>
      </c>
      <c r="H732">
        <v>-3000</v>
      </c>
      <c r="I732">
        <v>-1.45</v>
      </c>
      <c r="J732">
        <v>202500</v>
      </c>
      <c r="K732">
        <v>205000</v>
      </c>
      <c r="L732">
        <v>200500</v>
      </c>
      <c r="M732">
        <v>653811</v>
      </c>
      <c r="N732">
        <v>132577726500</v>
      </c>
      <c r="O732">
        <v>230960969</v>
      </c>
      <c r="P732">
        <v>47116037676000</v>
      </c>
    </row>
    <row r="733" spans="1:16">
      <c r="A733" t="s">
        <v>39</v>
      </c>
      <c r="B733">
        <v>20260120</v>
      </c>
      <c r="C733">
        <v>68270</v>
      </c>
      <c r="D733" t="s">
        <v>40</v>
      </c>
      <c r="E733" t="s">
        <v>39</v>
      </c>
      <c r="F733" t="s">
        <v>17</v>
      </c>
      <c r="G733">
        <v>207000</v>
      </c>
      <c r="H733">
        <v>500</v>
      </c>
      <c r="I733">
        <v>0.24</v>
      </c>
      <c r="J733">
        <v>208500</v>
      </c>
      <c r="K733">
        <v>210500</v>
      </c>
      <c r="L733">
        <v>207000</v>
      </c>
      <c r="M733">
        <v>504308</v>
      </c>
      <c r="N733">
        <v>105124246750</v>
      </c>
      <c r="O733">
        <v>230960969</v>
      </c>
      <c r="P733">
        <v>47808920583000</v>
      </c>
    </row>
    <row r="734" spans="1:16">
      <c r="A734" t="s">
        <v>39</v>
      </c>
      <c r="B734">
        <v>20260119</v>
      </c>
      <c r="C734">
        <v>68270</v>
      </c>
      <c r="D734" t="s">
        <v>40</v>
      </c>
      <c r="E734" t="s">
        <v>39</v>
      </c>
      <c r="F734" t="s">
        <v>17</v>
      </c>
      <c r="G734">
        <v>206500</v>
      </c>
      <c r="H734">
        <v>-2500</v>
      </c>
      <c r="I734">
        <v>-1.2</v>
      </c>
      <c r="J734">
        <v>207500</v>
      </c>
      <c r="K734">
        <v>209000</v>
      </c>
      <c r="L734">
        <v>205500</v>
      </c>
      <c r="M734">
        <v>541963</v>
      </c>
      <c r="N734">
        <v>112201691250</v>
      </c>
      <c r="O734">
        <v>230960969</v>
      </c>
      <c r="P734">
        <v>47693440098500</v>
      </c>
    </row>
    <row r="735" spans="1:16">
      <c r="A735" t="s">
        <v>39</v>
      </c>
      <c r="B735">
        <v>20260116</v>
      </c>
      <c r="C735">
        <v>68270</v>
      </c>
      <c r="D735" t="s">
        <v>40</v>
      </c>
      <c r="E735" t="s">
        <v>39</v>
      </c>
      <c r="F735" t="s">
        <v>17</v>
      </c>
      <c r="G735">
        <v>209000</v>
      </c>
      <c r="H735">
        <v>-1500</v>
      </c>
      <c r="I735">
        <v>-0.71</v>
      </c>
      <c r="J735">
        <v>210000</v>
      </c>
      <c r="K735">
        <v>212750</v>
      </c>
      <c r="L735">
        <v>205500</v>
      </c>
      <c r="M735">
        <v>667979</v>
      </c>
      <c r="N735">
        <v>139409314750</v>
      </c>
      <c r="O735">
        <v>230960969</v>
      </c>
      <c r="P735">
        <v>48270842521000</v>
      </c>
    </row>
    <row r="736" spans="1:16">
      <c r="A736" t="s">
        <v>39</v>
      </c>
      <c r="B736">
        <v>20260115</v>
      </c>
      <c r="C736">
        <v>68270</v>
      </c>
      <c r="D736" t="s">
        <v>40</v>
      </c>
      <c r="E736" t="s">
        <v>39</v>
      </c>
      <c r="F736" t="s">
        <v>17</v>
      </c>
      <c r="G736">
        <v>210500</v>
      </c>
      <c r="H736">
        <v>-1000</v>
      </c>
      <c r="I736">
        <v>-0.47</v>
      </c>
      <c r="J736">
        <v>210500</v>
      </c>
      <c r="K736">
        <v>212000</v>
      </c>
      <c r="L736">
        <v>208000</v>
      </c>
      <c r="M736">
        <v>608017</v>
      </c>
      <c r="N736">
        <v>127502172500</v>
      </c>
      <c r="O736">
        <v>230960969</v>
      </c>
      <c r="P736">
        <v>48617283974500</v>
      </c>
    </row>
    <row r="737" spans="1:16">
      <c r="A737" t="s">
        <v>39</v>
      </c>
      <c r="B737">
        <v>20260114</v>
      </c>
      <c r="C737">
        <v>68270</v>
      </c>
      <c r="D737" t="s">
        <v>40</v>
      </c>
      <c r="E737" t="s">
        <v>39</v>
      </c>
      <c r="F737" t="s">
        <v>17</v>
      </c>
      <c r="G737">
        <v>211500</v>
      </c>
      <c r="H737">
        <v>-9500</v>
      </c>
      <c r="I737">
        <v>-4.3</v>
      </c>
      <c r="J737">
        <v>222500</v>
      </c>
      <c r="K737">
        <v>222500</v>
      </c>
      <c r="L737">
        <v>209000</v>
      </c>
      <c r="M737">
        <v>970514</v>
      </c>
      <c r="N737">
        <v>207846770750</v>
      </c>
      <c r="O737">
        <v>230960969</v>
      </c>
      <c r="P737">
        <v>48848244943500</v>
      </c>
    </row>
    <row r="738" spans="1:16">
      <c r="A738" t="s">
        <v>39</v>
      </c>
      <c r="B738">
        <v>20260113</v>
      </c>
      <c r="C738">
        <v>68270</v>
      </c>
      <c r="D738" t="s">
        <v>40</v>
      </c>
      <c r="E738" t="s">
        <v>39</v>
      </c>
      <c r="F738" t="s">
        <v>17</v>
      </c>
      <c r="G738">
        <v>221000</v>
      </c>
      <c r="H738">
        <v>7000</v>
      </c>
      <c r="I738">
        <v>3.27</v>
      </c>
      <c r="J738">
        <v>217000</v>
      </c>
      <c r="K738">
        <v>221000</v>
      </c>
      <c r="L738">
        <v>214500</v>
      </c>
      <c r="M738">
        <v>959413</v>
      </c>
      <c r="N738">
        <v>209934997750</v>
      </c>
      <c r="O738">
        <v>230960969</v>
      </c>
      <c r="P738">
        <v>51042374149000</v>
      </c>
    </row>
    <row r="739" spans="1:16">
      <c r="A739" t="s">
        <v>39</v>
      </c>
      <c r="B739">
        <v>20260112</v>
      </c>
      <c r="C739">
        <v>68270</v>
      </c>
      <c r="D739" t="s">
        <v>40</v>
      </c>
      <c r="E739" t="s">
        <v>39</v>
      </c>
      <c r="F739" t="s">
        <v>17</v>
      </c>
      <c r="G739">
        <v>214000</v>
      </c>
      <c r="H739">
        <v>-3000</v>
      </c>
      <c r="I739">
        <v>-1.38</v>
      </c>
      <c r="J739">
        <v>220000</v>
      </c>
      <c r="K739">
        <v>220000</v>
      </c>
      <c r="L739">
        <v>212250</v>
      </c>
      <c r="M739">
        <v>692701</v>
      </c>
      <c r="N739">
        <v>149055968500</v>
      </c>
      <c r="O739">
        <v>230960969</v>
      </c>
      <c r="P739">
        <v>49425647366000</v>
      </c>
    </row>
    <row r="740" spans="1:16">
      <c r="A740" t="s">
        <v>39</v>
      </c>
      <c r="B740">
        <v>20260109</v>
      </c>
      <c r="C740">
        <v>68270</v>
      </c>
      <c r="D740" t="s">
        <v>40</v>
      </c>
      <c r="E740" t="s">
        <v>39</v>
      </c>
      <c r="F740" t="s">
        <v>17</v>
      </c>
      <c r="G740">
        <v>217000</v>
      </c>
      <c r="H740">
        <v>4000</v>
      </c>
      <c r="I740">
        <v>1.88</v>
      </c>
      <c r="J740">
        <v>212000</v>
      </c>
      <c r="K740">
        <v>217000</v>
      </c>
      <c r="L740">
        <v>209500</v>
      </c>
      <c r="M740">
        <v>775689</v>
      </c>
      <c r="N740">
        <v>166034576500</v>
      </c>
      <c r="O740">
        <v>230960969</v>
      </c>
      <c r="P740">
        <v>50118530273000</v>
      </c>
    </row>
    <row r="741" spans="1:16">
      <c r="A741" t="s">
        <v>39</v>
      </c>
      <c r="B741">
        <v>20260108</v>
      </c>
      <c r="C741">
        <v>68270</v>
      </c>
      <c r="D741" t="s">
        <v>40</v>
      </c>
      <c r="E741" t="s">
        <v>39</v>
      </c>
      <c r="F741" t="s">
        <v>17</v>
      </c>
      <c r="G741">
        <v>213000</v>
      </c>
      <c r="H741">
        <v>2000</v>
      </c>
      <c r="I741">
        <v>0.95</v>
      </c>
      <c r="J741">
        <v>215000</v>
      </c>
      <c r="K741">
        <v>215500</v>
      </c>
      <c r="L741">
        <v>207500</v>
      </c>
      <c r="M741">
        <v>967341</v>
      </c>
      <c r="N741">
        <v>204451458750</v>
      </c>
      <c r="O741">
        <v>230960969</v>
      </c>
      <c r="P741">
        <v>49194686397000</v>
      </c>
    </row>
    <row r="742" spans="1:16">
      <c r="A742" t="s">
        <v>39</v>
      </c>
      <c r="B742">
        <v>20260107</v>
      </c>
      <c r="C742">
        <v>68270</v>
      </c>
      <c r="D742" t="s">
        <v>40</v>
      </c>
      <c r="E742" t="s">
        <v>39</v>
      </c>
      <c r="F742" t="s">
        <v>17</v>
      </c>
      <c r="G742">
        <v>211000</v>
      </c>
      <c r="H742">
        <v>-2000</v>
      </c>
      <c r="I742">
        <v>-0.94</v>
      </c>
      <c r="J742">
        <v>211000</v>
      </c>
      <c r="K742">
        <v>213500</v>
      </c>
      <c r="L742">
        <v>202500</v>
      </c>
      <c r="M742">
        <v>1303235</v>
      </c>
      <c r="N742">
        <v>271463978000</v>
      </c>
      <c r="O742">
        <v>230960969</v>
      </c>
      <c r="P742">
        <v>48732764459000</v>
      </c>
    </row>
    <row r="743" spans="1:16">
      <c r="A743" t="s">
        <v>39</v>
      </c>
      <c r="B743">
        <v>20260106</v>
      </c>
      <c r="C743">
        <v>68270</v>
      </c>
      <c r="D743" t="s">
        <v>40</v>
      </c>
      <c r="E743" t="s">
        <v>39</v>
      </c>
      <c r="F743" t="s">
        <v>17</v>
      </c>
      <c r="G743">
        <v>213000</v>
      </c>
      <c r="H743">
        <v>3500</v>
      </c>
      <c r="I743">
        <v>1.67</v>
      </c>
      <c r="J743">
        <v>208000</v>
      </c>
      <c r="K743">
        <v>215500</v>
      </c>
      <c r="L743">
        <v>207000</v>
      </c>
      <c r="M743">
        <v>1353746</v>
      </c>
      <c r="N743">
        <v>287359064250</v>
      </c>
      <c r="O743">
        <v>230960969</v>
      </c>
      <c r="P743">
        <v>49194686397000</v>
      </c>
    </row>
    <row r="744" spans="1:16">
      <c r="A744" t="s">
        <v>39</v>
      </c>
      <c r="B744">
        <v>20260105</v>
      </c>
      <c r="C744">
        <v>68270</v>
      </c>
      <c r="D744" t="s">
        <v>40</v>
      </c>
      <c r="E744" t="s">
        <v>39</v>
      </c>
      <c r="F744" t="s">
        <v>17</v>
      </c>
      <c r="G744">
        <v>209500</v>
      </c>
      <c r="H744">
        <v>7000</v>
      </c>
      <c r="I744">
        <v>3.46</v>
      </c>
      <c r="J744">
        <v>202500</v>
      </c>
      <c r="K744">
        <v>212000</v>
      </c>
      <c r="L744">
        <v>200500</v>
      </c>
      <c r="M744">
        <v>1821440</v>
      </c>
      <c r="N744">
        <v>377890852000</v>
      </c>
      <c r="O744">
        <v>230960969</v>
      </c>
      <c r="P744">
        <v>48386323005500</v>
      </c>
    </row>
    <row r="745" spans="1:16">
      <c r="A745" t="s">
        <v>39</v>
      </c>
      <c r="B745">
        <v>20260102</v>
      </c>
      <c r="C745">
        <v>68270</v>
      </c>
      <c r="D745" t="s">
        <v>40</v>
      </c>
      <c r="E745" t="s">
        <v>39</v>
      </c>
      <c r="F745" t="s">
        <v>17</v>
      </c>
      <c r="G745">
        <v>202500</v>
      </c>
      <c r="H745">
        <v>21500</v>
      </c>
      <c r="I745">
        <v>11.88</v>
      </c>
      <c r="J745">
        <v>188800</v>
      </c>
      <c r="K745">
        <v>204500</v>
      </c>
      <c r="L745">
        <v>188600</v>
      </c>
      <c r="M745">
        <v>3440514</v>
      </c>
      <c r="N745">
        <v>683910250850</v>
      </c>
      <c r="O745">
        <v>230960969</v>
      </c>
      <c r="P745">
        <v>46769596222500</v>
      </c>
    </row>
    <row r="746" spans="1:16">
      <c r="A746" t="s">
        <v>41</v>
      </c>
      <c r="B746">
        <v>20260403</v>
      </c>
      <c r="C746">
        <v>32830</v>
      </c>
      <c r="D746" t="s">
        <v>42</v>
      </c>
      <c r="E746" t="s">
        <v>41</v>
      </c>
      <c r="F746" t="s">
        <v>17</v>
      </c>
      <c r="G746">
        <v>221000</v>
      </c>
      <c r="H746">
        <v>4000</v>
      </c>
      <c r="I746">
        <v>1.84</v>
      </c>
      <c r="J746">
        <v>223000</v>
      </c>
      <c r="K746">
        <v>227000</v>
      </c>
      <c r="L746">
        <v>220000</v>
      </c>
      <c r="M746">
        <v>141907</v>
      </c>
      <c r="N746">
        <v>31538178750</v>
      </c>
      <c r="O746">
        <v>200000000</v>
      </c>
      <c r="P746">
        <v>44200000000000</v>
      </c>
    </row>
    <row r="747" spans="1:16">
      <c r="A747" t="s">
        <v>41</v>
      </c>
      <c r="B747">
        <v>20260402</v>
      </c>
      <c r="C747">
        <v>32830</v>
      </c>
      <c r="D747" t="s">
        <v>42</v>
      </c>
      <c r="E747" t="s">
        <v>41</v>
      </c>
      <c r="F747" t="s">
        <v>17</v>
      </c>
      <c r="G747">
        <v>217000</v>
      </c>
      <c r="H747">
        <v>-10000</v>
      </c>
      <c r="I747">
        <v>-4.41</v>
      </c>
      <c r="J747">
        <v>228500</v>
      </c>
      <c r="K747">
        <v>231500</v>
      </c>
      <c r="L747">
        <v>214000</v>
      </c>
      <c r="M747">
        <v>351480</v>
      </c>
      <c r="N747">
        <v>77523679750</v>
      </c>
      <c r="O747">
        <v>200000000</v>
      </c>
      <c r="P747">
        <v>43400000000000</v>
      </c>
    </row>
    <row r="748" spans="1:16">
      <c r="A748" t="s">
        <v>41</v>
      </c>
      <c r="B748">
        <v>20260401</v>
      </c>
      <c r="C748">
        <v>32830</v>
      </c>
      <c r="D748" t="s">
        <v>42</v>
      </c>
      <c r="E748" t="s">
        <v>41</v>
      </c>
      <c r="F748" t="s">
        <v>17</v>
      </c>
      <c r="G748">
        <v>227000</v>
      </c>
      <c r="H748">
        <v>16500</v>
      </c>
      <c r="I748">
        <v>7.84</v>
      </c>
      <c r="J748">
        <v>228000</v>
      </c>
      <c r="K748">
        <v>229500</v>
      </c>
      <c r="L748">
        <v>220000</v>
      </c>
      <c r="M748">
        <v>381511</v>
      </c>
      <c r="N748">
        <v>86324878282</v>
      </c>
      <c r="O748">
        <v>200000000</v>
      </c>
      <c r="P748">
        <v>45400000000000</v>
      </c>
    </row>
    <row r="749" spans="1:16">
      <c r="A749" t="s">
        <v>41</v>
      </c>
      <c r="B749">
        <v>20260331</v>
      </c>
      <c r="C749">
        <v>32830</v>
      </c>
      <c r="D749" t="s">
        <v>42</v>
      </c>
      <c r="E749" t="s">
        <v>41</v>
      </c>
      <c r="F749" t="s">
        <v>17</v>
      </c>
      <c r="G749">
        <v>210500</v>
      </c>
      <c r="H749">
        <v>-9000</v>
      </c>
      <c r="I749">
        <v>-4.0999999999999996</v>
      </c>
      <c r="J749">
        <v>213000</v>
      </c>
      <c r="K749">
        <v>217500</v>
      </c>
      <c r="L749">
        <v>208000</v>
      </c>
      <c r="M749">
        <v>347780</v>
      </c>
      <c r="N749">
        <v>73777905250</v>
      </c>
      <c r="O749">
        <v>200000000</v>
      </c>
      <c r="P749">
        <v>42100000000000</v>
      </c>
    </row>
    <row r="750" spans="1:16">
      <c r="A750" t="s">
        <v>41</v>
      </c>
      <c r="B750">
        <v>20260330</v>
      </c>
      <c r="C750">
        <v>32830</v>
      </c>
      <c r="D750" t="s">
        <v>42</v>
      </c>
      <c r="E750" t="s">
        <v>41</v>
      </c>
      <c r="F750" t="s">
        <v>17</v>
      </c>
      <c r="G750">
        <v>219500</v>
      </c>
      <c r="H750">
        <v>-3500</v>
      </c>
      <c r="I750">
        <v>-1.57</v>
      </c>
      <c r="J750">
        <v>209500</v>
      </c>
      <c r="K750">
        <v>221000</v>
      </c>
      <c r="L750">
        <v>209000</v>
      </c>
      <c r="M750">
        <v>286890</v>
      </c>
      <c r="N750">
        <v>62337311000</v>
      </c>
      <c r="O750">
        <v>200000000</v>
      </c>
      <c r="P750">
        <v>43900000000000</v>
      </c>
    </row>
    <row r="751" spans="1:16">
      <c r="A751" t="s">
        <v>41</v>
      </c>
      <c r="B751">
        <v>20260327</v>
      </c>
      <c r="C751">
        <v>32830</v>
      </c>
      <c r="D751" t="s">
        <v>42</v>
      </c>
      <c r="E751" t="s">
        <v>41</v>
      </c>
      <c r="F751" t="s">
        <v>17</v>
      </c>
      <c r="G751">
        <v>223000</v>
      </c>
      <c r="H751">
        <v>1000</v>
      </c>
      <c r="I751">
        <v>0.45</v>
      </c>
      <c r="J751">
        <v>218000</v>
      </c>
      <c r="K751">
        <v>224500</v>
      </c>
      <c r="L751">
        <v>215000</v>
      </c>
      <c r="M751">
        <v>310598</v>
      </c>
      <c r="N751">
        <v>68418985000</v>
      </c>
      <c r="O751">
        <v>200000000</v>
      </c>
      <c r="P751">
        <v>44600000000000</v>
      </c>
    </row>
    <row r="752" spans="1:16">
      <c r="A752" t="s">
        <v>41</v>
      </c>
      <c r="B752">
        <v>20260326</v>
      </c>
      <c r="C752">
        <v>32830</v>
      </c>
      <c r="D752" t="s">
        <v>42</v>
      </c>
      <c r="E752" t="s">
        <v>41</v>
      </c>
      <c r="F752" t="s">
        <v>17</v>
      </c>
      <c r="G752">
        <v>222000</v>
      </c>
      <c r="H752">
        <v>-5500</v>
      </c>
      <c r="I752">
        <v>-2.42</v>
      </c>
      <c r="J752">
        <v>229000</v>
      </c>
      <c r="K752">
        <v>229000</v>
      </c>
      <c r="L752">
        <v>220500</v>
      </c>
      <c r="M752">
        <v>384833</v>
      </c>
      <c r="N752">
        <v>86343248750</v>
      </c>
      <c r="O752">
        <v>200000000</v>
      </c>
      <c r="P752">
        <v>44400000000000</v>
      </c>
    </row>
    <row r="753" spans="1:16">
      <c r="A753" t="s">
        <v>41</v>
      </c>
      <c r="B753">
        <v>20260325</v>
      </c>
      <c r="C753">
        <v>32830</v>
      </c>
      <c r="D753" t="s">
        <v>42</v>
      </c>
      <c r="E753" t="s">
        <v>41</v>
      </c>
      <c r="F753" t="s">
        <v>17</v>
      </c>
      <c r="G753">
        <v>227500</v>
      </c>
      <c r="H753">
        <v>5500</v>
      </c>
      <c r="I753">
        <v>2.48</v>
      </c>
      <c r="J753">
        <v>233000</v>
      </c>
      <c r="K753">
        <v>235500</v>
      </c>
      <c r="L753">
        <v>226000</v>
      </c>
      <c r="M753">
        <v>493421</v>
      </c>
      <c r="N753">
        <v>113121622250</v>
      </c>
      <c r="O753">
        <v>200000000</v>
      </c>
      <c r="P753">
        <v>45500000000000</v>
      </c>
    </row>
    <row r="754" spans="1:16">
      <c r="A754" t="s">
        <v>41</v>
      </c>
      <c r="B754">
        <v>20260324</v>
      </c>
      <c r="C754">
        <v>32830</v>
      </c>
      <c r="D754" t="s">
        <v>42</v>
      </c>
      <c r="E754" t="s">
        <v>41</v>
      </c>
      <c r="F754" t="s">
        <v>17</v>
      </c>
      <c r="G754">
        <v>222000</v>
      </c>
      <c r="H754">
        <v>4500</v>
      </c>
      <c r="I754">
        <v>2.0699999999999998</v>
      </c>
      <c r="J754">
        <v>228000</v>
      </c>
      <c r="K754">
        <v>228000</v>
      </c>
      <c r="L754">
        <v>213000</v>
      </c>
      <c r="M754">
        <v>312515</v>
      </c>
      <c r="N754">
        <v>69234938000</v>
      </c>
      <c r="O754">
        <v>200000000</v>
      </c>
      <c r="P754">
        <v>44400000000000</v>
      </c>
    </row>
    <row r="755" spans="1:16">
      <c r="A755" t="s">
        <v>41</v>
      </c>
      <c r="B755">
        <v>20260323</v>
      </c>
      <c r="C755">
        <v>32830</v>
      </c>
      <c r="D755" t="s">
        <v>42</v>
      </c>
      <c r="E755" t="s">
        <v>41</v>
      </c>
      <c r="F755" t="s">
        <v>17</v>
      </c>
      <c r="G755">
        <v>217500</v>
      </c>
      <c r="H755">
        <v>-14000</v>
      </c>
      <c r="I755">
        <v>-6.05</v>
      </c>
      <c r="J755">
        <v>225500</v>
      </c>
      <c r="K755">
        <v>225500</v>
      </c>
      <c r="L755">
        <v>214000</v>
      </c>
      <c r="M755">
        <v>481137</v>
      </c>
      <c r="N755">
        <v>105334096110</v>
      </c>
      <c r="O755">
        <v>200000000</v>
      </c>
      <c r="P755">
        <v>43500000000000</v>
      </c>
    </row>
    <row r="756" spans="1:16">
      <c r="A756" t="s">
        <v>41</v>
      </c>
      <c r="B756">
        <v>20260320</v>
      </c>
      <c r="C756">
        <v>32830</v>
      </c>
      <c r="D756" t="s">
        <v>42</v>
      </c>
      <c r="E756" t="s">
        <v>41</v>
      </c>
      <c r="F756" t="s">
        <v>17</v>
      </c>
      <c r="G756">
        <v>231500</v>
      </c>
      <c r="H756">
        <v>1000</v>
      </c>
      <c r="I756">
        <v>0.43</v>
      </c>
      <c r="J756">
        <v>232000</v>
      </c>
      <c r="K756">
        <v>232000</v>
      </c>
      <c r="L756">
        <v>220000</v>
      </c>
      <c r="M756">
        <v>569040</v>
      </c>
      <c r="N756">
        <v>129140447750</v>
      </c>
      <c r="O756">
        <v>200000000</v>
      </c>
      <c r="P756">
        <v>46300000000000</v>
      </c>
    </row>
    <row r="757" spans="1:16">
      <c r="A757" t="s">
        <v>41</v>
      </c>
      <c r="B757">
        <v>20260319</v>
      </c>
      <c r="C757">
        <v>32830</v>
      </c>
      <c r="D757" t="s">
        <v>42</v>
      </c>
      <c r="E757" t="s">
        <v>41</v>
      </c>
      <c r="F757" t="s">
        <v>17</v>
      </c>
      <c r="G757">
        <v>230500</v>
      </c>
      <c r="H757">
        <v>-4500</v>
      </c>
      <c r="I757">
        <v>-1.91</v>
      </c>
      <c r="J757">
        <v>229500</v>
      </c>
      <c r="K757">
        <v>237000</v>
      </c>
      <c r="L757">
        <v>227500</v>
      </c>
      <c r="M757">
        <v>234935</v>
      </c>
      <c r="N757">
        <v>54622940750</v>
      </c>
      <c r="O757">
        <v>200000000</v>
      </c>
      <c r="P757">
        <v>46100000000000</v>
      </c>
    </row>
    <row r="758" spans="1:16">
      <c r="A758" t="s">
        <v>41</v>
      </c>
      <c r="B758">
        <v>20260318</v>
      </c>
      <c r="C758">
        <v>32830</v>
      </c>
      <c r="D758" t="s">
        <v>42</v>
      </c>
      <c r="E758" t="s">
        <v>41</v>
      </c>
      <c r="F758" t="s">
        <v>17</v>
      </c>
      <c r="G758">
        <v>235000</v>
      </c>
      <c r="H758">
        <v>18000</v>
      </c>
      <c r="I758">
        <v>8.2899999999999991</v>
      </c>
      <c r="J758">
        <v>228500</v>
      </c>
      <c r="K758">
        <v>245500</v>
      </c>
      <c r="L758">
        <v>225000</v>
      </c>
      <c r="M758">
        <v>598488</v>
      </c>
      <c r="N758">
        <v>143554745500</v>
      </c>
      <c r="O758">
        <v>200000000</v>
      </c>
      <c r="P758">
        <v>47000000000000</v>
      </c>
    </row>
    <row r="759" spans="1:16">
      <c r="A759" t="s">
        <v>41</v>
      </c>
      <c r="B759">
        <v>20260317</v>
      </c>
      <c r="C759">
        <v>32830</v>
      </c>
      <c r="D759" t="s">
        <v>42</v>
      </c>
      <c r="E759" t="s">
        <v>41</v>
      </c>
      <c r="F759" t="s">
        <v>17</v>
      </c>
      <c r="G759">
        <v>217000</v>
      </c>
      <c r="H759">
        <v>5000</v>
      </c>
      <c r="I759">
        <v>2.36</v>
      </c>
      <c r="J759">
        <v>217500</v>
      </c>
      <c r="K759">
        <v>221000</v>
      </c>
      <c r="L759">
        <v>214000</v>
      </c>
      <c r="M759">
        <v>208804</v>
      </c>
      <c r="N759">
        <v>45436913090</v>
      </c>
      <c r="O759">
        <v>200000000</v>
      </c>
      <c r="P759">
        <v>43400000000000</v>
      </c>
    </row>
    <row r="760" spans="1:16">
      <c r="A760" t="s">
        <v>41</v>
      </c>
      <c r="B760">
        <v>20260316</v>
      </c>
      <c r="C760">
        <v>32830</v>
      </c>
      <c r="D760" t="s">
        <v>42</v>
      </c>
      <c r="E760" t="s">
        <v>41</v>
      </c>
      <c r="F760" t="s">
        <v>17</v>
      </c>
      <c r="G760">
        <v>212000</v>
      </c>
      <c r="H760">
        <v>-4000</v>
      </c>
      <c r="I760">
        <v>-1.85</v>
      </c>
      <c r="J760">
        <v>213500</v>
      </c>
      <c r="K760">
        <v>217500</v>
      </c>
      <c r="L760">
        <v>209500</v>
      </c>
      <c r="M760">
        <v>236922</v>
      </c>
      <c r="N760">
        <v>50510764486</v>
      </c>
      <c r="O760">
        <v>200000000</v>
      </c>
      <c r="P760">
        <v>42400000000000</v>
      </c>
    </row>
    <row r="761" spans="1:16">
      <c r="A761" t="s">
        <v>41</v>
      </c>
      <c r="B761">
        <v>20260313</v>
      </c>
      <c r="C761">
        <v>32830</v>
      </c>
      <c r="D761" t="s">
        <v>42</v>
      </c>
      <c r="E761" t="s">
        <v>41</v>
      </c>
      <c r="F761" t="s">
        <v>17</v>
      </c>
      <c r="G761">
        <v>216000</v>
      </c>
      <c r="H761">
        <v>-2500</v>
      </c>
      <c r="I761">
        <v>-1.1399999999999999</v>
      </c>
      <c r="J761">
        <v>209000</v>
      </c>
      <c r="K761">
        <v>219000</v>
      </c>
      <c r="L761">
        <v>208500</v>
      </c>
      <c r="M761">
        <v>436847</v>
      </c>
      <c r="N761">
        <v>94020534650</v>
      </c>
      <c r="O761">
        <v>200000000</v>
      </c>
      <c r="P761">
        <v>43200000000000</v>
      </c>
    </row>
    <row r="762" spans="1:16">
      <c r="A762" t="s">
        <v>41</v>
      </c>
      <c r="B762">
        <v>20260312</v>
      </c>
      <c r="C762">
        <v>32830</v>
      </c>
      <c r="D762" t="s">
        <v>42</v>
      </c>
      <c r="E762" t="s">
        <v>41</v>
      </c>
      <c r="F762" t="s">
        <v>17</v>
      </c>
      <c r="G762">
        <v>218500</v>
      </c>
      <c r="H762">
        <v>-8000</v>
      </c>
      <c r="I762">
        <v>-3.53</v>
      </c>
      <c r="J762">
        <v>226500</v>
      </c>
      <c r="K762">
        <v>226500</v>
      </c>
      <c r="L762">
        <v>216500</v>
      </c>
      <c r="M762">
        <v>526197</v>
      </c>
      <c r="N762">
        <v>115250834640</v>
      </c>
      <c r="O762">
        <v>200000000</v>
      </c>
      <c r="P762">
        <v>43700000000000</v>
      </c>
    </row>
    <row r="763" spans="1:16">
      <c r="A763" t="s">
        <v>41</v>
      </c>
      <c r="B763">
        <v>20260311</v>
      </c>
      <c r="C763">
        <v>32830</v>
      </c>
      <c r="D763" t="s">
        <v>42</v>
      </c>
      <c r="E763" t="s">
        <v>41</v>
      </c>
      <c r="F763" t="s">
        <v>17</v>
      </c>
      <c r="G763">
        <v>226500</v>
      </c>
      <c r="H763">
        <v>15000</v>
      </c>
      <c r="I763">
        <v>7.09</v>
      </c>
      <c r="J763">
        <v>223000</v>
      </c>
      <c r="K763">
        <v>232000</v>
      </c>
      <c r="L763">
        <v>220500</v>
      </c>
      <c r="M763">
        <v>520055</v>
      </c>
      <c r="N763">
        <v>117659744000</v>
      </c>
      <c r="O763">
        <v>200000000</v>
      </c>
      <c r="P763">
        <v>45300000000000</v>
      </c>
    </row>
    <row r="764" spans="1:16">
      <c r="A764" t="s">
        <v>41</v>
      </c>
      <c r="B764">
        <v>20260310</v>
      </c>
      <c r="C764">
        <v>32830</v>
      </c>
      <c r="D764" t="s">
        <v>42</v>
      </c>
      <c r="E764" t="s">
        <v>41</v>
      </c>
      <c r="F764" t="s">
        <v>17</v>
      </c>
      <c r="G764">
        <v>211500</v>
      </c>
      <c r="H764">
        <v>11000</v>
      </c>
      <c r="I764">
        <v>5.49</v>
      </c>
      <c r="J764">
        <v>213000</v>
      </c>
      <c r="K764">
        <v>215000</v>
      </c>
      <c r="L764">
        <v>206000</v>
      </c>
      <c r="M764">
        <v>255956</v>
      </c>
      <c r="N764">
        <v>54001245250</v>
      </c>
      <c r="O764">
        <v>200000000</v>
      </c>
      <c r="P764">
        <v>42300000000000</v>
      </c>
    </row>
    <row r="765" spans="1:16">
      <c r="A765" t="s">
        <v>41</v>
      </c>
      <c r="B765">
        <v>20260309</v>
      </c>
      <c r="C765">
        <v>32830</v>
      </c>
      <c r="D765" t="s">
        <v>42</v>
      </c>
      <c r="E765" t="s">
        <v>41</v>
      </c>
      <c r="F765" t="s">
        <v>17</v>
      </c>
      <c r="G765">
        <v>200500</v>
      </c>
      <c r="H765">
        <v>-9500</v>
      </c>
      <c r="I765">
        <v>-4.5199999999999996</v>
      </c>
      <c r="J765">
        <v>192000</v>
      </c>
      <c r="K765">
        <v>200500</v>
      </c>
      <c r="L765">
        <v>190500</v>
      </c>
      <c r="M765">
        <v>339266</v>
      </c>
      <c r="N765">
        <v>66279510950</v>
      </c>
      <c r="O765">
        <v>200000000</v>
      </c>
      <c r="P765">
        <v>40100000000000</v>
      </c>
    </row>
    <row r="766" spans="1:16">
      <c r="A766" t="s">
        <v>41</v>
      </c>
      <c r="B766">
        <v>20260306</v>
      </c>
      <c r="C766">
        <v>32830</v>
      </c>
      <c r="D766" t="s">
        <v>42</v>
      </c>
      <c r="E766" t="s">
        <v>41</v>
      </c>
      <c r="F766" t="s">
        <v>17</v>
      </c>
      <c r="G766">
        <v>210000</v>
      </c>
      <c r="H766">
        <v>-4000</v>
      </c>
      <c r="I766">
        <v>-1.87</v>
      </c>
      <c r="J766">
        <v>203500</v>
      </c>
      <c r="K766">
        <v>211750</v>
      </c>
      <c r="L766">
        <v>201000</v>
      </c>
      <c r="M766">
        <v>353025</v>
      </c>
      <c r="N766">
        <v>73267035730</v>
      </c>
      <c r="O766">
        <v>200000000</v>
      </c>
      <c r="P766">
        <v>42000000000000</v>
      </c>
    </row>
    <row r="767" spans="1:16">
      <c r="A767" t="s">
        <v>41</v>
      </c>
      <c r="B767">
        <v>20260305</v>
      </c>
      <c r="C767">
        <v>32830</v>
      </c>
      <c r="D767" t="s">
        <v>42</v>
      </c>
      <c r="E767" t="s">
        <v>41</v>
      </c>
      <c r="F767" t="s">
        <v>17</v>
      </c>
      <c r="G767">
        <v>214000</v>
      </c>
      <c r="H767">
        <v>16500</v>
      </c>
      <c r="I767">
        <v>8.35</v>
      </c>
      <c r="J767">
        <v>212000</v>
      </c>
      <c r="K767">
        <v>219500</v>
      </c>
      <c r="L767">
        <v>205500</v>
      </c>
      <c r="M767">
        <v>542592</v>
      </c>
      <c r="N767">
        <v>116209853250</v>
      </c>
      <c r="O767">
        <v>200000000</v>
      </c>
      <c r="P767">
        <v>42800000000000</v>
      </c>
    </row>
    <row r="768" spans="1:16">
      <c r="A768" t="s">
        <v>41</v>
      </c>
      <c r="B768">
        <v>20260304</v>
      </c>
      <c r="C768">
        <v>32830</v>
      </c>
      <c r="D768" t="s">
        <v>42</v>
      </c>
      <c r="E768" t="s">
        <v>41</v>
      </c>
      <c r="F768" t="s">
        <v>17</v>
      </c>
      <c r="G768">
        <v>197500</v>
      </c>
      <c r="H768">
        <v>-24000</v>
      </c>
      <c r="I768">
        <v>-10.84</v>
      </c>
      <c r="J768">
        <v>215000</v>
      </c>
      <c r="K768">
        <v>215500</v>
      </c>
      <c r="L768">
        <v>196100</v>
      </c>
      <c r="M768">
        <v>624203</v>
      </c>
      <c r="N768">
        <v>126997805800</v>
      </c>
      <c r="O768">
        <v>200000000</v>
      </c>
      <c r="P768">
        <v>39500000000000</v>
      </c>
    </row>
    <row r="769" spans="1:16">
      <c r="A769" t="s">
        <v>41</v>
      </c>
      <c r="B769">
        <v>20260303</v>
      </c>
      <c r="C769">
        <v>32830</v>
      </c>
      <c r="D769" t="s">
        <v>42</v>
      </c>
      <c r="E769" t="s">
        <v>41</v>
      </c>
      <c r="F769" t="s">
        <v>17</v>
      </c>
      <c r="G769">
        <v>221500</v>
      </c>
      <c r="H769">
        <v>-8500</v>
      </c>
      <c r="I769">
        <v>-3.7</v>
      </c>
      <c r="J769">
        <v>221000</v>
      </c>
      <c r="K769">
        <v>236250</v>
      </c>
      <c r="L769">
        <v>220000</v>
      </c>
      <c r="M769">
        <v>633693</v>
      </c>
      <c r="N769">
        <v>143555736000</v>
      </c>
      <c r="O769">
        <v>200000000</v>
      </c>
      <c r="P769">
        <v>44300000000000</v>
      </c>
    </row>
    <row r="770" spans="1:16">
      <c r="A770" t="s">
        <v>41</v>
      </c>
      <c r="B770">
        <v>20260227</v>
      </c>
      <c r="C770">
        <v>32830</v>
      </c>
      <c r="D770" t="s">
        <v>42</v>
      </c>
      <c r="E770" t="s">
        <v>41</v>
      </c>
      <c r="F770" t="s">
        <v>17</v>
      </c>
      <c r="G770">
        <v>230000</v>
      </c>
      <c r="H770">
        <v>-9000</v>
      </c>
      <c r="I770">
        <v>-3.77</v>
      </c>
      <c r="J770">
        <v>240000</v>
      </c>
      <c r="K770">
        <v>241000</v>
      </c>
      <c r="L770">
        <v>227000</v>
      </c>
      <c r="M770">
        <v>672911</v>
      </c>
      <c r="N770">
        <v>156015121000</v>
      </c>
      <c r="O770">
        <v>200000000</v>
      </c>
      <c r="P770">
        <v>46000000000000</v>
      </c>
    </row>
    <row r="771" spans="1:16">
      <c r="A771" t="s">
        <v>41</v>
      </c>
      <c r="B771">
        <v>20260226</v>
      </c>
      <c r="C771">
        <v>32830</v>
      </c>
      <c r="D771" t="s">
        <v>42</v>
      </c>
      <c r="E771" t="s">
        <v>41</v>
      </c>
      <c r="F771" t="s">
        <v>17</v>
      </c>
      <c r="G771">
        <v>239000</v>
      </c>
      <c r="H771">
        <v>-7000</v>
      </c>
      <c r="I771">
        <v>-2.85</v>
      </c>
      <c r="J771">
        <v>239000</v>
      </c>
      <c r="K771">
        <v>243500</v>
      </c>
      <c r="L771">
        <v>232000</v>
      </c>
      <c r="M771">
        <v>906126</v>
      </c>
      <c r="N771">
        <v>215290259750</v>
      </c>
      <c r="O771">
        <v>200000000</v>
      </c>
      <c r="P771">
        <v>47800000000000</v>
      </c>
    </row>
    <row r="772" spans="1:16">
      <c r="A772" t="s">
        <v>41</v>
      </c>
      <c r="B772">
        <v>20260225</v>
      </c>
      <c r="C772">
        <v>32830</v>
      </c>
      <c r="D772" t="s">
        <v>42</v>
      </c>
      <c r="E772" t="s">
        <v>41</v>
      </c>
      <c r="F772" t="s">
        <v>17</v>
      </c>
      <c r="G772">
        <v>246000</v>
      </c>
      <c r="H772">
        <v>22000</v>
      </c>
      <c r="I772">
        <v>9.82</v>
      </c>
      <c r="J772">
        <v>229500</v>
      </c>
      <c r="K772">
        <v>259500</v>
      </c>
      <c r="L772">
        <v>224500</v>
      </c>
      <c r="M772">
        <v>838515</v>
      </c>
      <c r="N772">
        <v>204458127250</v>
      </c>
      <c r="O772">
        <v>200000000</v>
      </c>
      <c r="P772">
        <v>49200000000000</v>
      </c>
    </row>
    <row r="773" spans="1:16">
      <c r="A773" t="s">
        <v>41</v>
      </c>
      <c r="B773">
        <v>20260224</v>
      </c>
      <c r="C773">
        <v>32830</v>
      </c>
      <c r="D773" t="s">
        <v>42</v>
      </c>
      <c r="E773" t="s">
        <v>41</v>
      </c>
      <c r="F773" t="s">
        <v>17</v>
      </c>
      <c r="G773">
        <v>224000</v>
      </c>
      <c r="H773">
        <v>-8000</v>
      </c>
      <c r="I773">
        <v>-3.45</v>
      </c>
      <c r="J773">
        <v>235500</v>
      </c>
      <c r="K773">
        <v>235500</v>
      </c>
      <c r="L773">
        <v>220000</v>
      </c>
      <c r="M773">
        <v>498247</v>
      </c>
      <c r="N773">
        <v>111819482250</v>
      </c>
      <c r="O773">
        <v>200000000</v>
      </c>
      <c r="P773">
        <v>44800000000000</v>
      </c>
    </row>
    <row r="774" spans="1:16">
      <c r="A774" t="s">
        <v>41</v>
      </c>
      <c r="B774">
        <v>20260223</v>
      </c>
      <c r="C774">
        <v>32830</v>
      </c>
      <c r="D774" t="s">
        <v>42</v>
      </c>
      <c r="E774" t="s">
        <v>41</v>
      </c>
      <c r="F774" t="s">
        <v>17</v>
      </c>
      <c r="G774">
        <v>232000</v>
      </c>
      <c r="H774">
        <v>13000</v>
      </c>
      <c r="I774">
        <v>5.94</v>
      </c>
      <c r="J774">
        <v>246000</v>
      </c>
      <c r="K774">
        <v>252000</v>
      </c>
      <c r="L774">
        <v>227000</v>
      </c>
      <c r="M774">
        <v>1080275</v>
      </c>
      <c r="N774">
        <v>252677158500</v>
      </c>
      <c r="O774">
        <v>200000000</v>
      </c>
      <c r="P774">
        <v>46400000000000</v>
      </c>
    </row>
    <row r="775" spans="1:16">
      <c r="A775" t="s">
        <v>41</v>
      </c>
      <c r="B775">
        <v>20260220</v>
      </c>
      <c r="C775">
        <v>32830</v>
      </c>
      <c r="D775" t="s">
        <v>42</v>
      </c>
      <c r="E775" t="s">
        <v>41</v>
      </c>
      <c r="F775" t="s">
        <v>17</v>
      </c>
      <c r="G775">
        <v>219000</v>
      </c>
      <c r="H775">
        <v>10000</v>
      </c>
      <c r="I775">
        <v>4.78</v>
      </c>
      <c r="J775">
        <v>207500</v>
      </c>
      <c r="K775">
        <v>226500</v>
      </c>
      <c r="L775">
        <v>207500</v>
      </c>
      <c r="M775">
        <v>527945</v>
      </c>
      <c r="N775">
        <v>115352726500</v>
      </c>
      <c r="O775">
        <v>200000000</v>
      </c>
      <c r="P775">
        <v>43800000000000</v>
      </c>
    </row>
    <row r="776" spans="1:16">
      <c r="A776" t="s">
        <v>41</v>
      </c>
      <c r="B776">
        <v>20260219</v>
      </c>
      <c r="C776">
        <v>32830</v>
      </c>
      <c r="D776" t="s">
        <v>42</v>
      </c>
      <c r="E776" t="s">
        <v>41</v>
      </c>
      <c r="F776" t="s">
        <v>17</v>
      </c>
      <c r="G776">
        <v>209000</v>
      </c>
      <c r="H776">
        <v>3500</v>
      </c>
      <c r="I776">
        <v>1.7</v>
      </c>
      <c r="J776">
        <v>218000</v>
      </c>
      <c r="K776">
        <v>221000</v>
      </c>
      <c r="L776">
        <v>206000</v>
      </c>
      <c r="M776">
        <v>394865</v>
      </c>
      <c r="N776">
        <v>82858470460</v>
      </c>
      <c r="O776">
        <v>200000000</v>
      </c>
      <c r="P776">
        <v>41800000000000</v>
      </c>
    </row>
    <row r="777" spans="1:16">
      <c r="A777" t="s">
        <v>41</v>
      </c>
      <c r="B777">
        <v>20260213</v>
      </c>
      <c r="C777">
        <v>32830</v>
      </c>
      <c r="D777" t="s">
        <v>42</v>
      </c>
      <c r="E777" t="s">
        <v>41</v>
      </c>
      <c r="F777" t="s">
        <v>17</v>
      </c>
      <c r="G777">
        <v>205500</v>
      </c>
      <c r="H777">
        <v>500</v>
      </c>
      <c r="I777">
        <v>0.24</v>
      </c>
      <c r="J777">
        <v>203500</v>
      </c>
      <c r="K777">
        <v>214500</v>
      </c>
      <c r="L777">
        <v>203500</v>
      </c>
      <c r="M777">
        <v>275781</v>
      </c>
      <c r="N777">
        <v>57436107750</v>
      </c>
      <c r="O777">
        <v>200000000</v>
      </c>
      <c r="P777">
        <v>41100000000000</v>
      </c>
    </row>
    <row r="778" spans="1:16">
      <c r="A778" t="s">
        <v>41</v>
      </c>
      <c r="B778">
        <v>20260212</v>
      </c>
      <c r="C778">
        <v>32830</v>
      </c>
      <c r="D778" t="s">
        <v>42</v>
      </c>
      <c r="E778" t="s">
        <v>41</v>
      </c>
      <c r="F778" t="s">
        <v>17</v>
      </c>
      <c r="G778">
        <v>205000</v>
      </c>
      <c r="H778">
        <v>5000</v>
      </c>
      <c r="I778">
        <v>2.5</v>
      </c>
      <c r="J778">
        <v>205500</v>
      </c>
      <c r="K778">
        <v>207000</v>
      </c>
      <c r="L778">
        <v>201000</v>
      </c>
      <c r="M778">
        <v>319058</v>
      </c>
      <c r="N778">
        <v>65256668500</v>
      </c>
      <c r="O778">
        <v>200000000</v>
      </c>
      <c r="P778">
        <v>41000000000000</v>
      </c>
    </row>
    <row r="779" spans="1:16">
      <c r="A779" t="s">
        <v>41</v>
      </c>
      <c r="B779">
        <v>20260211</v>
      </c>
      <c r="C779">
        <v>32830</v>
      </c>
      <c r="D779" t="s">
        <v>42</v>
      </c>
      <c r="E779" t="s">
        <v>41</v>
      </c>
      <c r="F779" t="s">
        <v>17</v>
      </c>
      <c r="G779">
        <v>200000</v>
      </c>
      <c r="H779">
        <v>2300</v>
      </c>
      <c r="I779">
        <v>1.1599999999999999</v>
      </c>
      <c r="J779">
        <v>200500</v>
      </c>
      <c r="K779">
        <v>201500</v>
      </c>
      <c r="L779">
        <v>197600</v>
      </c>
      <c r="M779">
        <v>248463</v>
      </c>
      <c r="N779">
        <v>49669932904</v>
      </c>
      <c r="O779">
        <v>200000000</v>
      </c>
      <c r="P779">
        <v>40000000000000</v>
      </c>
    </row>
    <row r="780" spans="1:16">
      <c r="A780" t="s">
        <v>41</v>
      </c>
      <c r="B780">
        <v>20260210</v>
      </c>
      <c r="C780">
        <v>32830</v>
      </c>
      <c r="D780" t="s">
        <v>42</v>
      </c>
      <c r="E780" t="s">
        <v>41</v>
      </c>
      <c r="F780" t="s">
        <v>17</v>
      </c>
      <c r="G780">
        <v>197700</v>
      </c>
      <c r="H780">
        <v>4700</v>
      </c>
      <c r="I780">
        <v>2.44</v>
      </c>
      <c r="J780">
        <v>200000</v>
      </c>
      <c r="K780">
        <v>200500</v>
      </c>
      <c r="L780">
        <v>194900</v>
      </c>
      <c r="M780">
        <v>347107</v>
      </c>
      <c r="N780">
        <v>68901933100</v>
      </c>
      <c r="O780">
        <v>200000000</v>
      </c>
      <c r="P780">
        <v>39540000000000</v>
      </c>
    </row>
    <row r="781" spans="1:16">
      <c r="A781" t="s">
        <v>41</v>
      </c>
      <c r="B781">
        <v>20260209</v>
      </c>
      <c r="C781">
        <v>32830</v>
      </c>
      <c r="D781" t="s">
        <v>42</v>
      </c>
      <c r="E781" t="s">
        <v>41</v>
      </c>
      <c r="F781" t="s">
        <v>17</v>
      </c>
      <c r="G781">
        <v>193000</v>
      </c>
      <c r="H781">
        <v>8700</v>
      </c>
      <c r="I781">
        <v>4.72</v>
      </c>
      <c r="J781">
        <v>192000</v>
      </c>
      <c r="K781">
        <v>196100</v>
      </c>
      <c r="L781">
        <v>190500</v>
      </c>
      <c r="M781">
        <v>324928</v>
      </c>
      <c r="N781">
        <v>62753126250</v>
      </c>
      <c r="O781">
        <v>200000000</v>
      </c>
      <c r="P781">
        <v>38600000000000</v>
      </c>
    </row>
    <row r="782" spans="1:16">
      <c r="A782" t="s">
        <v>41</v>
      </c>
      <c r="B782">
        <v>20260206</v>
      </c>
      <c r="C782">
        <v>32830</v>
      </c>
      <c r="D782" t="s">
        <v>42</v>
      </c>
      <c r="E782" t="s">
        <v>41</v>
      </c>
      <c r="F782" t="s">
        <v>17</v>
      </c>
      <c r="G782">
        <v>184300</v>
      </c>
      <c r="H782">
        <v>-7400</v>
      </c>
      <c r="I782">
        <v>-3.86</v>
      </c>
      <c r="J782">
        <v>185100</v>
      </c>
      <c r="K782">
        <v>187000</v>
      </c>
      <c r="L782">
        <v>180800</v>
      </c>
      <c r="M782">
        <v>344188</v>
      </c>
      <c r="N782">
        <v>63191639277</v>
      </c>
      <c r="O782">
        <v>200000000</v>
      </c>
      <c r="P782">
        <v>36860000000000</v>
      </c>
    </row>
    <row r="783" spans="1:16">
      <c r="A783" t="s">
        <v>41</v>
      </c>
      <c r="B783">
        <v>20260205</v>
      </c>
      <c r="C783">
        <v>32830</v>
      </c>
      <c r="D783" t="s">
        <v>42</v>
      </c>
      <c r="E783" t="s">
        <v>41</v>
      </c>
      <c r="F783" t="s">
        <v>17</v>
      </c>
      <c r="G783">
        <v>191700</v>
      </c>
      <c r="H783">
        <v>-5800</v>
      </c>
      <c r="I783">
        <v>-2.94</v>
      </c>
      <c r="J783">
        <v>195400</v>
      </c>
      <c r="K783">
        <v>203000</v>
      </c>
      <c r="L783">
        <v>191000</v>
      </c>
      <c r="M783">
        <v>347872</v>
      </c>
      <c r="N783">
        <v>67685794012</v>
      </c>
      <c r="O783">
        <v>200000000</v>
      </c>
      <c r="P783">
        <v>38340000000000</v>
      </c>
    </row>
    <row r="784" spans="1:16">
      <c r="A784" t="s">
        <v>41</v>
      </c>
      <c r="B784">
        <v>20260204</v>
      </c>
      <c r="C784">
        <v>32830</v>
      </c>
      <c r="D784" t="s">
        <v>42</v>
      </c>
      <c r="E784" t="s">
        <v>41</v>
      </c>
      <c r="F784" t="s">
        <v>17</v>
      </c>
      <c r="G784">
        <v>197500</v>
      </c>
      <c r="H784">
        <v>11200</v>
      </c>
      <c r="I784">
        <v>6.01</v>
      </c>
      <c r="J784">
        <v>185700</v>
      </c>
      <c r="K784">
        <v>199600</v>
      </c>
      <c r="L784">
        <v>185100</v>
      </c>
      <c r="M784">
        <v>520691</v>
      </c>
      <c r="N784">
        <v>100976123800</v>
      </c>
      <c r="O784">
        <v>200000000</v>
      </c>
      <c r="P784">
        <v>39500000000000</v>
      </c>
    </row>
    <row r="785" spans="1:16">
      <c r="A785" t="s">
        <v>41</v>
      </c>
      <c r="B785">
        <v>20260203</v>
      </c>
      <c r="C785">
        <v>32830</v>
      </c>
      <c r="D785" t="s">
        <v>42</v>
      </c>
      <c r="E785" t="s">
        <v>41</v>
      </c>
      <c r="F785" t="s">
        <v>17</v>
      </c>
      <c r="G785">
        <v>186300</v>
      </c>
      <c r="H785">
        <v>7300</v>
      </c>
      <c r="I785">
        <v>4.08</v>
      </c>
      <c r="J785">
        <v>183100</v>
      </c>
      <c r="K785">
        <v>186500</v>
      </c>
      <c r="L785">
        <v>179100</v>
      </c>
      <c r="M785">
        <v>273276</v>
      </c>
      <c r="N785">
        <v>50305808850</v>
      </c>
      <c r="O785">
        <v>200000000</v>
      </c>
      <c r="P785">
        <v>37260000000000</v>
      </c>
    </row>
    <row r="786" spans="1:16">
      <c r="A786" t="s">
        <v>41</v>
      </c>
      <c r="B786">
        <v>20260202</v>
      </c>
      <c r="C786">
        <v>32830</v>
      </c>
      <c r="D786" t="s">
        <v>42</v>
      </c>
      <c r="E786" t="s">
        <v>41</v>
      </c>
      <c r="F786" t="s">
        <v>17</v>
      </c>
      <c r="G786">
        <v>179000</v>
      </c>
      <c r="H786">
        <v>-9300</v>
      </c>
      <c r="I786">
        <v>-4.9400000000000004</v>
      </c>
      <c r="J786">
        <v>188000</v>
      </c>
      <c r="K786">
        <v>188000</v>
      </c>
      <c r="L786">
        <v>177900</v>
      </c>
      <c r="M786">
        <v>267951</v>
      </c>
      <c r="N786">
        <v>48688971300</v>
      </c>
      <c r="O786">
        <v>200000000</v>
      </c>
      <c r="P786">
        <v>35800000000000</v>
      </c>
    </row>
    <row r="787" spans="1:16">
      <c r="A787" t="s">
        <v>41</v>
      </c>
      <c r="B787">
        <v>20260130</v>
      </c>
      <c r="C787">
        <v>32830</v>
      </c>
      <c r="D787" t="s">
        <v>42</v>
      </c>
      <c r="E787" t="s">
        <v>41</v>
      </c>
      <c r="F787" t="s">
        <v>17</v>
      </c>
      <c r="G787">
        <v>188300</v>
      </c>
      <c r="H787">
        <v>-3700</v>
      </c>
      <c r="I787">
        <v>-1.93</v>
      </c>
      <c r="J787">
        <v>190100</v>
      </c>
      <c r="K787">
        <v>193900</v>
      </c>
      <c r="L787">
        <v>187300</v>
      </c>
      <c r="M787">
        <v>437998</v>
      </c>
      <c r="N787">
        <v>82987325800</v>
      </c>
      <c r="O787">
        <v>200000000</v>
      </c>
      <c r="P787">
        <v>37660000000000</v>
      </c>
    </row>
    <row r="788" spans="1:16">
      <c r="A788" t="s">
        <v>41</v>
      </c>
      <c r="B788">
        <v>20260129</v>
      </c>
      <c r="C788">
        <v>32830</v>
      </c>
      <c r="D788" t="s">
        <v>42</v>
      </c>
      <c r="E788" t="s">
        <v>41</v>
      </c>
      <c r="F788" t="s">
        <v>17</v>
      </c>
      <c r="G788">
        <v>192000</v>
      </c>
      <c r="H788">
        <v>-200</v>
      </c>
      <c r="I788">
        <v>-0.1</v>
      </c>
      <c r="J788">
        <v>200000</v>
      </c>
      <c r="K788">
        <v>200000</v>
      </c>
      <c r="L788">
        <v>189400</v>
      </c>
      <c r="M788">
        <v>426793</v>
      </c>
      <c r="N788">
        <v>82139143900</v>
      </c>
      <c r="O788">
        <v>200000000</v>
      </c>
      <c r="P788">
        <v>38400000000000</v>
      </c>
    </row>
    <row r="789" spans="1:16">
      <c r="A789" t="s">
        <v>41</v>
      </c>
      <c r="B789">
        <v>20260128</v>
      </c>
      <c r="C789">
        <v>32830</v>
      </c>
      <c r="D789" t="s">
        <v>42</v>
      </c>
      <c r="E789" t="s">
        <v>41</v>
      </c>
      <c r="F789" t="s">
        <v>17</v>
      </c>
      <c r="G789">
        <v>192200</v>
      </c>
      <c r="H789">
        <v>5100</v>
      </c>
      <c r="I789">
        <v>2.73</v>
      </c>
      <c r="J789">
        <v>191100</v>
      </c>
      <c r="K789">
        <v>197000</v>
      </c>
      <c r="L789">
        <v>189000</v>
      </c>
      <c r="M789">
        <v>407899</v>
      </c>
      <c r="N789">
        <v>78414767700</v>
      </c>
      <c r="O789">
        <v>200000000</v>
      </c>
      <c r="P789">
        <v>38440000000000</v>
      </c>
    </row>
    <row r="790" spans="1:16">
      <c r="A790" t="s">
        <v>41</v>
      </c>
      <c r="B790">
        <v>20260127</v>
      </c>
      <c r="C790">
        <v>32830</v>
      </c>
      <c r="D790" t="s">
        <v>42</v>
      </c>
      <c r="E790" t="s">
        <v>41</v>
      </c>
      <c r="F790" t="s">
        <v>17</v>
      </c>
      <c r="G790">
        <v>187100</v>
      </c>
      <c r="H790">
        <v>4900</v>
      </c>
      <c r="I790">
        <v>2.69</v>
      </c>
      <c r="J790">
        <v>184300</v>
      </c>
      <c r="K790">
        <v>188600</v>
      </c>
      <c r="L790">
        <v>182000</v>
      </c>
      <c r="M790">
        <v>250715</v>
      </c>
      <c r="N790">
        <v>46704319550</v>
      </c>
      <c r="O790">
        <v>200000000</v>
      </c>
      <c r="P790">
        <v>37420000000000</v>
      </c>
    </row>
    <row r="791" spans="1:16">
      <c r="A791" t="s">
        <v>41</v>
      </c>
      <c r="B791">
        <v>20260126</v>
      </c>
      <c r="C791">
        <v>32830</v>
      </c>
      <c r="D791" t="s">
        <v>42</v>
      </c>
      <c r="E791" t="s">
        <v>41</v>
      </c>
      <c r="F791" t="s">
        <v>17</v>
      </c>
      <c r="G791">
        <v>182200</v>
      </c>
      <c r="H791">
        <v>-2900</v>
      </c>
      <c r="I791">
        <v>-1.57</v>
      </c>
      <c r="J791">
        <v>186500</v>
      </c>
      <c r="K791">
        <v>189000</v>
      </c>
      <c r="L791">
        <v>181700</v>
      </c>
      <c r="M791">
        <v>304082</v>
      </c>
      <c r="N791">
        <v>55850803640</v>
      </c>
      <c r="O791">
        <v>200000000</v>
      </c>
      <c r="P791">
        <v>36440000000000</v>
      </c>
    </row>
    <row r="792" spans="1:16">
      <c r="A792" t="s">
        <v>41</v>
      </c>
      <c r="B792">
        <v>20260123</v>
      </c>
      <c r="C792">
        <v>32830</v>
      </c>
      <c r="D792" t="s">
        <v>42</v>
      </c>
      <c r="E792" t="s">
        <v>41</v>
      </c>
      <c r="F792" t="s">
        <v>17</v>
      </c>
      <c r="G792">
        <v>185100</v>
      </c>
      <c r="H792">
        <v>6300</v>
      </c>
      <c r="I792">
        <v>3.52</v>
      </c>
      <c r="J792">
        <v>180500</v>
      </c>
      <c r="K792">
        <v>185900</v>
      </c>
      <c r="L792">
        <v>177000</v>
      </c>
      <c r="M792">
        <v>518798</v>
      </c>
      <c r="N792">
        <v>95166405340</v>
      </c>
      <c r="O792">
        <v>200000000</v>
      </c>
      <c r="P792">
        <v>37020000000000</v>
      </c>
    </row>
    <row r="793" spans="1:16">
      <c r="A793" t="s">
        <v>41</v>
      </c>
      <c r="B793">
        <v>20260122</v>
      </c>
      <c r="C793">
        <v>32830</v>
      </c>
      <c r="D793" t="s">
        <v>42</v>
      </c>
      <c r="E793" t="s">
        <v>41</v>
      </c>
      <c r="F793" t="s">
        <v>17</v>
      </c>
      <c r="G793">
        <v>178800</v>
      </c>
      <c r="H793">
        <v>4100</v>
      </c>
      <c r="I793">
        <v>2.35</v>
      </c>
      <c r="J793">
        <v>175300</v>
      </c>
      <c r="K793">
        <v>182700</v>
      </c>
      <c r="L793">
        <v>174700</v>
      </c>
      <c r="M793">
        <v>465291</v>
      </c>
      <c r="N793">
        <v>83442715100</v>
      </c>
      <c r="O793">
        <v>200000000</v>
      </c>
      <c r="P793">
        <v>35760000000000</v>
      </c>
    </row>
    <row r="794" spans="1:16">
      <c r="A794" t="s">
        <v>41</v>
      </c>
      <c r="B794">
        <v>20260121</v>
      </c>
      <c r="C794">
        <v>32830</v>
      </c>
      <c r="D794" t="s">
        <v>42</v>
      </c>
      <c r="E794" t="s">
        <v>41</v>
      </c>
      <c r="F794" t="s">
        <v>17</v>
      </c>
      <c r="G794">
        <v>174700</v>
      </c>
      <c r="H794">
        <v>-500</v>
      </c>
      <c r="I794">
        <v>-0.28999999999999998</v>
      </c>
      <c r="J794">
        <v>174900</v>
      </c>
      <c r="K794">
        <v>175500</v>
      </c>
      <c r="L794">
        <v>170400</v>
      </c>
      <c r="M794">
        <v>304851</v>
      </c>
      <c r="N794">
        <v>52798469150</v>
      </c>
      <c r="O794">
        <v>200000000</v>
      </c>
      <c r="P794">
        <v>34940000000000</v>
      </c>
    </row>
    <row r="795" spans="1:16">
      <c r="A795" t="s">
        <v>41</v>
      </c>
      <c r="B795">
        <v>20260120</v>
      </c>
      <c r="C795">
        <v>32830</v>
      </c>
      <c r="D795" t="s">
        <v>42</v>
      </c>
      <c r="E795" t="s">
        <v>41</v>
      </c>
      <c r="F795" t="s">
        <v>17</v>
      </c>
      <c r="G795">
        <v>175200</v>
      </c>
      <c r="H795">
        <v>8200</v>
      </c>
      <c r="I795">
        <v>4.91</v>
      </c>
      <c r="J795">
        <v>167100</v>
      </c>
      <c r="K795">
        <v>177600</v>
      </c>
      <c r="L795">
        <v>167000</v>
      </c>
      <c r="M795">
        <v>432790</v>
      </c>
      <c r="N795">
        <v>75634700550</v>
      </c>
      <c r="O795">
        <v>200000000</v>
      </c>
      <c r="P795">
        <v>35040000000000</v>
      </c>
    </row>
    <row r="796" spans="1:16">
      <c r="A796" t="s">
        <v>41</v>
      </c>
      <c r="B796">
        <v>20260119</v>
      </c>
      <c r="C796">
        <v>32830</v>
      </c>
      <c r="D796" t="s">
        <v>42</v>
      </c>
      <c r="E796" t="s">
        <v>41</v>
      </c>
      <c r="F796" t="s">
        <v>17</v>
      </c>
      <c r="G796">
        <v>167000</v>
      </c>
      <c r="H796">
        <v>-3600</v>
      </c>
      <c r="I796">
        <v>-2.11</v>
      </c>
      <c r="J796">
        <v>166800</v>
      </c>
      <c r="K796">
        <v>168400</v>
      </c>
      <c r="L796">
        <v>159300</v>
      </c>
      <c r="M796">
        <v>359620</v>
      </c>
      <c r="N796">
        <v>59711063100</v>
      </c>
      <c r="O796">
        <v>200000000</v>
      </c>
      <c r="P796">
        <v>33400000000000</v>
      </c>
    </row>
    <row r="797" spans="1:16">
      <c r="A797" t="s">
        <v>41</v>
      </c>
      <c r="B797">
        <v>20260116</v>
      </c>
      <c r="C797">
        <v>32830</v>
      </c>
      <c r="D797" t="s">
        <v>42</v>
      </c>
      <c r="E797" t="s">
        <v>41</v>
      </c>
      <c r="F797" t="s">
        <v>17</v>
      </c>
      <c r="G797">
        <v>170600</v>
      </c>
      <c r="H797">
        <v>9400</v>
      </c>
      <c r="I797">
        <v>5.83</v>
      </c>
      <c r="J797">
        <v>162800</v>
      </c>
      <c r="K797">
        <v>176900</v>
      </c>
      <c r="L797">
        <v>162600</v>
      </c>
      <c r="M797">
        <v>625850</v>
      </c>
      <c r="N797">
        <v>107167286798</v>
      </c>
      <c r="O797">
        <v>200000000</v>
      </c>
      <c r="P797">
        <v>34120000000000</v>
      </c>
    </row>
    <row r="798" spans="1:16">
      <c r="A798" t="s">
        <v>41</v>
      </c>
      <c r="B798">
        <v>20260115</v>
      </c>
      <c r="C798">
        <v>32830</v>
      </c>
      <c r="D798" t="s">
        <v>42</v>
      </c>
      <c r="E798" t="s">
        <v>41</v>
      </c>
      <c r="F798" t="s">
        <v>17</v>
      </c>
      <c r="G798">
        <v>161200</v>
      </c>
      <c r="H798">
        <v>-700</v>
      </c>
      <c r="I798">
        <v>-0.43</v>
      </c>
      <c r="J798">
        <v>160300</v>
      </c>
      <c r="K798">
        <v>162100</v>
      </c>
      <c r="L798">
        <v>158600</v>
      </c>
      <c r="M798">
        <v>191341</v>
      </c>
      <c r="N798">
        <v>30673641150</v>
      </c>
      <c r="O798">
        <v>200000000</v>
      </c>
      <c r="P798">
        <v>32240000000000</v>
      </c>
    </row>
    <row r="799" spans="1:16">
      <c r="A799" t="s">
        <v>41</v>
      </c>
      <c r="B799">
        <v>20260114</v>
      </c>
      <c r="C799">
        <v>32830</v>
      </c>
      <c r="D799" t="s">
        <v>42</v>
      </c>
      <c r="E799" t="s">
        <v>41</v>
      </c>
      <c r="F799" t="s">
        <v>17</v>
      </c>
      <c r="G799">
        <v>161900</v>
      </c>
      <c r="H799">
        <v>2800</v>
      </c>
      <c r="I799">
        <v>1.76</v>
      </c>
      <c r="J799">
        <v>161300</v>
      </c>
      <c r="K799">
        <v>163900</v>
      </c>
      <c r="L799">
        <v>157300</v>
      </c>
      <c r="M799">
        <v>200776</v>
      </c>
      <c r="N799">
        <v>32318391650</v>
      </c>
      <c r="O799">
        <v>200000000</v>
      </c>
      <c r="P799">
        <v>32380000000000</v>
      </c>
    </row>
    <row r="800" spans="1:16">
      <c r="A800" t="s">
        <v>41</v>
      </c>
      <c r="B800">
        <v>20260113</v>
      </c>
      <c r="C800">
        <v>32830</v>
      </c>
      <c r="D800" t="s">
        <v>42</v>
      </c>
      <c r="E800" t="s">
        <v>41</v>
      </c>
      <c r="F800" t="s">
        <v>17</v>
      </c>
      <c r="G800">
        <v>159100</v>
      </c>
      <c r="H800">
        <v>1000</v>
      </c>
      <c r="I800">
        <v>0.63</v>
      </c>
      <c r="J800">
        <v>159000</v>
      </c>
      <c r="K800">
        <v>160500</v>
      </c>
      <c r="L800">
        <v>157500</v>
      </c>
      <c r="M800">
        <v>196706</v>
      </c>
      <c r="N800">
        <v>31210948000</v>
      </c>
      <c r="O800">
        <v>200000000</v>
      </c>
      <c r="P800">
        <v>31820000000000</v>
      </c>
    </row>
    <row r="801" spans="1:16">
      <c r="A801" t="s">
        <v>41</v>
      </c>
      <c r="B801">
        <v>20260112</v>
      </c>
      <c r="C801">
        <v>32830</v>
      </c>
      <c r="D801" t="s">
        <v>42</v>
      </c>
      <c r="E801" t="s">
        <v>41</v>
      </c>
      <c r="F801" t="s">
        <v>17</v>
      </c>
      <c r="G801">
        <v>158100</v>
      </c>
      <c r="H801">
        <v>-1400</v>
      </c>
      <c r="I801">
        <v>-0.88</v>
      </c>
      <c r="J801">
        <v>160700</v>
      </c>
      <c r="K801">
        <v>164100</v>
      </c>
      <c r="L801">
        <v>156200</v>
      </c>
      <c r="M801">
        <v>214913</v>
      </c>
      <c r="N801">
        <v>34016813700</v>
      </c>
      <c r="O801">
        <v>200000000</v>
      </c>
      <c r="P801">
        <v>31620000000000</v>
      </c>
    </row>
    <row r="802" spans="1:16">
      <c r="A802" t="s">
        <v>41</v>
      </c>
      <c r="B802">
        <v>20260109</v>
      </c>
      <c r="C802">
        <v>32830</v>
      </c>
      <c r="D802" t="s">
        <v>42</v>
      </c>
      <c r="E802" t="s">
        <v>41</v>
      </c>
      <c r="F802" t="s">
        <v>17</v>
      </c>
      <c r="G802">
        <v>159500</v>
      </c>
      <c r="H802">
        <v>300</v>
      </c>
      <c r="I802">
        <v>0.19</v>
      </c>
      <c r="J802">
        <v>160300</v>
      </c>
      <c r="K802">
        <v>160300</v>
      </c>
      <c r="L802">
        <v>157000</v>
      </c>
      <c r="M802">
        <v>237528</v>
      </c>
      <c r="N802">
        <v>37696332090</v>
      </c>
      <c r="O802">
        <v>200000000</v>
      </c>
      <c r="P802">
        <v>31900000000000</v>
      </c>
    </row>
    <row r="803" spans="1:16">
      <c r="A803" t="s">
        <v>41</v>
      </c>
      <c r="B803">
        <v>20260108</v>
      </c>
      <c r="C803">
        <v>32830</v>
      </c>
      <c r="D803" t="s">
        <v>42</v>
      </c>
      <c r="E803" t="s">
        <v>41</v>
      </c>
      <c r="F803" t="s">
        <v>17</v>
      </c>
      <c r="G803">
        <v>159200</v>
      </c>
      <c r="H803">
        <v>-2800</v>
      </c>
      <c r="I803">
        <v>-1.73</v>
      </c>
      <c r="J803">
        <v>160400</v>
      </c>
      <c r="K803">
        <v>161000</v>
      </c>
      <c r="L803">
        <v>157300</v>
      </c>
      <c r="M803">
        <v>356761</v>
      </c>
      <c r="N803">
        <v>56790918850</v>
      </c>
      <c r="O803">
        <v>200000000</v>
      </c>
      <c r="P803">
        <v>31840000000000</v>
      </c>
    </row>
    <row r="804" spans="1:16">
      <c r="A804" t="s">
        <v>41</v>
      </c>
      <c r="B804">
        <v>20260107</v>
      </c>
      <c r="C804">
        <v>32830</v>
      </c>
      <c r="D804" t="s">
        <v>42</v>
      </c>
      <c r="E804" t="s">
        <v>41</v>
      </c>
      <c r="F804" t="s">
        <v>17</v>
      </c>
      <c r="G804">
        <v>162000</v>
      </c>
      <c r="H804">
        <v>-3400</v>
      </c>
      <c r="I804">
        <v>-2.06</v>
      </c>
      <c r="J804">
        <v>166000</v>
      </c>
      <c r="K804">
        <v>168400</v>
      </c>
      <c r="L804">
        <v>160600</v>
      </c>
      <c r="M804">
        <v>239863</v>
      </c>
      <c r="N804">
        <v>39070669600</v>
      </c>
      <c r="O804">
        <v>200000000</v>
      </c>
      <c r="P804">
        <v>32400000000000</v>
      </c>
    </row>
    <row r="805" spans="1:16">
      <c r="A805" t="s">
        <v>41</v>
      </c>
      <c r="B805">
        <v>20260106</v>
      </c>
      <c r="C805">
        <v>32830</v>
      </c>
      <c r="D805" t="s">
        <v>42</v>
      </c>
      <c r="E805" t="s">
        <v>41</v>
      </c>
      <c r="F805" t="s">
        <v>17</v>
      </c>
      <c r="G805">
        <v>165400</v>
      </c>
      <c r="H805">
        <v>1300</v>
      </c>
      <c r="I805">
        <v>0.79</v>
      </c>
      <c r="J805">
        <v>163500</v>
      </c>
      <c r="K805">
        <v>165400</v>
      </c>
      <c r="L805">
        <v>160500</v>
      </c>
      <c r="M805">
        <v>170555</v>
      </c>
      <c r="N805">
        <v>27968165800</v>
      </c>
      <c r="O805">
        <v>200000000</v>
      </c>
      <c r="P805">
        <v>33080000000000</v>
      </c>
    </row>
    <row r="806" spans="1:16">
      <c r="A806" t="s">
        <v>41</v>
      </c>
      <c r="B806">
        <v>20260105</v>
      </c>
      <c r="C806">
        <v>32830</v>
      </c>
      <c r="D806" t="s">
        <v>42</v>
      </c>
      <c r="E806" t="s">
        <v>41</v>
      </c>
      <c r="F806" t="s">
        <v>17</v>
      </c>
      <c r="G806">
        <v>164100</v>
      </c>
      <c r="H806">
        <v>7800</v>
      </c>
      <c r="I806">
        <v>4.99</v>
      </c>
      <c r="J806">
        <v>156500</v>
      </c>
      <c r="K806">
        <v>164500</v>
      </c>
      <c r="L806">
        <v>155200</v>
      </c>
      <c r="M806">
        <v>427934</v>
      </c>
      <c r="N806">
        <v>68582558400</v>
      </c>
      <c r="O806">
        <v>200000000</v>
      </c>
      <c r="P806">
        <v>32820000000000</v>
      </c>
    </row>
    <row r="807" spans="1:16">
      <c r="A807" t="s">
        <v>41</v>
      </c>
      <c r="B807">
        <v>20260102</v>
      </c>
      <c r="C807">
        <v>32830</v>
      </c>
      <c r="D807" t="s">
        <v>42</v>
      </c>
      <c r="E807" t="s">
        <v>41</v>
      </c>
      <c r="F807" t="s">
        <v>17</v>
      </c>
      <c r="G807">
        <v>156300</v>
      </c>
      <c r="H807">
        <v>-1300</v>
      </c>
      <c r="I807">
        <v>-0.82</v>
      </c>
      <c r="J807">
        <v>157400</v>
      </c>
      <c r="K807">
        <v>157600</v>
      </c>
      <c r="L807">
        <v>151300</v>
      </c>
      <c r="M807">
        <v>266320</v>
      </c>
      <c r="N807">
        <v>40988502950</v>
      </c>
      <c r="O807">
        <v>200000000</v>
      </c>
      <c r="P807">
        <v>31260000000000</v>
      </c>
    </row>
    <row r="808" spans="1:16">
      <c r="A808" t="s">
        <v>43</v>
      </c>
      <c r="B808">
        <v>20260403</v>
      </c>
      <c r="C808">
        <v>55550</v>
      </c>
      <c r="D808" t="s">
        <v>44</v>
      </c>
      <c r="E808" t="s">
        <v>43</v>
      </c>
      <c r="F808" t="s">
        <v>17</v>
      </c>
      <c r="G808">
        <v>91800</v>
      </c>
      <c r="H808">
        <v>100</v>
      </c>
      <c r="I808">
        <v>0.11</v>
      </c>
      <c r="J808">
        <v>93500</v>
      </c>
      <c r="K808">
        <v>94800</v>
      </c>
      <c r="L808">
        <v>91500</v>
      </c>
      <c r="M808">
        <v>558564</v>
      </c>
      <c r="N808">
        <v>51717539000</v>
      </c>
      <c r="O808">
        <v>474654361</v>
      </c>
      <c r="P808">
        <v>43573270339800</v>
      </c>
    </row>
    <row r="809" spans="1:16">
      <c r="A809" t="s">
        <v>43</v>
      </c>
      <c r="B809">
        <v>20260402</v>
      </c>
      <c r="C809">
        <v>55550</v>
      </c>
      <c r="D809" t="s">
        <v>44</v>
      </c>
      <c r="E809" t="s">
        <v>43</v>
      </c>
      <c r="F809" t="s">
        <v>17</v>
      </c>
      <c r="G809">
        <v>91700</v>
      </c>
      <c r="H809">
        <v>-1600</v>
      </c>
      <c r="I809">
        <v>-1.71</v>
      </c>
      <c r="J809">
        <v>95000</v>
      </c>
      <c r="K809">
        <v>97300</v>
      </c>
      <c r="L809">
        <v>90800</v>
      </c>
      <c r="M809">
        <v>1038396</v>
      </c>
      <c r="N809">
        <v>96775523100</v>
      </c>
      <c r="O809">
        <v>474654361</v>
      </c>
      <c r="P809">
        <v>43525804903700</v>
      </c>
    </row>
    <row r="810" spans="1:16">
      <c r="A810" t="s">
        <v>43</v>
      </c>
      <c r="B810">
        <v>20260401</v>
      </c>
      <c r="C810">
        <v>55550</v>
      </c>
      <c r="D810" t="s">
        <v>44</v>
      </c>
      <c r="E810" t="s">
        <v>43</v>
      </c>
      <c r="F810" t="s">
        <v>17</v>
      </c>
      <c r="G810">
        <v>93300</v>
      </c>
      <c r="H810">
        <v>5600</v>
      </c>
      <c r="I810">
        <v>6.39</v>
      </c>
      <c r="J810">
        <v>93900</v>
      </c>
      <c r="K810">
        <v>94200</v>
      </c>
      <c r="L810">
        <v>91000</v>
      </c>
      <c r="M810">
        <v>1323951</v>
      </c>
      <c r="N810">
        <v>123046859400</v>
      </c>
      <c r="O810">
        <v>474654361</v>
      </c>
      <c r="P810">
        <v>44285251881300</v>
      </c>
    </row>
    <row r="811" spans="1:16">
      <c r="A811" t="s">
        <v>43</v>
      </c>
      <c r="B811">
        <v>20260331</v>
      </c>
      <c r="C811">
        <v>55550</v>
      </c>
      <c r="D811" t="s">
        <v>44</v>
      </c>
      <c r="E811" t="s">
        <v>43</v>
      </c>
      <c r="F811" t="s">
        <v>17</v>
      </c>
      <c r="G811">
        <v>87700</v>
      </c>
      <c r="H811">
        <v>-2800</v>
      </c>
      <c r="I811">
        <v>-3.09</v>
      </c>
      <c r="J811">
        <v>89000</v>
      </c>
      <c r="K811">
        <v>89600</v>
      </c>
      <c r="L811">
        <v>87300</v>
      </c>
      <c r="M811">
        <v>1790364</v>
      </c>
      <c r="N811">
        <v>157998975850</v>
      </c>
      <c r="O811">
        <v>474654361</v>
      </c>
      <c r="P811">
        <v>41627187459700</v>
      </c>
    </row>
    <row r="812" spans="1:16">
      <c r="A812" t="s">
        <v>43</v>
      </c>
      <c r="B812">
        <v>20260330</v>
      </c>
      <c r="C812">
        <v>55550</v>
      </c>
      <c r="D812" t="s">
        <v>44</v>
      </c>
      <c r="E812" t="s">
        <v>43</v>
      </c>
      <c r="F812" t="s">
        <v>17</v>
      </c>
      <c r="G812">
        <v>90500</v>
      </c>
      <c r="H812">
        <v>-3000</v>
      </c>
      <c r="I812">
        <v>-3.21</v>
      </c>
      <c r="J812">
        <v>88400</v>
      </c>
      <c r="K812">
        <v>91300</v>
      </c>
      <c r="L812">
        <v>87800</v>
      </c>
      <c r="M812">
        <v>1084400</v>
      </c>
      <c r="N812">
        <v>97768967950</v>
      </c>
      <c r="O812">
        <v>474654361</v>
      </c>
      <c r="P812">
        <v>42956219670500</v>
      </c>
    </row>
    <row r="813" spans="1:16">
      <c r="A813" t="s">
        <v>43</v>
      </c>
      <c r="B813">
        <v>20260327</v>
      </c>
      <c r="C813">
        <v>55550</v>
      </c>
      <c r="D813" t="s">
        <v>44</v>
      </c>
      <c r="E813" t="s">
        <v>43</v>
      </c>
      <c r="F813" t="s">
        <v>17</v>
      </c>
      <c r="G813">
        <v>93500</v>
      </c>
      <c r="H813">
        <v>100</v>
      </c>
      <c r="I813">
        <v>0.11</v>
      </c>
      <c r="J813">
        <v>93400</v>
      </c>
      <c r="K813">
        <v>93900</v>
      </c>
      <c r="L813">
        <v>90000</v>
      </c>
      <c r="M813">
        <v>1363436</v>
      </c>
      <c r="N813">
        <v>125814683500</v>
      </c>
      <c r="O813">
        <v>474654361</v>
      </c>
      <c r="P813">
        <v>44380182753500</v>
      </c>
    </row>
    <row r="814" spans="1:16">
      <c r="A814" t="s">
        <v>43</v>
      </c>
      <c r="B814">
        <v>20260326</v>
      </c>
      <c r="C814">
        <v>55550</v>
      </c>
      <c r="D814" t="s">
        <v>44</v>
      </c>
      <c r="E814" t="s">
        <v>43</v>
      </c>
      <c r="F814" t="s">
        <v>17</v>
      </c>
      <c r="G814">
        <v>93400</v>
      </c>
      <c r="H814">
        <v>1300</v>
      </c>
      <c r="I814">
        <v>1.41</v>
      </c>
      <c r="J814">
        <v>93100</v>
      </c>
      <c r="K814">
        <v>94600</v>
      </c>
      <c r="L814">
        <v>92200</v>
      </c>
      <c r="M814">
        <v>1111630</v>
      </c>
      <c r="N814">
        <v>103984509900</v>
      </c>
      <c r="O814">
        <v>474654361</v>
      </c>
      <c r="P814">
        <v>44332717317400</v>
      </c>
    </row>
    <row r="815" spans="1:16">
      <c r="A815" t="s">
        <v>43</v>
      </c>
      <c r="B815">
        <v>20260325</v>
      </c>
      <c r="C815">
        <v>55550</v>
      </c>
      <c r="D815" t="s">
        <v>44</v>
      </c>
      <c r="E815" t="s">
        <v>43</v>
      </c>
      <c r="F815" t="s">
        <v>17</v>
      </c>
      <c r="G815">
        <v>92100</v>
      </c>
      <c r="H815">
        <v>2100</v>
      </c>
      <c r="I815">
        <v>2.33</v>
      </c>
      <c r="J815">
        <v>92500</v>
      </c>
      <c r="K815">
        <v>94000</v>
      </c>
      <c r="L815">
        <v>91800</v>
      </c>
      <c r="M815">
        <v>1255340</v>
      </c>
      <c r="N815">
        <v>116350947000</v>
      </c>
      <c r="O815">
        <v>474654361</v>
      </c>
      <c r="P815">
        <v>43715666648100</v>
      </c>
    </row>
    <row r="816" spans="1:16">
      <c r="A816" t="s">
        <v>43</v>
      </c>
      <c r="B816">
        <v>20260324</v>
      </c>
      <c r="C816">
        <v>55550</v>
      </c>
      <c r="D816" t="s">
        <v>44</v>
      </c>
      <c r="E816" t="s">
        <v>43</v>
      </c>
      <c r="F816" t="s">
        <v>17</v>
      </c>
      <c r="G816">
        <v>90000</v>
      </c>
      <c r="H816">
        <v>100</v>
      </c>
      <c r="I816">
        <v>0.11</v>
      </c>
      <c r="J816">
        <v>91600</v>
      </c>
      <c r="K816">
        <v>93600</v>
      </c>
      <c r="L816">
        <v>88200</v>
      </c>
      <c r="M816">
        <v>1633427</v>
      </c>
      <c r="N816">
        <v>146813470050</v>
      </c>
      <c r="O816">
        <v>474654361</v>
      </c>
      <c r="P816">
        <v>42718892490000</v>
      </c>
    </row>
    <row r="817" spans="1:16">
      <c r="A817" t="s">
        <v>43</v>
      </c>
      <c r="B817">
        <v>20260323</v>
      </c>
      <c r="C817">
        <v>55550</v>
      </c>
      <c r="D817" t="s">
        <v>44</v>
      </c>
      <c r="E817" t="s">
        <v>43</v>
      </c>
      <c r="F817" t="s">
        <v>17</v>
      </c>
      <c r="G817">
        <v>89900</v>
      </c>
      <c r="H817">
        <v>-8000</v>
      </c>
      <c r="I817">
        <v>-8.17</v>
      </c>
      <c r="J817">
        <v>94000</v>
      </c>
      <c r="K817">
        <v>94600</v>
      </c>
      <c r="L817">
        <v>89300</v>
      </c>
      <c r="M817">
        <v>2083701</v>
      </c>
      <c r="N817">
        <v>190422827200</v>
      </c>
      <c r="O817">
        <v>474654361</v>
      </c>
      <c r="P817">
        <v>42671427053900</v>
      </c>
    </row>
    <row r="818" spans="1:16">
      <c r="A818" t="s">
        <v>43</v>
      </c>
      <c r="B818">
        <v>20260320</v>
      </c>
      <c r="C818">
        <v>55550</v>
      </c>
      <c r="D818" t="s">
        <v>44</v>
      </c>
      <c r="E818" t="s">
        <v>43</v>
      </c>
      <c r="F818" t="s">
        <v>17</v>
      </c>
      <c r="G818">
        <v>97900</v>
      </c>
      <c r="H818">
        <v>1400</v>
      </c>
      <c r="I818">
        <v>1.45</v>
      </c>
      <c r="J818">
        <v>95900</v>
      </c>
      <c r="K818">
        <v>98800</v>
      </c>
      <c r="L818">
        <v>95800</v>
      </c>
      <c r="M818">
        <v>3167172</v>
      </c>
      <c r="N818">
        <v>309309652500</v>
      </c>
      <c r="O818">
        <v>474654361</v>
      </c>
      <c r="P818">
        <v>46468661941900</v>
      </c>
    </row>
    <row r="819" spans="1:16">
      <c r="A819" t="s">
        <v>43</v>
      </c>
      <c r="B819">
        <v>20260319</v>
      </c>
      <c r="C819">
        <v>55550</v>
      </c>
      <c r="D819" t="s">
        <v>44</v>
      </c>
      <c r="E819" t="s">
        <v>43</v>
      </c>
      <c r="F819" t="s">
        <v>17</v>
      </c>
      <c r="G819">
        <v>96500</v>
      </c>
      <c r="H819">
        <v>1500</v>
      </c>
      <c r="I819">
        <v>1.58</v>
      </c>
      <c r="J819">
        <v>93000</v>
      </c>
      <c r="K819">
        <v>96700</v>
      </c>
      <c r="L819">
        <v>92200</v>
      </c>
      <c r="M819">
        <v>1262052</v>
      </c>
      <c r="N819">
        <v>120173140350</v>
      </c>
      <c r="O819">
        <v>474654361</v>
      </c>
      <c r="P819">
        <v>45804145836500</v>
      </c>
    </row>
    <row r="820" spans="1:16">
      <c r="A820" t="s">
        <v>43</v>
      </c>
      <c r="B820">
        <v>20260318</v>
      </c>
      <c r="C820">
        <v>55550</v>
      </c>
      <c r="D820" t="s">
        <v>44</v>
      </c>
      <c r="E820" t="s">
        <v>43</v>
      </c>
      <c r="F820" t="s">
        <v>17</v>
      </c>
      <c r="G820">
        <v>95000</v>
      </c>
      <c r="H820">
        <v>3800</v>
      </c>
      <c r="I820">
        <v>4.17</v>
      </c>
      <c r="J820">
        <v>93800</v>
      </c>
      <c r="K820">
        <v>95500</v>
      </c>
      <c r="L820">
        <v>92100</v>
      </c>
      <c r="M820">
        <v>2543008</v>
      </c>
      <c r="N820">
        <v>239347576650</v>
      </c>
      <c r="O820">
        <v>474654361</v>
      </c>
      <c r="P820">
        <v>45092164295000</v>
      </c>
    </row>
    <row r="821" spans="1:16">
      <c r="A821" t="s">
        <v>43</v>
      </c>
      <c r="B821">
        <v>20260317</v>
      </c>
      <c r="C821">
        <v>55550</v>
      </c>
      <c r="D821" t="s">
        <v>44</v>
      </c>
      <c r="E821" t="s">
        <v>43</v>
      </c>
      <c r="F821" t="s">
        <v>17</v>
      </c>
      <c r="G821">
        <v>91200</v>
      </c>
      <c r="H821">
        <v>1200</v>
      </c>
      <c r="I821">
        <v>1.33</v>
      </c>
      <c r="J821">
        <v>91200</v>
      </c>
      <c r="K821">
        <v>93300</v>
      </c>
      <c r="L821">
        <v>90300</v>
      </c>
      <c r="M821">
        <v>1304315</v>
      </c>
      <c r="N821">
        <v>119163924659</v>
      </c>
      <c r="O821">
        <v>474654361</v>
      </c>
      <c r="P821">
        <v>43288477723200</v>
      </c>
    </row>
    <row r="822" spans="1:16">
      <c r="A822" t="s">
        <v>43</v>
      </c>
      <c r="B822">
        <v>20260316</v>
      </c>
      <c r="C822">
        <v>55550</v>
      </c>
      <c r="D822" t="s">
        <v>44</v>
      </c>
      <c r="E822" t="s">
        <v>43</v>
      </c>
      <c r="F822" t="s">
        <v>17</v>
      </c>
      <c r="G822">
        <v>90000</v>
      </c>
      <c r="H822">
        <v>-800</v>
      </c>
      <c r="I822">
        <v>-0.88</v>
      </c>
      <c r="J822">
        <v>89900</v>
      </c>
      <c r="K822">
        <v>91200</v>
      </c>
      <c r="L822">
        <v>88900</v>
      </c>
      <c r="M822">
        <v>1067616</v>
      </c>
      <c r="N822">
        <v>96192159950</v>
      </c>
      <c r="O822">
        <v>474654361</v>
      </c>
      <c r="P822">
        <v>42718892490000</v>
      </c>
    </row>
    <row r="823" spans="1:16">
      <c r="A823" t="s">
        <v>43</v>
      </c>
      <c r="B823">
        <v>20260313</v>
      </c>
      <c r="C823">
        <v>55550</v>
      </c>
      <c r="D823" t="s">
        <v>44</v>
      </c>
      <c r="E823" t="s">
        <v>43</v>
      </c>
      <c r="F823" t="s">
        <v>17</v>
      </c>
      <c r="G823">
        <v>90800</v>
      </c>
      <c r="H823">
        <v>-1100</v>
      </c>
      <c r="I823">
        <v>-1.2</v>
      </c>
      <c r="J823">
        <v>87300</v>
      </c>
      <c r="K823">
        <v>92700</v>
      </c>
      <c r="L823">
        <v>87300</v>
      </c>
      <c r="M823">
        <v>2446601</v>
      </c>
      <c r="N823">
        <v>222424942055</v>
      </c>
      <c r="O823">
        <v>474654361</v>
      </c>
      <c r="P823">
        <v>43098615978800</v>
      </c>
    </row>
    <row r="824" spans="1:16">
      <c r="A824" t="s">
        <v>43</v>
      </c>
      <c r="B824">
        <v>20260312</v>
      </c>
      <c r="C824">
        <v>55550</v>
      </c>
      <c r="D824" t="s">
        <v>44</v>
      </c>
      <c r="E824" t="s">
        <v>43</v>
      </c>
      <c r="F824" t="s">
        <v>17</v>
      </c>
      <c r="G824">
        <v>91900</v>
      </c>
      <c r="H824">
        <v>800</v>
      </c>
      <c r="I824">
        <v>0.88</v>
      </c>
      <c r="J824">
        <v>91100</v>
      </c>
      <c r="K824">
        <v>92500</v>
      </c>
      <c r="L824">
        <v>89900</v>
      </c>
      <c r="M824">
        <v>1757642</v>
      </c>
      <c r="N824">
        <v>161093745800</v>
      </c>
      <c r="O824">
        <v>474654361</v>
      </c>
      <c r="P824">
        <v>43620735775900</v>
      </c>
    </row>
    <row r="825" spans="1:16">
      <c r="A825" t="s">
        <v>43</v>
      </c>
      <c r="B825">
        <v>20260311</v>
      </c>
      <c r="C825">
        <v>55550</v>
      </c>
      <c r="D825" t="s">
        <v>44</v>
      </c>
      <c r="E825" t="s">
        <v>43</v>
      </c>
      <c r="F825" t="s">
        <v>17</v>
      </c>
      <c r="G825">
        <v>91100</v>
      </c>
      <c r="H825">
        <v>1900</v>
      </c>
      <c r="I825">
        <v>2.13</v>
      </c>
      <c r="J825">
        <v>90900</v>
      </c>
      <c r="K825">
        <v>94200</v>
      </c>
      <c r="L825">
        <v>90300</v>
      </c>
      <c r="M825">
        <v>2055895</v>
      </c>
      <c r="N825">
        <v>190032181276</v>
      </c>
      <c r="O825">
        <v>474654361</v>
      </c>
      <c r="P825">
        <v>43241012287100</v>
      </c>
    </row>
    <row r="826" spans="1:16">
      <c r="A826" t="s">
        <v>43</v>
      </c>
      <c r="B826">
        <v>20260310</v>
      </c>
      <c r="C826">
        <v>55550</v>
      </c>
      <c r="D826" t="s">
        <v>44</v>
      </c>
      <c r="E826" t="s">
        <v>43</v>
      </c>
      <c r="F826" t="s">
        <v>17</v>
      </c>
      <c r="G826">
        <v>89200</v>
      </c>
      <c r="H826">
        <v>700</v>
      </c>
      <c r="I826">
        <v>0.79</v>
      </c>
      <c r="J826">
        <v>90800</v>
      </c>
      <c r="K826">
        <v>92700</v>
      </c>
      <c r="L826">
        <v>88000</v>
      </c>
      <c r="M826">
        <v>1967408</v>
      </c>
      <c r="N826">
        <v>176887268618</v>
      </c>
      <c r="O826">
        <v>474654361</v>
      </c>
      <c r="P826">
        <v>42339169001200</v>
      </c>
    </row>
    <row r="827" spans="1:16">
      <c r="A827" t="s">
        <v>43</v>
      </c>
      <c r="B827">
        <v>20260309</v>
      </c>
      <c r="C827">
        <v>55550</v>
      </c>
      <c r="D827" t="s">
        <v>44</v>
      </c>
      <c r="E827" t="s">
        <v>43</v>
      </c>
      <c r="F827" t="s">
        <v>17</v>
      </c>
      <c r="G827">
        <v>88500</v>
      </c>
      <c r="H827">
        <v>-3300</v>
      </c>
      <c r="I827">
        <v>-3.59</v>
      </c>
      <c r="J827">
        <v>85700</v>
      </c>
      <c r="K827">
        <v>89700</v>
      </c>
      <c r="L827">
        <v>83700</v>
      </c>
      <c r="M827">
        <v>1991947</v>
      </c>
      <c r="N827">
        <v>174732375795</v>
      </c>
      <c r="O827">
        <v>474654361</v>
      </c>
      <c r="P827">
        <v>42006910948500</v>
      </c>
    </row>
    <row r="828" spans="1:16">
      <c r="A828" t="s">
        <v>43</v>
      </c>
      <c r="B828">
        <v>20260306</v>
      </c>
      <c r="C828">
        <v>55550</v>
      </c>
      <c r="D828" t="s">
        <v>44</v>
      </c>
      <c r="E828" t="s">
        <v>43</v>
      </c>
      <c r="F828" t="s">
        <v>17</v>
      </c>
      <c r="G828">
        <v>91800</v>
      </c>
      <c r="H828">
        <v>-1100</v>
      </c>
      <c r="I828">
        <v>-1.18</v>
      </c>
      <c r="J828">
        <v>89000</v>
      </c>
      <c r="K828">
        <v>91800</v>
      </c>
      <c r="L828">
        <v>89000</v>
      </c>
      <c r="M828">
        <v>2033531</v>
      </c>
      <c r="N828">
        <v>184353231607</v>
      </c>
      <c r="O828">
        <v>474654361</v>
      </c>
      <c r="P828">
        <v>43573270339800</v>
      </c>
    </row>
    <row r="829" spans="1:16">
      <c r="A829" t="s">
        <v>43</v>
      </c>
      <c r="B829">
        <v>20260305</v>
      </c>
      <c r="C829">
        <v>55550</v>
      </c>
      <c r="D829" t="s">
        <v>44</v>
      </c>
      <c r="E829" t="s">
        <v>43</v>
      </c>
      <c r="F829" t="s">
        <v>17</v>
      </c>
      <c r="G829">
        <v>92900</v>
      </c>
      <c r="H829">
        <v>4100</v>
      </c>
      <c r="I829">
        <v>4.62</v>
      </c>
      <c r="J829">
        <v>95000</v>
      </c>
      <c r="K829">
        <v>96200</v>
      </c>
      <c r="L829">
        <v>92100</v>
      </c>
      <c r="M829">
        <v>2972109</v>
      </c>
      <c r="N829">
        <v>277909334540</v>
      </c>
      <c r="O829">
        <v>474654361</v>
      </c>
      <c r="P829">
        <v>44095390136900</v>
      </c>
    </row>
    <row r="830" spans="1:16">
      <c r="A830" t="s">
        <v>43</v>
      </c>
      <c r="B830">
        <v>20260304</v>
      </c>
      <c r="C830">
        <v>55550</v>
      </c>
      <c r="D830" t="s">
        <v>44</v>
      </c>
      <c r="E830" t="s">
        <v>43</v>
      </c>
      <c r="F830" t="s">
        <v>17</v>
      </c>
      <c r="G830">
        <v>88800</v>
      </c>
      <c r="H830">
        <v>-7900</v>
      </c>
      <c r="I830">
        <v>-8.17</v>
      </c>
      <c r="J830">
        <v>94500</v>
      </c>
      <c r="K830">
        <v>94600</v>
      </c>
      <c r="L830">
        <v>85000</v>
      </c>
      <c r="M830">
        <v>3419674</v>
      </c>
      <c r="N830">
        <v>307564348662</v>
      </c>
      <c r="O830">
        <v>474654361</v>
      </c>
      <c r="P830">
        <v>42149307256800</v>
      </c>
    </row>
    <row r="831" spans="1:16">
      <c r="A831" t="s">
        <v>43</v>
      </c>
      <c r="B831">
        <v>20260303</v>
      </c>
      <c r="C831">
        <v>55550</v>
      </c>
      <c r="D831" t="s">
        <v>44</v>
      </c>
      <c r="E831" t="s">
        <v>43</v>
      </c>
      <c r="F831" t="s">
        <v>17</v>
      </c>
      <c r="G831">
        <v>96700</v>
      </c>
      <c r="H831">
        <v>-200</v>
      </c>
      <c r="I831">
        <v>-0.21</v>
      </c>
      <c r="J831">
        <v>95900</v>
      </c>
      <c r="K831">
        <v>98300</v>
      </c>
      <c r="L831">
        <v>95200</v>
      </c>
      <c r="M831">
        <v>2289926</v>
      </c>
      <c r="N831">
        <v>221578237872</v>
      </c>
      <c r="O831">
        <v>474654361</v>
      </c>
      <c r="P831">
        <v>45899076708700</v>
      </c>
    </row>
    <row r="832" spans="1:16">
      <c r="A832" t="s">
        <v>43</v>
      </c>
      <c r="B832">
        <v>20260227</v>
      </c>
      <c r="C832">
        <v>55550</v>
      </c>
      <c r="D832" t="s">
        <v>44</v>
      </c>
      <c r="E832" t="s">
        <v>43</v>
      </c>
      <c r="F832" t="s">
        <v>17</v>
      </c>
      <c r="G832">
        <v>96900</v>
      </c>
      <c r="H832">
        <v>-3000</v>
      </c>
      <c r="I832">
        <v>-3</v>
      </c>
      <c r="J832">
        <v>99500</v>
      </c>
      <c r="K832">
        <v>99500</v>
      </c>
      <c r="L832">
        <v>96400</v>
      </c>
      <c r="M832">
        <v>3007690</v>
      </c>
      <c r="N832">
        <v>291833336118</v>
      </c>
      <c r="O832">
        <v>474654361</v>
      </c>
      <c r="P832">
        <v>45994007580900</v>
      </c>
    </row>
    <row r="833" spans="1:16">
      <c r="A833" t="s">
        <v>43</v>
      </c>
      <c r="B833">
        <v>20260226</v>
      </c>
      <c r="C833">
        <v>55550</v>
      </c>
      <c r="D833" t="s">
        <v>44</v>
      </c>
      <c r="E833" t="s">
        <v>43</v>
      </c>
      <c r="F833" t="s">
        <v>17</v>
      </c>
      <c r="G833">
        <v>99900</v>
      </c>
      <c r="H833">
        <v>400</v>
      </c>
      <c r="I833">
        <v>0.4</v>
      </c>
      <c r="J833">
        <v>99500</v>
      </c>
      <c r="K833">
        <v>100400</v>
      </c>
      <c r="L833">
        <v>98300</v>
      </c>
      <c r="M833">
        <v>2054336</v>
      </c>
      <c r="N833">
        <v>204732050514</v>
      </c>
      <c r="O833">
        <v>474654361</v>
      </c>
      <c r="P833">
        <v>47417970663900</v>
      </c>
    </row>
    <row r="834" spans="1:16">
      <c r="A834" t="s">
        <v>43</v>
      </c>
      <c r="B834">
        <v>20260225</v>
      </c>
      <c r="C834">
        <v>55550</v>
      </c>
      <c r="D834" t="s">
        <v>44</v>
      </c>
      <c r="E834" t="s">
        <v>43</v>
      </c>
      <c r="F834" t="s">
        <v>17</v>
      </c>
      <c r="G834">
        <v>99500</v>
      </c>
      <c r="H834">
        <v>-1400</v>
      </c>
      <c r="I834">
        <v>-1.39</v>
      </c>
      <c r="J834">
        <v>100300</v>
      </c>
      <c r="K834">
        <v>100800</v>
      </c>
      <c r="L834">
        <v>98500</v>
      </c>
      <c r="M834">
        <v>1873831</v>
      </c>
      <c r="N834">
        <v>186717001107</v>
      </c>
      <c r="O834">
        <v>485494934</v>
      </c>
      <c r="P834">
        <v>48306745933000</v>
      </c>
    </row>
    <row r="835" spans="1:16">
      <c r="A835" t="s">
        <v>43</v>
      </c>
      <c r="B835">
        <v>20260224</v>
      </c>
      <c r="C835">
        <v>55550</v>
      </c>
      <c r="D835" t="s">
        <v>44</v>
      </c>
      <c r="E835" t="s">
        <v>43</v>
      </c>
      <c r="F835" t="s">
        <v>17</v>
      </c>
      <c r="G835">
        <v>100900</v>
      </c>
      <c r="H835">
        <v>-900</v>
      </c>
      <c r="I835">
        <v>-0.88</v>
      </c>
      <c r="J835">
        <v>103800</v>
      </c>
      <c r="K835">
        <v>103800</v>
      </c>
      <c r="L835">
        <v>97900</v>
      </c>
      <c r="M835">
        <v>1893566</v>
      </c>
      <c r="N835">
        <v>189926582800</v>
      </c>
      <c r="O835">
        <v>485494934</v>
      </c>
      <c r="P835">
        <v>48986438840600</v>
      </c>
    </row>
    <row r="836" spans="1:16">
      <c r="A836" t="s">
        <v>43</v>
      </c>
      <c r="B836">
        <v>20260223</v>
      </c>
      <c r="C836">
        <v>55550</v>
      </c>
      <c r="D836" t="s">
        <v>44</v>
      </c>
      <c r="E836" t="s">
        <v>43</v>
      </c>
      <c r="F836" t="s">
        <v>17</v>
      </c>
      <c r="G836">
        <v>101800</v>
      </c>
      <c r="H836">
        <v>-200</v>
      </c>
      <c r="I836">
        <v>-0.2</v>
      </c>
      <c r="J836">
        <v>102900</v>
      </c>
      <c r="K836">
        <v>102900</v>
      </c>
      <c r="L836">
        <v>100900</v>
      </c>
      <c r="M836">
        <v>1403896</v>
      </c>
      <c r="N836">
        <v>142808589000</v>
      </c>
      <c r="O836">
        <v>485494934</v>
      </c>
      <c r="P836">
        <v>49423384281200</v>
      </c>
    </row>
    <row r="837" spans="1:16">
      <c r="A837" t="s">
        <v>43</v>
      </c>
      <c r="B837">
        <v>20260220</v>
      </c>
      <c r="C837">
        <v>55550</v>
      </c>
      <c r="D837" t="s">
        <v>44</v>
      </c>
      <c r="E837" t="s">
        <v>43</v>
      </c>
      <c r="F837" t="s">
        <v>17</v>
      </c>
      <c r="G837">
        <v>102000</v>
      </c>
      <c r="H837">
        <v>1700</v>
      </c>
      <c r="I837">
        <v>1.69</v>
      </c>
      <c r="J837">
        <v>101000</v>
      </c>
      <c r="K837">
        <v>102600</v>
      </c>
      <c r="L837">
        <v>100200</v>
      </c>
      <c r="M837">
        <v>1540884</v>
      </c>
      <c r="N837">
        <v>156503430200</v>
      </c>
      <c r="O837">
        <v>485494934</v>
      </c>
      <c r="P837">
        <v>49520483268000</v>
      </c>
    </row>
    <row r="838" spans="1:16">
      <c r="A838" t="s">
        <v>43</v>
      </c>
      <c r="B838">
        <v>20260219</v>
      </c>
      <c r="C838">
        <v>55550</v>
      </c>
      <c r="D838" t="s">
        <v>44</v>
      </c>
      <c r="E838" t="s">
        <v>43</v>
      </c>
      <c r="F838" t="s">
        <v>17</v>
      </c>
      <c r="G838">
        <v>100300</v>
      </c>
      <c r="H838">
        <v>-2200</v>
      </c>
      <c r="I838">
        <v>-2.15</v>
      </c>
      <c r="J838">
        <v>102500</v>
      </c>
      <c r="K838">
        <v>103400</v>
      </c>
      <c r="L838">
        <v>99500</v>
      </c>
      <c r="M838">
        <v>2354745</v>
      </c>
      <c r="N838">
        <v>237394960900</v>
      </c>
      <c r="O838">
        <v>485494934</v>
      </c>
      <c r="P838">
        <v>48695141880200</v>
      </c>
    </row>
    <row r="839" spans="1:16">
      <c r="A839" t="s">
        <v>43</v>
      </c>
      <c r="B839">
        <v>20260213</v>
      </c>
      <c r="C839">
        <v>55550</v>
      </c>
      <c r="D839" t="s">
        <v>44</v>
      </c>
      <c r="E839" t="s">
        <v>43</v>
      </c>
      <c r="F839" t="s">
        <v>17</v>
      </c>
      <c r="G839">
        <v>102500</v>
      </c>
      <c r="H839">
        <v>-3500</v>
      </c>
      <c r="I839">
        <v>-3.3</v>
      </c>
      <c r="J839">
        <v>105200</v>
      </c>
      <c r="K839">
        <v>106200</v>
      </c>
      <c r="L839">
        <v>102400</v>
      </c>
      <c r="M839">
        <v>3014041</v>
      </c>
      <c r="N839">
        <v>313596768900</v>
      </c>
      <c r="O839">
        <v>485494934</v>
      </c>
      <c r="P839">
        <v>49763230735000</v>
      </c>
    </row>
    <row r="840" spans="1:16">
      <c r="A840" t="s">
        <v>43</v>
      </c>
      <c r="B840">
        <v>20260212</v>
      </c>
      <c r="C840">
        <v>55550</v>
      </c>
      <c r="D840" t="s">
        <v>44</v>
      </c>
      <c r="E840" t="s">
        <v>43</v>
      </c>
      <c r="F840" t="s">
        <v>17</v>
      </c>
      <c r="G840">
        <v>106000</v>
      </c>
      <c r="H840">
        <v>5100</v>
      </c>
      <c r="I840">
        <v>5.05</v>
      </c>
      <c r="J840">
        <v>105600</v>
      </c>
      <c r="K840">
        <v>107200</v>
      </c>
      <c r="L840">
        <v>101100</v>
      </c>
      <c r="M840">
        <v>2276252</v>
      </c>
      <c r="N840">
        <v>239084403850</v>
      </c>
      <c r="O840">
        <v>485494934</v>
      </c>
      <c r="P840">
        <v>51462463004000</v>
      </c>
    </row>
    <row r="841" spans="1:16">
      <c r="A841" t="s">
        <v>43</v>
      </c>
      <c r="B841">
        <v>20260211</v>
      </c>
      <c r="C841">
        <v>55550</v>
      </c>
      <c r="D841" t="s">
        <v>44</v>
      </c>
      <c r="E841" t="s">
        <v>43</v>
      </c>
      <c r="F841" t="s">
        <v>17</v>
      </c>
      <c r="G841">
        <v>100900</v>
      </c>
      <c r="H841">
        <v>3000</v>
      </c>
      <c r="I841">
        <v>3.06</v>
      </c>
      <c r="J841">
        <v>97800</v>
      </c>
      <c r="K841">
        <v>101000</v>
      </c>
      <c r="L841">
        <v>97800</v>
      </c>
      <c r="M841">
        <v>1648821</v>
      </c>
      <c r="N841">
        <v>165130519900</v>
      </c>
      <c r="O841">
        <v>485494934</v>
      </c>
      <c r="P841">
        <v>48986438840600</v>
      </c>
    </row>
    <row r="842" spans="1:16">
      <c r="A842" t="s">
        <v>43</v>
      </c>
      <c r="B842">
        <v>20260210</v>
      </c>
      <c r="C842">
        <v>55550</v>
      </c>
      <c r="D842" t="s">
        <v>44</v>
      </c>
      <c r="E842" t="s">
        <v>43</v>
      </c>
      <c r="F842" t="s">
        <v>17</v>
      </c>
      <c r="G842">
        <v>97900</v>
      </c>
      <c r="H842">
        <v>4500</v>
      </c>
      <c r="I842">
        <v>4.82</v>
      </c>
      <c r="J842">
        <v>95700</v>
      </c>
      <c r="K842">
        <v>99000</v>
      </c>
      <c r="L842">
        <v>94800</v>
      </c>
      <c r="M842">
        <v>1501360</v>
      </c>
      <c r="N842">
        <v>146509977250</v>
      </c>
      <c r="O842">
        <v>485494934</v>
      </c>
      <c r="P842">
        <v>47529954038600</v>
      </c>
    </row>
    <row r="843" spans="1:16">
      <c r="A843" t="s">
        <v>43</v>
      </c>
      <c r="B843">
        <v>20260209</v>
      </c>
      <c r="C843">
        <v>55550</v>
      </c>
      <c r="D843" t="s">
        <v>44</v>
      </c>
      <c r="E843" t="s">
        <v>43</v>
      </c>
      <c r="F843" t="s">
        <v>17</v>
      </c>
      <c r="G843">
        <v>93400</v>
      </c>
      <c r="H843">
        <v>-200</v>
      </c>
      <c r="I843">
        <v>-0.21</v>
      </c>
      <c r="J843">
        <v>96000</v>
      </c>
      <c r="K843">
        <v>97000</v>
      </c>
      <c r="L843">
        <v>93000</v>
      </c>
      <c r="M843">
        <v>1997017</v>
      </c>
      <c r="N843">
        <v>188254786838</v>
      </c>
      <c r="O843">
        <v>485494934</v>
      </c>
      <c r="P843">
        <v>45345226835600</v>
      </c>
    </row>
    <row r="844" spans="1:16">
      <c r="A844" t="s">
        <v>43</v>
      </c>
      <c r="B844">
        <v>20260206</v>
      </c>
      <c r="C844">
        <v>55550</v>
      </c>
      <c r="D844" t="s">
        <v>44</v>
      </c>
      <c r="E844" t="s">
        <v>43</v>
      </c>
      <c r="F844" t="s">
        <v>17</v>
      </c>
      <c r="G844">
        <v>93600</v>
      </c>
      <c r="H844">
        <v>2700</v>
      </c>
      <c r="I844">
        <v>2.97</v>
      </c>
      <c r="J844">
        <v>90100</v>
      </c>
      <c r="K844">
        <v>93600</v>
      </c>
      <c r="L844">
        <v>87800</v>
      </c>
      <c r="M844">
        <v>2556081</v>
      </c>
      <c r="N844">
        <v>234418136500</v>
      </c>
      <c r="O844">
        <v>485494934</v>
      </c>
      <c r="P844">
        <v>45442325822400</v>
      </c>
    </row>
    <row r="845" spans="1:16">
      <c r="A845" t="s">
        <v>43</v>
      </c>
      <c r="B845">
        <v>20260205</v>
      </c>
      <c r="C845">
        <v>55550</v>
      </c>
      <c r="D845" t="s">
        <v>44</v>
      </c>
      <c r="E845" t="s">
        <v>43</v>
      </c>
      <c r="F845" t="s">
        <v>17</v>
      </c>
      <c r="G845">
        <v>90900</v>
      </c>
      <c r="H845">
        <v>600</v>
      </c>
      <c r="I845">
        <v>0.66</v>
      </c>
      <c r="J845">
        <v>90300</v>
      </c>
      <c r="K845">
        <v>91700</v>
      </c>
      <c r="L845">
        <v>88600</v>
      </c>
      <c r="M845">
        <v>1254944</v>
      </c>
      <c r="N845">
        <v>113094858600</v>
      </c>
      <c r="O845">
        <v>485494934</v>
      </c>
      <c r="P845">
        <v>44131489500600</v>
      </c>
    </row>
    <row r="846" spans="1:16">
      <c r="A846" t="s">
        <v>43</v>
      </c>
      <c r="B846">
        <v>20260204</v>
      </c>
      <c r="C846">
        <v>55550</v>
      </c>
      <c r="D846" t="s">
        <v>44</v>
      </c>
      <c r="E846" t="s">
        <v>43</v>
      </c>
      <c r="F846" t="s">
        <v>17</v>
      </c>
      <c r="G846">
        <v>90300</v>
      </c>
      <c r="H846">
        <v>2300</v>
      </c>
      <c r="I846">
        <v>2.61</v>
      </c>
      <c r="J846">
        <v>92000</v>
      </c>
      <c r="K846">
        <v>92500</v>
      </c>
      <c r="L846">
        <v>87000</v>
      </c>
      <c r="M846">
        <v>1845534</v>
      </c>
      <c r="N846">
        <v>167155581632</v>
      </c>
      <c r="O846">
        <v>485494934</v>
      </c>
      <c r="P846">
        <v>43840192540200</v>
      </c>
    </row>
    <row r="847" spans="1:16">
      <c r="A847" t="s">
        <v>43</v>
      </c>
      <c r="B847">
        <v>20260203</v>
      </c>
      <c r="C847">
        <v>55550</v>
      </c>
      <c r="D847" t="s">
        <v>44</v>
      </c>
      <c r="E847" t="s">
        <v>43</v>
      </c>
      <c r="F847" t="s">
        <v>17</v>
      </c>
      <c r="G847">
        <v>88000</v>
      </c>
      <c r="H847">
        <v>5500</v>
      </c>
      <c r="I847">
        <v>6.67</v>
      </c>
      <c r="J847">
        <v>85500</v>
      </c>
      <c r="K847">
        <v>88000</v>
      </c>
      <c r="L847">
        <v>85000</v>
      </c>
      <c r="M847">
        <v>1479759</v>
      </c>
      <c r="N847">
        <v>128748002350</v>
      </c>
      <c r="O847">
        <v>485494934</v>
      </c>
      <c r="P847">
        <v>42723554192000</v>
      </c>
    </row>
    <row r="848" spans="1:16">
      <c r="A848" t="s">
        <v>43</v>
      </c>
      <c r="B848">
        <v>20260202</v>
      </c>
      <c r="C848">
        <v>55550</v>
      </c>
      <c r="D848" t="s">
        <v>44</v>
      </c>
      <c r="E848" t="s">
        <v>43</v>
      </c>
      <c r="F848" t="s">
        <v>17</v>
      </c>
      <c r="G848">
        <v>82500</v>
      </c>
      <c r="H848">
        <v>-1800</v>
      </c>
      <c r="I848">
        <v>-2.14</v>
      </c>
      <c r="J848">
        <v>85000</v>
      </c>
      <c r="K848">
        <v>88000</v>
      </c>
      <c r="L848">
        <v>82000</v>
      </c>
      <c r="M848">
        <v>1592537</v>
      </c>
      <c r="N848">
        <v>133633706600</v>
      </c>
      <c r="O848">
        <v>485494934</v>
      </c>
      <c r="P848">
        <v>40053332055000</v>
      </c>
    </row>
    <row r="849" spans="1:16">
      <c r="A849" t="s">
        <v>43</v>
      </c>
      <c r="B849">
        <v>20260130</v>
      </c>
      <c r="C849">
        <v>55550</v>
      </c>
      <c r="D849" t="s">
        <v>44</v>
      </c>
      <c r="E849" t="s">
        <v>43</v>
      </c>
      <c r="F849" t="s">
        <v>17</v>
      </c>
      <c r="G849">
        <v>84300</v>
      </c>
      <c r="H849">
        <v>-800</v>
      </c>
      <c r="I849">
        <v>-0.94</v>
      </c>
      <c r="J849">
        <v>84800</v>
      </c>
      <c r="K849">
        <v>86400</v>
      </c>
      <c r="L849">
        <v>83800</v>
      </c>
      <c r="M849">
        <v>1651120</v>
      </c>
      <c r="N849">
        <v>140195998050</v>
      </c>
      <c r="O849">
        <v>485494934</v>
      </c>
      <c r="P849">
        <v>40927222936200</v>
      </c>
    </row>
    <row r="850" spans="1:16">
      <c r="A850" t="s">
        <v>43</v>
      </c>
      <c r="B850">
        <v>20260129</v>
      </c>
      <c r="C850">
        <v>55550</v>
      </c>
      <c r="D850" t="s">
        <v>44</v>
      </c>
      <c r="E850" t="s">
        <v>43</v>
      </c>
      <c r="F850" t="s">
        <v>17</v>
      </c>
      <c r="G850">
        <v>85100</v>
      </c>
      <c r="H850">
        <v>1300</v>
      </c>
      <c r="I850">
        <v>1.55</v>
      </c>
      <c r="J850">
        <v>85800</v>
      </c>
      <c r="K850">
        <v>85800</v>
      </c>
      <c r="L850">
        <v>83400</v>
      </c>
      <c r="M850">
        <v>1386473</v>
      </c>
      <c r="N850">
        <v>117629505600</v>
      </c>
      <c r="O850">
        <v>485494934</v>
      </c>
      <c r="P850">
        <v>41315618883400</v>
      </c>
    </row>
    <row r="851" spans="1:16">
      <c r="A851" t="s">
        <v>43</v>
      </c>
      <c r="B851">
        <v>20260128</v>
      </c>
      <c r="C851">
        <v>55550</v>
      </c>
      <c r="D851" t="s">
        <v>44</v>
      </c>
      <c r="E851" t="s">
        <v>43</v>
      </c>
      <c r="F851" t="s">
        <v>17</v>
      </c>
      <c r="G851">
        <v>83800</v>
      </c>
      <c r="H851">
        <v>-2300</v>
      </c>
      <c r="I851">
        <v>-2.67</v>
      </c>
      <c r="J851">
        <v>84900</v>
      </c>
      <c r="K851">
        <v>87000</v>
      </c>
      <c r="L851">
        <v>83600</v>
      </c>
      <c r="M851">
        <v>1383211</v>
      </c>
      <c r="N851">
        <v>117247106050</v>
      </c>
      <c r="O851">
        <v>485494934</v>
      </c>
      <c r="P851">
        <v>40684475469200</v>
      </c>
    </row>
    <row r="852" spans="1:16">
      <c r="A852" t="s">
        <v>43</v>
      </c>
      <c r="B852">
        <v>20260127</v>
      </c>
      <c r="C852">
        <v>55550</v>
      </c>
      <c r="D852" t="s">
        <v>44</v>
      </c>
      <c r="E852" t="s">
        <v>43</v>
      </c>
      <c r="F852" t="s">
        <v>17</v>
      </c>
      <c r="G852">
        <v>86100</v>
      </c>
      <c r="H852">
        <v>3700</v>
      </c>
      <c r="I852">
        <v>4.49</v>
      </c>
      <c r="J852">
        <v>82700</v>
      </c>
      <c r="K852">
        <v>86500</v>
      </c>
      <c r="L852">
        <v>82500</v>
      </c>
      <c r="M852">
        <v>1650498</v>
      </c>
      <c r="N852">
        <v>140805100550</v>
      </c>
      <c r="O852">
        <v>485494934</v>
      </c>
      <c r="P852">
        <v>41801113817400</v>
      </c>
    </row>
    <row r="853" spans="1:16">
      <c r="A853" t="s">
        <v>43</v>
      </c>
      <c r="B853">
        <v>20260126</v>
      </c>
      <c r="C853">
        <v>55550</v>
      </c>
      <c r="D853" t="s">
        <v>44</v>
      </c>
      <c r="E853" t="s">
        <v>43</v>
      </c>
      <c r="F853" t="s">
        <v>17</v>
      </c>
      <c r="G853">
        <v>82400</v>
      </c>
      <c r="H853">
        <v>-1500</v>
      </c>
      <c r="I853">
        <v>-1.79</v>
      </c>
      <c r="J853">
        <v>83900</v>
      </c>
      <c r="K853">
        <v>84500</v>
      </c>
      <c r="L853">
        <v>82400</v>
      </c>
      <c r="M853">
        <v>1238425</v>
      </c>
      <c r="N853">
        <v>103334003450</v>
      </c>
      <c r="O853">
        <v>485494934</v>
      </c>
      <c r="P853">
        <v>40004782561600</v>
      </c>
    </row>
    <row r="854" spans="1:16">
      <c r="A854" t="s">
        <v>43</v>
      </c>
      <c r="B854">
        <v>20260123</v>
      </c>
      <c r="C854">
        <v>55550</v>
      </c>
      <c r="D854" t="s">
        <v>44</v>
      </c>
      <c r="E854" t="s">
        <v>43</v>
      </c>
      <c r="F854" t="s">
        <v>17</v>
      </c>
      <c r="G854">
        <v>83900</v>
      </c>
      <c r="H854">
        <v>1000</v>
      </c>
      <c r="I854">
        <v>1.21</v>
      </c>
      <c r="J854">
        <v>83000</v>
      </c>
      <c r="K854">
        <v>83900</v>
      </c>
      <c r="L854">
        <v>81800</v>
      </c>
      <c r="M854">
        <v>1652599</v>
      </c>
      <c r="N854">
        <v>137406453250</v>
      </c>
      <c r="O854">
        <v>485494934</v>
      </c>
      <c r="P854">
        <v>40733024962600</v>
      </c>
    </row>
    <row r="855" spans="1:16">
      <c r="A855" t="s">
        <v>43</v>
      </c>
      <c r="B855">
        <v>20260122</v>
      </c>
      <c r="C855">
        <v>55550</v>
      </c>
      <c r="D855" t="s">
        <v>44</v>
      </c>
      <c r="E855" t="s">
        <v>43</v>
      </c>
      <c r="F855" t="s">
        <v>17</v>
      </c>
      <c r="G855">
        <v>82900</v>
      </c>
      <c r="H855">
        <v>1700</v>
      </c>
      <c r="I855">
        <v>2.09</v>
      </c>
      <c r="J855">
        <v>81700</v>
      </c>
      <c r="K855">
        <v>83500</v>
      </c>
      <c r="L855">
        <v>81000</v>
      </c>
      <c r="M855">
        <v>1661244</v>
      </c>
      <c r="N855">
        <v>136860241450</v>
      </c>
      <c r="O855">
        <v>485494934</v>
      </c>
      <c r="P855">
        <v>40247530028600</v>
      </c>
    </row>
    <row r="856" spans="1:16">
      <c r="A856" t="s">
        <v>43</v>
      </c>
      <c r="B856">
        <v>20260121</v>
      </c>
      <c r="C856">
        <v>55550</v>
      </c>
      <c r="D856" t="s">
        <v>44</v>
      </c>
      <c r="E856" t="s">
        <v>43</v>
      </c>
      <c r="F856" t="s">
        <v>17</v>
      </c>
      <c r="G856">
        <v>81200</v>
      </c>
      <c r="H856">
        <v>-700</v>
      </c>
      <c r="I856">
        <v>-0.85</v>
      </c>
      <c r="J856">
        <v>82300</v>
      </c>
      <c r="K856">
        <v>82300</v>
      </c>
      <c r="L856">
        <v>80000</v>
      </c>
      <c r="M856">
        <v>1201441</v>
      </c>
      <c r="N856">
        <v>97262762908</v>
      </c>
      <c r="O856">
        <v>485494934</v>
      </c>
      <c r="P856">
        <v>39422188640800</v>
      </c>
    </row>
    <row r="857" spans="1:16">
      <c r="A857" t="s">
        <v>43</v>
      </c>
      <c r="B857">
        <v>20260120</v>
      </c>
      <c r="C857">
        <v>55550</v>
      </c>
      <c r="D857" t="s">
        <v>44</v>
      </c>
      <c r="E857" t="s">
        <v>43</v>
      </c>
      <c r="F857" t="s">
        <v>17</v>
      </c>
      <c r="G857">
        <v>81900</v>
      </c>
      <c r="H857">
        <v>2200</v>
      </c>
      <c r="I857">
        <v>2.76</v>
      </c>
      <c r="J857">
        <v>78900</v>
      </c>
      <c r="K857">
        <v>82400</v>
      </c>
      <c r="L857">
        <v>78800</v>
      </c>
      <c r="M857">
        <v>1709340</v>
      </c>
      <c r="N857">
        <v>139108623600</v>
      </c>
      <c r="O857">
        <v>485494934</v>
      </c>
      <c r="P857">
        <v>39762035094600</v>
      </c>
    </row>
    <row r="858" spans="1:16">
      <c r="A858" t="s">
        <v>43</v>
      </c>
      <c r="B858">
        <v>20260119</v>
      </c>
      <c r="C858">
        <v>55550</v>
      </c>
      <c r="D858" t="s">
        <v>44</v>
      </c>
      <c r="E858" t="s">
        <v>43</v>
      </c>
      <c r="F858" t="s">
        <v>17</v>
      </c>
      <c r="G858">
        <v>79700</v>
      </c>
      <c r="H858">
        <v>500</v>
      </c>
      <c r="I858">
        <v>0.63</v>
      </c>
      <c r="J858">
        <v>78700</v>
      </c>
      <c r="K858">
        <v>80400</v>
      </c>
      <c r="L858">
        <v>78000</v>
      </c>
      <c r="M858">
        <v>970849</v>
      </c>
      <c r="N858">
        <v>77289404800</v>
      </c>
      <c r="O858">
        <v>485494934</v>
      </c>
      <c r="P858">
        <v>38693946239800</v>
      </c>
    </row>
    <row r="859" spans="1:16">
      <c r="A859" t="s">
        <v>43</v>
      </c>
      <c r="B859">
        <v>20260116</v>
      </c>
      <c r="C859">
        <v>55550</v>
      </c>
      <c r="D859" t="s">
        <v>44</v>
      </c>
      <c r="E859" t="s">
        <v>43</v>
      </c>
      <c r="F859" t="s">
        <v>17</v>
      </c>
      <c r="G859">
        <v>79200</v>
      </c>
      <c r="H859">
        <v>-200</v>
      </c>
      <c r="I859">
        <v>-0.25</v>
      </c>
      <c r="J859">
        <v>79600</v>
      </c>
      <c r="K859">
        <v>79800</v>
      </c>
      <c r="L859">
        <v>78700</v>
      </c>
      <c r="M859">
        <v>1049256</v>
      </c>
      <c r="N859">
        <v>83183865450</v>
      </c>
      <c r="O859">
        <v>485494934</v>
      </c>
      <c r="P859">
        <v>38451198772800</v>
      </c>
    </row>
    <row r="860" spans="1:16">
      <c r="A860" t="s">
        <v>43</v>
      </c>
      <c r="B860">
        <v>20260115</v>
      </c>
      <c r="C860">
        <v>55550</v>
      </c>
      <c r="D860" t="s">
        <v>44</v>
      </c>
      <c r="E860" t="s">
        <v>43</v>
      </c>
      <c r="F860" t="s">
        <v>17</v>
      </c>
      <c r="G860">
        <v>79400</v>
      </c>
      <c r="H860">
        <v>-500</v>
      </c>
      <c r="I860">
        <v>-0.63</v>
      </c>
      <c r="J860">
        <v>80000</v>
      </c>
      <c r="K860">
        <v>80800</v>
      </c>
      <c r="L860">
        <v>78600</v>
      </c>
      <c r="M860">
        <v>1160986</v>
      </c>
      <c r="N860">
        <v>92160670400</v>
      </c>
      <c r="O860">
        <v>485494934</v>
      </c>
      <c r="P860">
        <v>38548297759600</v>
      </c>
    </row>
    <row r="861" spans="1:16">
      <c r="A861" t="s">
        <v>43</v>
      </c>
      <c r="B861">
        <v>20260114</v>
      </c>
      <c r="C861">
        <v>55550</v>
      </c>
      <c r="D861" t="s">
        <v>44</v>
      </c>
      <c r="E861" t="s">
        <v>43</v>
      </c>
      <c r="F861" t="s">
        <v>17</v>
      </c>
      <c r="G861">
        <v>79900</v>
      </c>
      <c r="H861">
        <v>1500</v>
      </c>
      <c r="I861">
        <v>1.91</v>
      </c>
      <c r="J861">
        <v>78400</v>
      </c>
      <c r="K861">
        <v>80000</v>
      </c>
      <c r="L861">
        <v>78100</v>
      </c>
      <c r="M861">
        <v>1006405</v>
      </c>
      <c r="N861">
        <v>79826157550</v>
      </c>
      <c r="O861">
        <v>485494934</v>
      </c>
      <c r="P861">
        <v>38791045226600</v>
      </c>
    </row>
    <row r="862" spans="1:16">
      <c r="A862" t="s">
        <v>43</v>
      </c>
      <c r="B862">
        <v>20260113</v>
      </c>
      <c r="C862">
        <v>55550</v>
      </c>
      <c r="D862" t="s">
        <v>44</v>
      </c>
      <c r="E862" t="s">
        <v>43</v>
      </c>
      <c r="F862" t="s">
        <v>17</v>
      </c>
      <c r="G862">
        <v>78400</v>
      </c>
      <c r="H862">
        <v>200</v>
      </c>
      <c r="I862">
        <v>0.26</v>
      </c>
      <c r="J862">
        <v>78100</v>
      </c>
      <c r="K862">
        <v>78500</v>
      </c>
      <c r="L862">
        <v>76700</v>
      </c>
      <c r="M862">
        <v>1153880</v>
      </c>
      <c r="N862">
        <v>89762225500</v>
      </c>
      <c r="O862">
        <v>485494934</v>
      </c>
      <c r="P862">
        <v>38062802825600</v>
      </c>
    </row>
    <row r="863" spans="1:16">
      <c r="A863" t="s">
        <v>43</v>
      </c>
      <c r="B863">
        <v>20260112</v>
      </c>
      <c r="C863">
        <v>55550</v>
      </c>
      <c r="D863" t="s">
        <v>44</v>
      </c>
      <c r="E863" t="s">
        <v>43</v>
      </c>
      <c r="F863" t="s">
        <v>17</v>
      </c>
      <c r="G863">
        <v>78200</v>
      </c>
      <c r="H863">
        <v>400</v>
      </c>
      <c r="I863">
        <v>0.51</v>
      </c>
      <c r="J863">
        <v>78500</v>
      </c>
      <c r="K863">
        <v>78600</v>
      </c>
      <c r="L863">
        <v>77200</v>
      </c>
      <c r="M863">
        <v>1099821</v>
      </c>
      <c r="N863">
        <v>85634837522</v>
      </c>
      <c r="O863">
        <v>485494934</v>
      </c>
      <c r="P863">
        <v>37965703838800</v>
      </c>
    </row>
    <row r="864" spans="1:16">
      <c r="A864" t="s">
        <v>43</v>
      </c>
      <c r="B864">
        <v>20260109</v>
      </c>
      <c r="C864">
        <v>55550</v>
      </c>
      <c r="D864" t="s">
        <v>44</v>
      </c>
      <c r="E864" t="s">
        <v>43</v>
      </c>
      <c r="F864" t="s">
        <v>17</v>
      </c>
      <c r="G864">
        <v>77800</v>
      </c>
      <c r="H864">
        <v>300</v>
      </c>
      <c r="I864">
        <v>0.39</v>
      </c>
      <c r="J864">
        <v>78000</v>
      </c>
      <c r="K864">
        <v>78800</v>
      </c>
      <c r="L864">
        <v>77500</v>
      </c>
      <c r="M864">
        <v>1054964</v>
      </c>
      <c r="N864">
        <v>82527492400</v>
      </c>
      <c r="O864">
        <v>485494934</v>
      </c>
      <c r="P864">
        <v>37771505865200</v>
      </c>
    </row>
    <row r="865" spans="1:16">
      <c r="A865" t="s">
        <v>43</v>
      </c>
      <c r="B865">
        <v>20260108</v>
      </c>
      <c r="C865">
        <v>55550</v>
      </c>
      <c r="D865" t="s">
        <v>44</v>
      </c>
      <c r="E865" t="s">
        <v>43</v>
      </c>
      <c r="F865" t="s">
        <v>17</v>
      </c>
      <c r="G865">
        <v>77500</v>
      </c>
      <c r="H865">
        <v>-1500</v>
      </c>
      <c r="I865">
        <v>-1.9</v>
      </c>
      <c r="J865">
        <v>78900</v>
      </c>
      <c r="K865">
        <v>78900</v>
      </c>
      <c r="L865">
        <v>76900</v>
      </c>
      <c r="M865">
        <v>1076940</v>
      </c>
      <c r="N865">
        <v>83667413750</v>
      </c>
      <c r="O865">
        <v>485494934</v>
      </c>
      <c r="P865">
        <v>37625857385000</v>
      </c>
    </row>
    <row r="866" spans="1:16">
      <c r="A866" t="s">
        <v>43</v>
      </c>
      <c r="B866">
        <v>20260107</v>
      </c>
      <c r="C866">
        <v>55550</v>
      </c>
      <c r="D866" t="s">
        <v>44</v>
      </c>
      <c r="E866" t="s">
        <v>43</v>
      </c>
      <c r="F866" t="s">
        <v>17</v>
      </c>
      <c r="G866">
        <v>79000</v>
      </c>
      <c r="H866">
        <v>-1500</v>
      </c>
      <c r="I866">
        <v>-1.86</v>
      </c>
      <c r="J866">
        <v>79200</v>
      </c>
      <c r="K866">
        <v>80200</v>
      </c>
      <c r="L866">
        <v>78000</v>
      </c>
      <c r="M866">
        <v>1137444</v>
      </c>
      <c r="N866">
        <v>89584364343</v>
      </c>
      <c r="O866">
        <v>485494934</v>
      </c>
      <c r="P866">
        <v>38354099786000</v>
      </c>
    </row>
    <row r="867" spans="1:16">
      <c r="A867" t="s">
        <v>43</v>
      </c>
      <c r="B867">
        <v>20260106</v>
      </c>
      <c r="C867">
        <v>55550</v>
      </c>
      <c r="D867" t="s">
        <v>44</v>
      </c>
      <c r="E867" t="s">
        <v>43</v>
      </c>
      <c r="F867" t="s">
        <v>17</v>
      </c>
      <c r="G867">
        <v>80500</v>
      </c>
      <c r="H867">
        <v>1400</v>
      </c>
      <c r="I867">
        <v>1.77</v>
      </c>
      <c r="J867">
        <v>79600</v>
      </c>
      <c r="K867">
        <v>80900</v>
      </c>
      <c r="L867">
        <v>79200</v>
      </c>
      <c r="M867">
        <v>1225397</v>
      </c>
      <c r="N867">
        <v>98411049900</v>
      </c>
      <c r="O867">
        <v>485494934</v>
      </c>
      <c r="P867">
        <v>39082342187000</v>
      </c>
    </row>
    <row r="868" spans="1:16">
      <c r="A868" t="s">
        <v>43</v>
      </c>
      <c r="B868">
        <v>20260105</v>
      </c>
      <c r="C868">
        <v>55550</v>
      </c>
      <c r="D868" t="s">
        <v>44</v>
      </c>
      <c r="E868" t="s">
        <v>43</v>
      </c>
      <c r="F868" t="s">
        <v>17</v>
      </c>
      <c r="G868">
        <v>79100</v>
      </c>
      <c r="H868">
        <v>2500</v>
      </c>
      <c r="I868">
        <v>3.26</v>
      </c>
      <c r="J868">
        <v>77000</v>
      </c>
      <c r="K868">
        <v>79300</v>
      </c>
      <c r="L868">
        <v>76600</v>
      </c>
      <c r="M868">
        <v>1031715</v>
      </c>
      <c r="N868">
        <v>80910967100</v>
      </c>
      <c r="O868">
        <v>485494934</v>
      </c>
      <c r="P868">
        <v>38402649279400</v>
      </c>
    </row>
    <row r="869" spans="1:16">
      <c r="A869" t="s">
        <v>43</v>
      </c>
      <c r="B869">
        <v>20260102</v>
      </c>
      <c r="C869">
        <v>55550</v>
      </c>
      <c r="D869" t="s">
        <v>44</v>
      </c>
      <c r="E869" t="s">
        <v>43</v>
      </c>
      <c r="F869" t="s">
        <v>17</v>
      </c>
      <c r="G869">
        <v>76600</v>
      </c>
      <c r="H869">
        <v>-300</v>
      </c>
      <c r="I869">
        <v>-0.39</v>
      </c>
      <c r="J869">
        <v>76600</v>
      </c>
      <c r="K869">
        <v>77100</v>
      </c>
      <c r="L869">
        <v>76000</v>
      </c>
      <c r="M869">
        <v>640114</v>
      </c>
      <c r="N869">
        <v>49067237650</v>
      </c>
      <c r="O869">
        <v>485494934</v>
      </c>
      <c r="P869">
        <v>37188911944400</v>
      </c>
    </row>
    <row r="870" spans="1:16">
      <c r="A870" t="s">
        <v>45</v>
      </c>
      <c r="B870">
        <v>20260403</v>
      </c>
      <c r="C870">
        <v>28260</v>
      </c>
      <c r="D870" t="s">
        <v>46</v>
      </c>
      <c r="E870" t="s">
        <v>45</v>
      </c>
      <c r="F870" t="s">
        <v>17</v>
      </c>
      <c r="G870">
        <v>263000</v>
      </c>
      <c r="H870">
        <v>-1000</v>
      </c>
      <c r="I870">
        <v>-0.38</v>
      </c>
      <c r="J870">
        <v>268500</v>
      </c>
      <c r="K870">
        <v>273000</v>
      </c>
      <c r="L870">
        <v>262000</v>
      </c>
      <c r="M870">
        <v>259592</v>
      </c>
      <c r="N870">
        <v>68796059750</v>
      </c>
      <c r="O870">
        <v>162168981</v>
      </c>
      <c r="P870">
        <v>42650442003000</v>
      </c>
    </row>
    <row r="871" spans="1:16">
      <c r="A871" t="s">
        <v>45</v>
      </c>
      <c r="B871">
        <v>20260402</v>
      </c>
      <c r="C871">
        <v>28260</v>
      </c>
      <c r="D871" t="s">
        <v>46</v>
      </c>
      <c r="E871" t="s">
        <v>45</v>
      </c>
      <c r="F871" t="s">
        <v>17</v>
      </c>
      <c r="G871">
        <v>264000</v>
      </c>
      <c r="H871">
        <v>-9000</v>
      </c>
      <c r="I871">
        <v>-3.3</v>
      </c>
      <c r="J871">
        <v>276000</v>
      </c>
      <c r="K871">
        <v>281000</v>
      </c>
      <c r="L871">
        <v>259000</v>
      </c>
      <c r="M871">
        <v>362147</v>
      </c>
      <c r="N871">
        <v>96941506750</v>
      </c>
      <c r="O871">
        <v>162168981</v>
      </c>
      <c r="P871">
        <v>42812610984000</v>
      </c>
    </row>
    <row r="872" spans="1:16">
      <c r="A872" t="s">
        <v>45</v>
      </c>
      <c r="B872">
        <v>20260401</v>
      </c>
      <c r="C872">
        <v>28260</v>
      </c>
      <c r="D872" t="s">
        <v>46</v>
      </c>
      <c r="E872" t="s">
        <v>45</v>
      </c>
      <c r="F872" t="s">
        <v>17</v>
      </c>
      <c r="G872">
        <v>273000</v>
      </c>
      <c r="H872">
        <v>19500</v>
      </c>
      <c r="I872">
        <v>7.69</v>
      </c>
      <c r="J872">
        <v>264000</v>
      </c>
      <c r="K872">
        <v>275500</v>
      </c>
      <c r="L872">
        <v>261500</v>
      </c>
      <c r="M872">
        <v>460078</v>
      </c>
      <c r="N872">
        <v>123859299000</v>
      </c>
      <c r="O872">
        <v>162168981</v>
      </c>
      <c r="P872">
        <v>44272131813000</v>
      </c>
    </row>
    <row r="873" spans="1:16">
      <c r="A873" t="s">
        <v>45</v>
      </c>
      <c r="B873">
        <v>20260331</v>
      </c>
      <c r="C873">
        <v>28260</v>
      </c>
      <c r="D873" t="s">
        <v>46</v>
      </c>
      <c r="E873" t="s">
        <v>45</v>
      </c>
      <c r="F873" t="s">
        <v>17</v>
      </c>
      <c r="G873">
        <v>253500</v>
      </c>
      <c r="H873">
        <v>-6000</v>
      </c>
      <c r="I873">
        <v>-2.31</v>
      </c>
      <c r="J873">
        <v>251000</v>
      </c>
      <c r="K873">
        <v>260000</v>
      </c>
      <c r="L873">
        <v>245500</v>
      </c>
      <c r="M873">
        <v>616965</v>
      </c>
      <c r="N873">
        <v>156611472500</v>
      </c>
      <c r="O873">
        <v>162168981</v>
      </c>
      <c r="P873">
        <v>41109836683500</v>
      </c>
    </row>
    <row r="874" spans="1:16">
      <c r="A874" t="s">
        <v>45</v>
      </c>
      <c r="B874">
        <v>20260330</v>
      </c>
      <c r="C874">
        <v>28260</v>
      </c>
      <c r="D874" t="s">
        <v>46</v>
      </c>
      <c r="E874" t="s">
        <v>45</v>
      </c>
      <c r="F874" t="s">
        <v>17</v>
      </c>
      <c r="G874">
        <v>259500</v>
      </c>
      <c r="H874">
        <v>-9500</v>
      </c>
      <c r="I874">
        <v>-3.53</v>
      </c>
      <c r="J874">
        <v>248500</v>
      </c>
      <c r="K874">
        <v>262500</v>
      </c>
      <c r="L874">
        <v>247500</v>
      </c>
      <c r="M874">
        <v>583936</v>
      </c>
      <c r="N874">
        <v>150787644250</v>
      </c>
      <c r="O874">
        <v>169976544</v>
      </c>
      <c r="P874">
        <v>44108913168000</v>
      </c>
    </row>
    <row r="875" spans="1:16">
      <c r="A875" t="s">
        <v>45</v>
      </c>
      <c r="B875">
        <v>20260327</v>
      </c>
      <c r="C875">
        <v>28260</v>
      </c>
      <c r="D875" t="s">
        <v>46</v>
      </c>
      <c r="E875" t="s">
        <v>45</v>
      </c>
      <c r="F875" t="s">
        <v>17</v>
      </c>
      <c r="G875">
        <v>269000</v>
      </c>
      <c r="H875">
        <v>-9000</v>
      </c>
      <c r="I875">
        <v>-3.24</v>
      </c>
      <c r="J875">
        <v>267500</v>
      </c>
      <c r="K875">
        <v>270500</v>
      </c>
      <c r="L875">
        <v>258000</v>
      </c>
      <c r="M875">
        <v>683519</v>
      </c>
      <c r="N875">
        <v>181003086500</v>
      </c>
      <c r="O875">
        <v>169976544</v>
      </c>
      <c r="P875">
        <v>45723690336000</v>
      </c>
    </row>
    <row r="876" spans="1:16">
      <c r="A876" t="s">
        <v>45</v>
      </c>
      <c r="B876">
        <v>20260326</v>
      </c>
      <c r="C876">
        <v>28260</v>
      </c>
      <c r="D876" t="s">
        <v>46</v>
      </c>
      <c r="E876" t="s">
        <v>45</v>
      </c>
      <c r="F876" t="s">
        <v>17</v>
      </c>
      <c r="G876">
        <v>278000</v>
      </c>
      <c r="H876">
        <v>-11000</v>
      </c>
      <c r="I876">
        <v>-3.81</v>
      </c>
      <c r="J876">
        <v>289000</v>
      </c>
      <c r="K876">
        <v>294000</v>
      </c>
      <c r="L876">
        <v>273000</v>
      </c>
      <c r="M876">
        <v>357316</v>
      </c>
      <c r="N876">
        <v>100126967250</v>
      </c>
      <c r="O876">
        <v>169976544</v>
      </c>
      <c r="P876">
        <v>47253479232000</v>
      </c>
    </row>
    <row r="877" spans="1:16">
      <c r="A877" t="s">
        <v>45</v>
      </c>
      <c r="B877">
        <v>20260325</v>
      </c>
      <c r="C877">
        <v>28260</v>
      </c>
      <c r="D877" t="s">
        <v>46</v>
      </c>
      <c r="E877" t="s">
        <v>45</v>
      </c>
      <c r="F877" t="s">
        <v>17</v>
      </c>
      <c r="G877">
        <v>289000</v>
      </c>
      <c r="H877">
        <v>7500</v>
      </c>
      <c r="I877">
        <v>2.66</v>
      </c>
      <c r="J877">
        <v>290000</v>
      </c>
      <c r="K877">
        <v>291000</v>
      </c>
      <c r="L877">
        <v>281500</v>
      </c>
      <c r="M877">
        <v>367791</v>
      </c>
      <c r="N877">
        <v>105754739000</v>
      </c>
      <c r="O877">
        <v>169976544</v>
      </c>
      <c r="P877">
        <v>49123221216000</v>
      </c>
    </row>
    <row r="878" spans="1:16">
      <c r="A878" t="s">
        <v>45</v>
      </c>
      <c r="B878">
        <v>20260324</v>
      </c>
      <c r="C878">
        <v>28260</v>
      </c>
      <c r="D878" t="s">
        <v>46</v>
      </c>
      <c r="E878" t="s">
        <v>45</v>
      </c>
      <c r="F878" t="s">
        <v>17</v>
      </c>
      <c r="G878">
        <v>281500</v>
      </c>
      <c r="H878">
        <v>7000</v>
      </c>
      <c r="I878">
        <v>2.5499999999999998</v>
      </c>
      <c r="J878">
        <v>288000</v>
      </c>
      <c r="K878">
        <v>289000</v>
      </c>
      <c r="L878">
        <v>270500</v>
      </c>
      <c r="M878">
        <v>340184</v>
      </c>
      <c r="N878">
        <v>94902678778</v>
      </c>
      <c r="O878">
        <v>169976544</v>
      </c>
      <c r="P878">
        <v>47848397136000</v>
      </c>
    </row>
    <row r="879" spans="1:16">
      <c r="A879" t="s">
        <v>45</v>
      </c>
      <c r="B879">
        <v>20260323</v>
      </c>
      <c r="C879">
        <v>28260</v>
      </c>
      <c r="D879" t="s">
        <v>46</v>
      </c>
      <c r="E879" t="s">
        <v>45</v>
      </c>
      <c r="F879" t="s">
        <v>17</v>
      </c>
      <c r="G879">
        <v>274500</v>
      </c>
      <c r="H879">
        <v>-23000</v>
      </c>
      <c r="I879">
        <v>-7.73</v>
      </c>
      <c r="J879">
        <v>286500</v>
      </c>
      <c r="K879">
        <v>289000</v>
      </c>
      <c r="L879">
        <v>271000</v>
      </c>
      <c r="M879">
        <v>387487</v>
      </c>
      <c r="N879">
        <v>107587282000</v>
      </c>
      <c r="O879">
        <v>169976544</v>
      </c>
      <c r="P879">
        <v>46658561328000</v>
      </c>
    </row>
    <row r="880" spans="1:16">
      <c r="A880" t="s">
        <v>45</v>
      </c>
      <c r="B880">
        <v>20260320</v>
      </c>
      <c r="C880">
        <v>28260</v>
      </c>
      <c r="D880" t="s">
        <v>46</v>
      </c>
      <c r="E880" t="s">
        <v>45</v>
      </c>
      <c r="F880" t="s">
        <v>17</v>
      </c>
      <c r="G880">
        <v>297500</v>
      </c>
      <c r="H880">
        <v>6500</v>
      </c>
      <c r="I880">
        <v>2.23</v>
      </c>
      <c r="J880">
        <v>297000</v>
      </c>
      <c r="K880">
        <v>305000</v>
      </c>
      <c r="L880">
        <v>294000</v>
      </c>
      <c r="M880">
        <v>626346</v>
      </c>
      <c r="N880">
        <v>187265945000</v>
      </c>
      <c r="O880">
        <v>169976544</v>
      </c>
      <c r="P880">
        <v>50568021840000</v>
      </c>
    </row>
    <row r="881" spans="1:16">
      <c r="A881" t="s">
        <v>45</v>
      </c>
      <c r="B881">
        <v>20260319</v>
      </c>
      <c r="C881">
        <v>28260</v>
      </c>
      <c r="D881" t="s">
        <v>46</v>
      </c>
      <c r="E881" t="s">
        <v>45</v>
      </c>
      <c r="F881" t="s">
        <v>17</v>
      </c>
      <c r="G881">
        <v>291000</v>
      </c>
      <c r="H881">
        <v>-8000</v>
      </c>
      <c r="I881">
        <v>-2.68</v>
      </c>
      <c r="J881">
        <v>289000</v>
      </c>
      <c r="K881">
        <v>296500</v>
      </c>
      <c r="L881">
        <v>288500</v>
      </c>
      <c r="M881">
        <v>233252</v>
      </c>
      <c r="N881">
        <v>68148976500</v>
      </c>
      <c r="O881">
        <v>169976544</v>
      </c>
      <c r="P881">
        <v>49463174304000</v>
      </c>
    </row>
    <row r="882" spans="1:16">
      <c r="A882" t="s">
        <v>45</v>
      </c>
      <c r="B882">
        <v>20260318</v>
      </c>
      <c r="C882">
        <v>28260</v>
      </c>
      <c r="D882" t="s">
        <v>46</v>
      </c>
      <c r="E882" t="s">
        <v>45</v>
      </c>
      <c r="F882" t="s">
        <v>17</v>
      </c>
      <c r="G882">
        <v>299000</v>
      </c>
      <c r="H882">
        <v>19500</v>
      </c>
      <c r="I882">
        <v>6.98</v>
      </c>
      <c r="J882">
        <v>290500</v>
      </c>
      <c r="K882">
        <v>304500</v>
      </c>
      <c r="L882">
        <v>282000</v>
      </c>
      <c r="M882">
        <v>524546</v>
      </c>
      <c r="N882">
        <v>156920252500</v>
      </c>
      <c r="O882">
        <v>169976544</v>
      </c>
      <c r="P882">
        <v>50822986656000</v>
      </c>
    </row>
    <row r="883" spans="1:16">
      <c r="A883" t="s">
        <v>45</v>
      </c>
      <c r="B883">
        <v>20260317</v>
      </c>
      <c r="C883">
        <v>28260</v>
      </c>
      <c r="D883" t="s">
        <v>46</v>
      </c>
      <c r="E883" t="s">
        <v>45</v>
      </c>
      <c r="F883" t="s">
        <v>17</v>
      </c>
      <c r="G883">
        <v>279500</v>
      </c>
      <c r="H883">
        <v>1000</v>
      </c>
      <c r="I883">
        <v>0.36</v>
      </c>
      <c r="J883">
        <v>283500</v>
      </c>
      <c r="K883">
        <v>288500</v>
      </c>
      <c r="L883">
        <v>279000</v>
      </c>
      <c r="M883">
        <v>288986</v>
      </c>
      <c r="N883">
        <v>81665866750</v>
      </c>
      <c r="O883">
        <v>169976544</v>
      </c>
      <c r="P883">
        <v>47508444048000</v>
      </c>
    </row>
    <row r="884" spans="1:16">
      <c r="A884" t="s">
        <v>45</v>
      </c>
      <c r="B884">
        <v>20260316</v>
      </c>
      <c r="C884">
        <v>28260</v>
      </c>
      <c r="D884" t="s">
        <v>46</v>
      </c>
      <c r="E884" t="s">
        <v>45</v>
      </c>
      <c r="F884" t="s">
        <v>17</v>
      </c>
      <c r="G884">
        <v>278500</v>
      </c>
      <c r="H884">
        <v>-2000</v>
      </c>
      <c r="I884">
        <v>-0.71</v>
      </c>
      <c r="J884">
        <v>279000</v>
      </c>
      <c r="K884">
        <v>285000</v>
      </c>
      <c r="L884">
        <v>273500</v>
      </c>
      <c r="M884">
        <v>315465</v>
      </c>
      <c r="N884">
        <v>88042046750</v>
      </c>
      <c r="O884">
        <v>169976544</v>
      </c>
      <c r="P884">
        <v>47338467504000</v>
      </c>
    </row>
    <row r="885" spans="1:16">
      <c r="A885" t="s">
        <v>45</v>
      </c>
      <c r="B885">
        <v>20260313</v>
      </c>
      <c r="C885">
        <v>28260</v>
      </c>
      <c r="D885" t="s">
        <v>46</v>
      </c>
      <c r="E885" t="s">
        <v>45</v>
      </c>
      <c r="F885" t="s">
        <v>17</v>
      </c>
      <c r="G885">
        <v>280500</v>
      </c>
      <c r="H885">
        <v>0</v>
      </c>
      <c r="I885">
        <v>0</v>
      </c>
      <c r="J885">
        <v>269000</v>
      </c>
      <c r="K885">
        <v>284000</v>
      </c>
      <c r="L885">
        <v>266500</v>
      </c>
      <c r="M885">
        <v>310180</v>
      </c>
      <c r="N885">
        <v>86534172500</v>
      </c>
      <c r="O885">
        <v>169976544</v>
      </c>
      <c r="P885">
        <v>47678420592000</v>
      </c>
    </row>
    <row r="886" spans="1:16">
      <c r="A886" t="s">
        <v>45</v>
      </c>
      <c r="B886">
        <v>20260312</v>
      </c>
      <c r="C886">
        <v>28260</v>
      </c>
      <c r="D886" t="s">
        <v>46</v>
      </c>
      <c r="E886" t="s">
        <v>45</v>
      </c>
      <c r="F886" t="s">
        <v>17</v>
      </c>
      <c r="G886">
        <v>280500</v>
      </c>
      <c r="H886">
        <v>-3000</v>
      </c>
      <c r="I886">
        <v>-1.06</v>
      </c>
      <c r="J886">
        <v>283000</v>
      </c>
      <c r="K886">
        <v>287500</v>
      </c>
      <c r="L886">
        <v>277000</v>
      </c>
      <c r="M886">
        <v>271092</v>
      </c>
      <c r="N886">
        <v>76146665000</v>
      </c>
      <c r="O886">
        <v>169976544</v>
      </c>
      <c r="P886">
        <v>47678420592000</v>
      </c>
    </row>
    <row r="887" spans="1:16">
      <c r="A887" t="s">
        <v>45</v>
      </c>
      <c r="B887">
        <v>20260311</v>
      </c>
      <c r="C887">
        <v>28260</v>
      </c>
      <c r="D887" t="s">
        <v>46</v>
      </c>
      <c r="E887" t="s">
        <v>45</v>
      </c>
      <c r="F887" t="s">
        <v>17</v>
      </c>
      <c r="G887">
        <v>283500</v>
      </c>
      <c r="H887">
        <v>10500</v>
      </c>
      <c r="I887">
        <v>3.85</v>
      </c>
      <c r="J887">
        <v>282000</v>
      </c>
      <c r="K887">
        <v>295500</v>
      </c>
      <c r="L887">
        <v>278000</v>
      </c>
      <c r="M887">
        <v>427416</v>
      </c>
      <c r="N887">
        <v>122814532250</v>
      </c>
      <c r="O887">
        <v>169976544</v>
      </c>
      <c r="P887">
        <v>48188350224000</v>
      </c>
    </row>
    <row r="888" spans="1:16">
      <c r="A888" t="s">
        <v>45</v>
      </c>
      <c r="B888">
        <v>20260310</v>
      </c>
      <c r="C888">
        <v>28260</v>
      </c>
      <c r="D888" t="s">
        <v>46</v>
      </c>
      <c r="E888" t="s">
        <v>45</v>
      </c>
      <c r="F888" t="s">
        <v>17</v>
      </c>
      <c r="G888">
        <v>273000</v>
      </c>
      <c r="H888">
        <v>2500</v>
      </c>
      <c r="I888">
        <v>0.92</v>
      </c>
      <c r="J888">
        <v>286000</v>
      </c>
      <c r="K888">
        <v>286000</v>
      </c>
      <c r="L888">
        <v>267000</v>
      </c>
      <c r="M888">
        <v>493211</v>
      </c>
      <c r="N888">
        <v>135126132000</v>
      </c>
      <c r="O888">
        <v>169976544</v>
      </c>
      <c r="P888">
        <v>46403596512000</v>
      </c>
    </row>
    <row r="889" spans="1:16">
      <c r="A889" t="s">
        <v>45</v>
      </c>
      <c r="B889">
        <v>20260309</v>
      </c>
      <c r="C889">
        <v>28260</v>
      </c>
      <c r="D889" t="s">
        <v>46</v>
      </c>
      <c r="E889" t="s">
        <v>45</v>
      </c>
      <c r="F889" t="s">
        <v>17</v>
      </c>
      <c r="G889">
        <v>270500</v>
      </c>
      <c r="H889">
        <v>-13000</v>
      </c>
      <c r="I889">
        <v>-4.59</v>
      </c>
      <c r="J889">
        <v>258000</v>
      </c>
      <c r="K889">
        <v>271000</v>
      </c>
      <c r="L889">
        <v>253500</v>
      </c>
      <c r="M889">
        <v>423716</v>
      </c>
      <c r="N889">
        <v>110948557250</v>
      </c>
      <c r="O889">
        <v>169976544</v>
      </c>
      <c r="P889">
        <v>45978655152000</v>
      </c>
    </row>
    <row r="890" spans="1:16">
      <c r="A890" t="s">
        <v>45</v>
      </c>
      <c r="B890">
        <v>20260306</v>
      </c>
      <c r="C890">
        <v>28260</v>
      </c>
      <c r="D890" t="s">
        <v>46</v>
      </c>
      <c r="E890" t="s">
        <v>45</v>
      </c>
      <c r="F890" t="s">
        <v>17</v>
      </c>
      <c r="G890">
        <v>283500</v>
      </c>
      <c r="H890">
        <v>-9500</v>
      </c>
      <c r="I890">
        <v>-3.24</v>
      </c>
      <c r="J890">
        <v>281000</v>
      </c>
      <c r="K890">
        <v>290500</v>
      </c>
      <c r="L890">
        <v>276500</v>
      </c>
      <c r="M890">
        <v>504797</v>
      </c>
      <c r="N890">
        <v>141991565750</v>
      </c>
      <c r="O890">
        <v>169976544</v>
      </c>
      <c r="P890">
        <v>48188350224000</v>
      </c>
    </row>
    <row r="891" spans="1:16">
      <c r="A891" t="s">
        <v>45</v>
      </c>
      <c r="B891">
        <v>20260305</v>
      </c>
      <c r="C891">
        <v>28260</v>
      </c>
      <c r="D891" t="s">
        <v>46</v>
      </c>
      <c r="E891" t="s">
        <v>45</v>
      </c>
      <c r="F891" t="s">
        <v>17</v>
      </c>
      <c r="G891">
        <v>293000</v>
      </c>
      <c r="H891">
        <v>21000</v>
      </c>
      <c r="I891">
        <v>7.72</v>
      </c>
      <c r="J891">
        <v>294500</v>
      </c>
      <c r="K891">
        <v>299000</v>
      </c>
      <c r="L891">
        <v>287000</v>
      </c>
      <c r="M891">
        <v>644944</v>
      </c>
      <c r="N891">
        <v>189892758301</v>
      </c>
      <c r="O891">
        <v>169976544</v>
      </c>
      <c r="P891">
        <v>49803127392000</v>
      </c>
    </row>
    <row r="892" spans="1:16">
      <c r="A892" t="s">
        <v>45</v>
      </c>
      <c r="B892">
        <v>20260304</v>
      </c>
      <c r="C892">
        <v>28260</v>
      </c>
      <c r="D892" t="s">
        <v>46</v>
      </c>
      <c r="E892" t="s">
        <v>45</v>
      </c>
      <c r="F892" t="s">
        <v>17</v>
      </c>
      <c r="G892">
        <v>272000</v>
      </c>
      <c r="H892">
        <v>-45000</v>
      </c>
      <c r="I892">
        <v>-14.2</v>
      </c>
      <c r="J892">
        <v>300000</v>
      </c>
      <c r="K892">
        <v>304000</v>
      </c>
      <c r="L892">
        <v>264500</v>
      </c>
      <c r="M892">
        <v>993497</v>
      </c>
      <c r="N892">
        <v>278116838250</v>
      </c>
      <c r="O892">
        <v>169976544</v>
      </c>
      <c r="P892">
        <v>46233619968000</v>
      </c>
    </row>
    <row r="893" spans="1:16">
      <c r="A893" t="s">
        <v>45</v>
      </c>
      <c r="B893">
        <v>20260303</v>
      </c>
      <c r="C893">
        <v>28260</v>
      </c>
      <c r="D893" t="s">
        <v>46</v>
      </c>
      <c r="E893" t="s">
        <v>45</v>
      </c>
      <c r="F893" t="s">
        <v>17</v>
      </c>
      <c r="G893">
        <v>317000</v>
      </c>
      <c r="H893">
        <v>-33500</v>
      </c>
      <c r="I893">
        <v>-9.56</v>
      </c>
      <c r="J893">
        <v>327500</v>
      </c>
      <c r="K893">
        <v>340000</v>
      </c>
      <c r="L893">
        <v>317000</v>
      </c>
      <c r="M893">
        <v>720785</v>
      </c>
      <c r="N893">
        <v>236407539000</v>
      </c>
      <c r="O893">
        <v>169976544</v>
      </c>
      <c r="P893">
        <v>53882564448000</v>
      </c>
    </row>
    <row r="894" spans="1:16">
      <c r="A894" t="s">
        <v>45</v>
      </c>
      <c r="B894">
        <v>20260227</v>
      </c>
      <c r="C894">
        <v>28260</v>
      </c>
      <c r="D894" t="s">
        <v>46</v>
      </c>
      <c r="E894" t="s">
        <v>45</v>
      </c>
      <c r="F894" t="s">
        <v>17</v>
      </c>
      <c r="G894">
        <v>350500</v>
      </c>
      <c r="H894">
        <v>-9500</v>
      </c>
      <c r="I894">
        <v>-2.64</v>
      </c>
      <c r="J894">
        <v>352500</v>
      </c>
      <c r="K894">
        <v>354500</v>
      </c>
      <c r="L894">
        <v>345000</v>
      </c>
      <c r="M894">
        <v>677648</v>
      </c>
      <c r="N894">
        <v>237494418000</v>
      </c>
      <c r="O894">
        <v>169976544</v>
      </c>
      <c r="P894">
        <v>59576778672000</v>
      </c>
    </row>
    <row r="895" spans="1:16">
      <c r="A895" t="s">
        <v>45</v>
      </c>
      <c r="B895">
        <v>20260226</v>
      </c>
      <c r="C895">
        <v>28260</v>
      </c>
      <c r="D895" t="s">
        <v>46</v>
      </c>
      <c r="E895" t="s">
        <v>45</v>
      </c>
      <c r="F895" t="s">
        <v>17</v>
      </c>
      <c r="G895">
        <v>360000</v>
      </c>
      <c r="H895">
        <v>13000</v>
      </c>
      <c r="I895">
        <v>3.75</v>
      </c>
      <c r="J895">
        <v>347500</v>
      </c>
      <c r="K895">
        <v>364000</v>
      </c>
      <c r="L895">
        <v>347500</v>
      </c>
      <c r="M895">
        <v>626910</v>
      </c>
      <c r="N895">
        <v>223991836226</v>
      </c>
      <c r="O895">
        <v>169976544</v>
      </c>
      <c r="P895">
        <v>61191555840000</v>
      </c>
    </row>
    <row r="896" spans="1:16">
      <c r="A896" t="s">
        <v>45</v>
      </c>
      <c r="B896">
        <v>20260225</v>
      </c>
      <c r="C896">
        <v>28260</v>
      </c>
      <c r="D896" t="s">
        <v>46</v>
      </c>
      <c r="E896" t="s">
        <v>45</v>
      </c>
      <c r="F896" t="s">
        <v>17</v>
      </c>
      <c r="G896">
        <v>347000</v>
      </c>
      <c r="H896">
        <v>9000</v>
      </c>
      <c r="I896">
        <v>2.66</v>
      </c>
      <c r="J896">
        <v>342000</v>
      </c>
      <c r="K896">
        <v>351000</v>
      </c>
      <c r="L896">
        <v>336000</v>
      </c>
      <c r="M896">
        <v>550441</v>
      </c>
      <c r="N896">
        <v>189286512500</v>
      </c>
      <c r="O896">
        <v>169976544</v>
      </c>
      <c r="P896">
        <v>58981860768000</v>
      </c>
    </row>
    <row r="897" spans="1:16">
      <c r="A897" t="s">
        <v>45</v>
      </c>
      <c r="B897">
        <v>20260224</v>
      </c>
      <c r="C897">
        <v>28260</v>
      </c>
      <c r="D897" t="s">
        <v>46</v>
      </c>
      <c r="E897" t="s">
        <v>45</v>
      </c>
      <c r="F897" t="s">
        <v>17</v>
      </c>
      <c r="G897">
        <v>338000</v>
      </c>
      <c r="H897">
        <v>6000</v>
      </c>
      <c r="I897">
        <v>1.81</v>
      </c>
      <c r="J897">
        <v>335500</v>
      </c>
      <c r="K897">
        <v>340000</v>
      </c>
      <c r="L897">
        <v>328000</v>
      </c>
      <c r="M897">
        <v>418201</v>
      </c>
      <c r="N897">
        <v>140297358750</v>
      </c>
      <c r="O897">
        <v>169976544</v>
      </c>
      <c r="P897">
        <v>57452071872000</v>
      </c>
    </row>
    <row r="898" spans="1:16">
      <c r="A898" t="s">
        <v>45</v>
      </c>
      <c r="B898">
        <v>20260223</v>
      </c>
      <c r="C898">
        <v>28260</v>
      </c>
      <c r="D898" t="s">
        <v>46</v>
      </c>
      <c r="E898" t="s">
        <v>45</v>
      </c>
      <c r="F898" t="s">
        <v>17</v>
      </c>
      <c r="G898">
        <v>332000</v>
      </c>
      <c r="H898">
        <v>1000</v>
      </c>
      <c r="I898">
        <v>0.3</v>
      </c>
      <c r="J898">
        <v>340000</v>
      </c>
      <c r="K898">
        <v>344500</v>
      </c>
      <c r="L898">
        <v>327000</v>
      </c>
      <c r="M898">
        <v>426850</v>
      </c>
      <c r="N898">
        <v>141840960500</v>
      </c>
      <c r="O898">
        <v>169976544</v>
      </c>
      <c r="P898">
        <v>56432212608000</v>
      </c>
    </row>
    <row r="899" spans="1:16">
      <c r="A899" t="s">
        <v>45</v>
      </c>
      <c r="B899">
        <v>20260220</v>
      </c>
      <c r="C899">
        <v>28260</v>
      </c>
      <c r="D899" t="s">
        <v>46</v>
      </c>
      <c r="E899" t="s">
        <v>45</v>
      </c>
      <c r="F899" t="s">
        <v>17</v>
      </c>
      <c r="G899">
        <v>331000</v>
      </c>
      <c r="H899">
        <v>11500</v>
      </c>
      <c r="I899">
        <v>3.6</v>
      </c>
      <c r="J899">
        <v>321500</v>
      </c>
      <c r="K899">
        <v>331500</v>
      </c>
      <c r="L899">
        <v>319500</v>
      </c>
      <c r="M899">
        <v>512739</v>
      </c>
      <c r="N899">
        <v>167971803000</v>
      </c>
      <c r="O899">
        <v>169976544</v>
      </c>
      <c r="P899">
        <v>56262236064000</v>
      </c>
    </row>
    <row r="900" spans="1:16">
      <c r="A900" t="s">
        <v>45</v>
      </c>
      <c r="B900">
        <v>20260219</v>
      </c>
      <c r="C900">
        <v>28260</v>
      </c>
      <c r="D900" t="s">
        <v>46</v>
      </c>
      <c r="E900" t="s">
        <v>45</v>
      </c>
      <c r="F900" t="s">
        <v>17</v>
      </c>
      <c r="G900">
        <v>319500</v>
      </c>
      <c r="H900">
        <v>1500</v>
      </c>
      <c r="I900">
        <v>0.47</v>
      </c>
      <c r="J900">
        <v>330000</v>
      </c>
      <c r="K900">
        <v>337500</v>
      </c>
      <c r="L900">
        <v>315500</v>
      </c>
      <c r="M900">
        <v>507208</v>
      </c>
      <c r="N900">
        <v>163381634750</v>
      </c>
      <c r="O900">
        <v>169976544</v>
      </c>
      <c r="P900">
        <v>54307505808000</v>
      </c>
    </row>
    <row r="901" spans="1:16">
      <c r="A901" t="s">
        <v>45</v>
      </c>
      <c r="B901">
        <v>20260213</v>
      </c>
      <c r="C901">
        <v>28260</v>
      </c>
      <c r="D901" t="s">
        <v>46</v>
      </c>
      <c r="E901" t="s">
        <v>45</v>
      </c>
      <c r="F901" t="s">
        <v>17</v>
      </c>
      <c r="G901">
        <v>318000</v>
      </c>
      <c r="H901">
        <v>-16000</v>
      </c>
      <c r="I901">
        <v>-4.79</v>
      </c>
      <c r="J901">
        <v>328500</v>
      </c>
      <c r="K901">
        <v>333000</v>
      </c>
      <c r="L901">
        <v>316000</v>
      </c>
      <c r="M901">
        <v>564408</v>
      </c>
      <c r="N901">
        <v>182236024500</v>
      </c>
      <c r="O901">
        <v>169976544</v>
      </c>
      <c r="P901">
        <v>54052540992000</v>
      </c>
    </row>
    <row r="902" spans="1:16">
      <c r="A902" t="s">
        <v>45</v>
      </c>
      <c r="B902">
        <v>20260212</v>
      </c>
      <c r="C902">
        <v>28260</v>
      </c>
      <c r="D902" t="s">
        <v>46</v>
      </c>
      <c r="E902" t="s">
        <v>45</v>
      </c>
      <c r="F902" t="s">
        <v>17</v>
      </c>
      <c r="G902">
        <v>334000</v>
      </c>
      <c r="H902">
        <v>17500</v>
      </c>
      <c r="I902">
        <v>5.53</v>
      </c>
      <c r="J902">
        <v>317000</v>
      </c>
      <c r="K902">
        <v>334000</v>
      </c>
      <c r="L902">
        <v>312000</v>
      </c>
      <c r="M902">
        <v>577338</v>
      </c>
      <c r="N902">
        <v>187342987250</v>
      </c>
      <c r="O902">
        <v>169976544</v>
      </c>
      <c r="P902">
        <v>56772165696000</v>
      </c>
    </row>
    <row r="903" spans="1:16">
      <c r="A903" t="s">
        <v>45</v>
      </c>
      <c r="B903">
        <v>20260211</v>
      </c>
      <c r="C903">
        <v>28260</v>
      </c>
      <c r="D903" t="s">
        <v>46</v>
      </c>
      <c r="E903" t="s">
        <v>45</v>
      </c>
      <c r="F903" t="s">
        <v>17</v>
      </c>
      <c r="G903">
        <v>316500</v>
      </c>
      <c r="H903">
        <v>-500</v>
      </c>
      <c r="I903">
        <v>-0.16</v>
      </c>
      <c r="J903">
        <v>319000</v>
      </c>
      <c r="K903">
        <v>319000</v>
      </c>
      <c r="L903">
        <v>312000</v>
      </c>
      <c r="M903">
        <v>331350</v>
      </c>
      <c r="N903">
        <v>104484575046</v>
      </c>
      <c r="O903">
        <v>169976544</v>
      </c>
      <c r="P903">
        <v>53797576176000</v>
      </c>
    </row>
    <row r="904" spans="1:16">
      <c r="A904" t="s">
        <v>45</v>
      </c>
      <c r="B904">
        <v>20260210</v>
      </c>
      <c r="C904">
        <v>28260</v>
      </c>
      <c r="D904" t="s">
        <v>46</v>
      </c>
      <c r="E904" t="s">
        <v>45</v>
      </c>
      <c r="F904" t="s">
        <v>17</v>
      </c>
      <c r="G904">
        <v>317000</v>
      </c>
      <c r="H904">
        <v>4500</v>
      </c>
      <c r="I904">
        <v>1.44</v>
      </c>
      <c r="J904">
        <v>320000</v>
      </c>
      <c r="K904">
        <v>320000</v>
      </c>
      <c r="L904">
        <v>310000</v>
      </c>
      <c r="M904">
        <v>336750</v>
      </c>
      <c r="N904">
        <v>106053925323</v>
      </c>
      <c r="O904">
        <v>169976544</v>
      </c>
      <c r="P904">
        <v>53882564448000</v>
      </c>
    </row>
    <row r="905" spans="1:16">
      <c r="A905" t="s">
        <v>45</v>
      </c>
      <c r="B905">
        <v>20260209</v>
      </c>
      <c r="C905">
        <v>28260</v>
      </c>
      <c r="D905" t="s">
        <v>46</v>
      </c>
      <c r="E905" t="s">
        <v>45</v>
      </c>
      <c r="F905" t="s">
        <v>17</v>
      </c>
      <c r="G905">
        <v>312500</v>
      </c>
      <c r="H905">
        <v>23000</v>
      </c>
      <c r="I905">
        <v>7.94</v>
      </c>
      <c r="J905">
        <v>310000</v>
      </c>
      <c r="K905">
        <v>314500</v>
      </c>
      <c r="L905">
        <v>302000</v>
      </c>
      <c r="M905">
        <v>576983</v>
      </c>
      <c r="N905">
        <v>177885582389</v>
      </c>
      <c r="O905">
        <v>169976544</v>
      </c>
      <c r="P905">
        <v>53117670000000</v>
      </c>
    </row>
    <row r="906" spans="1:16">
      <c r="A906" t="s">
        <v>45</v>
      </c>
      <c r="B906">
        <v>20260206</v>
      </c>
      <c r="C906">
        <v>28260</v>
      </c>
      <c r="D906" t="s">
        <v>46</v>
      </c>
      <c r="E906" t="s">
        <v>45</v>
      </c>
      <c r="F906" t="s">
        <v>17</v>
      </c>
      <c r="G906">
        <v>289500</v>
      </c>
      <c r="H906">
        <v>-16500</v>
      </c>
      <c r="I906">
        <v>-5.39</v>
      </c>
      <c r="J906">
        <v>298500</v>
      </c>
      <c r="K906">
        <v>298500</v>
      </c>
      <c r="L906">
        <v>276500</v>
      </c>
      <c r="M906">
        <v>779733</v>
      </c>
      <c r="N906">
        <v>223213010500</v>
      </c>
      <c r="O906">
        <v>169976544</v>
      </c>
      <c r="P906">
        <v>49208209488000</v>
      </c>
    </row>
    <row r="907" spans="1:16">
      <c r="A907" t="s">
        <v>45</v>
      </c>
      <c r="B907">
        <v>20260205</v>
      </c>
      <c r="C907">
        <v>28260</v>
      </c>
      <c r="D907" t="s">
        <v>46</v>
      </c>
      <c r="E907" t="s">
        <v>45</v>
      </c>
      <c r="F907" t="s">
        <v>17</v>
      </c>
      <c r="G907">
        <v>306000</v>
      </c>
      <c r="H907">
        <v>-10500</v>
      </c>
      <c r="I907">
        <v>-3.32</v>
      </c>
      <c r="J907">
        <v>308500</v>
      </c>
      <c r="K907">
        <v>318000</v>
      </c>
      <c r="L907">
        <v>301000</v>
      </c>
      <c r="M907">
        <v>453918</v>
      </c>
      <c r="N907">
        <v>139088134250</v>
      </c>
      <c r="O907">
        <v>169976544</v>
      </c>
      <c r="P907">
        <v>52012822464000</v>
      </c>
    </row>
    <row r="908" spans="1:16">
      <c r="A908" t="s">
        <v>45</v>
      </c>
      <c r="B908">
        <v>20260204</v>
      </c>
      <c r="C908">
        <v>28260</v>
      </c>
      <c r="D908" t="s">
        <v>46</v>
      </c>
      <c r="E908" t="s">
        <v>45</v>
      </c>
      <c r="F908" t="s">
        <v>17</v>
      </c>
      <c r="G908">
        <v>316500</v>
      </c>
      <c r="H908">
        <v>1500</v>
      </c>
      <c r="I908">
        <v>0.48</v>
      </c>
      <c r="J908">
        <v>315000</v>
      </c>
      <c r="K908">
        <v>322500</v>
      </c>
      <c r="L908">
        <v>313000</v>
      </c>
      <c r="M908">
        <v>329642</v>
      </c>
      <c r="N908">
        <v>104440164250</v>
      </c>
      <c r="O908">
        <v>169976544</v>
      </c>
      <c r="P908">
        <v>53797576176000</v>
      </c>
    </row>
    <row r="909" spans="1:16">
      <c r="A909" t="s">
        <v>45</v>
      </c>
      <c r="B909">
        <v>20260203</v>
      </c>
      <c r="C909">
        <v>28260</v>
      </c>
      <c r="D909" t="s">
        <v>46</v>
      </c>
      <c r="E909" t="s">
        <v>45</v>
      </c>
      <c r="F909" t="s">
        <v>17</v>
      </c>
      <c r="G909">
        <v>315000</v>
      </c>
      <c r="H909">
        <v>24000</v>
      </c>
      <c r="I909">
        <v>8.25</v>
      </c>
      <c r="J909">
        <v>300500</v>
      </c>
      <c r="K909">
        <v>315000</v>
      </c>
      <c r="L909">
        <v>300500</v>
      </c>
      <c r="M909">
        <v>352121</v>
      </c>
      <c r="N909">
        <v>108699570500</v>
      </c>
      <c r="O909">
        <v>169976544</v>
      </c>
      <c r="P909">
        <v>53542611360000</v>
      </c>
    </row>
    <row r="910" spans="1:16">
      <c r="A910" t="s">
        <v>45</v>
      </c>
      <c r="B910">
        <v>20260202</v>
      </c>
      <c r="C910">
        <v>28260</v>
      </c>
      <c r="D910" t="s">
        <v>46</v>
      </c>
      <c r="E910" t="s">
        <v>45</v>
      </c>
      <c r="F910" t="s">
        <v>17</v>
      </c>
      <c r="G910">
        <v>291000</v>
      </c>
      <c r="H910">
        <v>-10500</v>
      </c>
      <c r="I910">
        <v>-3.48</v>
      </c>
      <c r="J910">
        <v>300500</v>
      </c>
      <c r="K910">
        <v>308000</v>
      </c>
      <c r="L910">
        <v>288000</v>
      </c>
      <c r="M910">
        <v>397457</v>
      </c>
      <c r="N910">
        <v>117045523500</v>
      </c>
      <c r="O910">
        <v>169976544</v>
      </c>
      <c r="P910">
        <v>49463174304000</v>
      </c>
    </row>
    <row r="911" spans="1:16">
      <c r="A911" t="s">
        <v>45</v>
      </c>
      <c r="B911">
        <v>20260130</v>
      </c>
      <c r="C911">
        <v>28260</v>
      </c>
      <c r="D911" t="s">
        <v>46</v>
      </c>
      <c r="E911" t="s">
        <v>45</v>
      </c>
      <c r="F911" t="s">
        <v>17</v>
      </c>
      <c r="G911">
        <v>301500</v>
      </c>
      <c r="H911">
        <v>-1500</v>
      </c>
      <c r="I911">
        <v>-0.5</v>
      </c>
      <c r="J911">
        <v>297500</v>
      </c>
      <c r="K911">
        <v>306500</v>
      </c>
      <c r="L911">
        <v>292500</v>
      </c>
      <c r="M911">
        <v>514418</v>
      </c>
      <c r="N911">
        <v>155156514250</v>
      </c>
      <c r="O911">
        <v>169976544</v>
      </c>
      <c r="P911">
        <v>51247928016000</v>
      </c>
    </row>
    <row r="912" spans="1:16">
      <c r="A912" t="s">
        <v>45</v>
      </c>
      <c r="B912">
        <v>20260129</v>
      </c>
      <c r="C912">
        <v>28260</v>
      </c>
      <c r="D912" t="s">
        <v>46</v>
      </c>
      <c r="E912" t="s">
        <v>45</v>
      </c>
      <c r="F912" t="s">
        <v>17</v>
      </c>
      <c r="G912">
        <v>303000</v>
      </c>
      <c r="H912">
        <v>1000</v>
      </c>
      <c r="I912">
        <v>0.33</v>
      </c>
      <c r="J912">
        <v>304500</v>
      </c>
      <c r="K912">
        <v>309000</v>
      </c>
      <c r="L912">
        <v>293500</v>
      </c>
      <c r="M912">
        <v>435669</v>
      </c>
      <c r="N912">
        <v>131071891156</v>
      </c>
      <c r="O912">
        <v>169976544</v>
      </c>
      <c r="P912">
        <v>51502892832000</v>
      </c>
    </row>
    <row r="913" spans="1:16">
      <c r="A913" t="s">
        <v>45</v>
      </c>
      <c r="B913">
        <v>20260128</v>
      </c>
      <c r="C913">
        <v>28260</v>
      </c>
      <c r="D913" t="s">
        <v>46</v>
      </c>
      <c r="E913" t="s">
        <v>45</v>
      </c>
      <c r="F913" t="s">
        <v>17</v>
      </c>
      <c r="G913">
        <v>302000</v>
      </c>
      <c r="H913">
        <v>4000</v>
      </c>
      <c r="I913">
        <v>1.34</v>
      </c>
      <c r="J913">
        <v>298500</v>
      </c>
      <c r="K913">
        <v>306500</v>
      </c>
      <c r="L913">
        <v>296000</v>
      </c>
      <c r="M913">
        <v>370055</v>
      </c>
      <c r="N913">
        <v>111696364250</v>
      </c>
      <c r="O913">
        <v>169976544</v>
      </c>
      <c r="P913">
        <v>51332916288000</v>
      </c>
    </row>
    <row r="914" spans="1:16">
      <c r="A914" t="s">
        <v>45</v>
      </c>
      <c r="B914">
        <v>20260127</v>
      </c>
      <c r="C914">
        <v>28260</v>
      </c>
      <c r="D914" t="s">
        <v>46</v>
      </c>
      <c r="E914" t="s">
        <v>45</v>
      </c>
      <c r="F914" t="s">
        <v>17</v>
      </c>
      <c r="G914">
        <v>298000</v>
      </c>
      <c r="H914">
        <v>500</v>
      </c>
      <c r="I914">
        <v>0.17</v>
      </c>
      <c r="J914">
        <v>299000</v>
      </c>
      <c r="K914">
        <v>301000</v>
      </c>
      <c r="L914">
        <v>292000</v>
      </c>
      <c r="M914">
        <v>462695</v>
      </c>
      <c r="N914">
        <v>136812809250</v>
      </c>
      <c r="O914">
        <v>169976544</v>
      </c>
      <c r="P914">
        <v>50653010112000</v>
      </c>
    </row>
    <row r="915" spans="1:16">
      <c r="A915" t="s">
        <v>45</v>
      </c>
      <c r="B915">
        <v>20260126</v>
      </c>
      <c r="C915">
        <v>28260</v>
      </c>
      <c r="D915" t="s">
        <v>46</v>
      </c>
      <c r="E915" t="s">
        <v>45</v>
      </c>
      <c r="F915" t="s">
        <v>17</v>
      </c>
      <c r="G915">
        <v>297500</v>
      </c>
      <c r="H915">
        <v>-8000</v>
      </c>
      <c r="I915">
        <v>-2.62</v>
      </c>
      <c r="J915">
        <v>304500</v>
      </c>
      <c r="K915">
        <v>311000</v>
      </c>
      <c r="L915">
        <v>294500</v>
      </c>
      <c r="M915">
        <v>389178</v>
      </c>
      <c r="N915">
        <v>117265579000</v>
      </c>
      <c r="O915">
        <v>169976544</v>
      </c>
      <c r="P915">
        <v>50568021840000</v>
      </c>
    </row>
    <row r="916" spans="1:16">
      <c r="A916" t="s">
        <v>45</v>
      </c>
      <c r="B916">
        <v>20260123</v>
      </c>
      <c r="C916">
        <v>28260</v>
      </c>
      <c r="D916" t="s">
        <v>46</v>
      </c>
      <c r="E916" t="s">
        <v>45</v>
      </c>
      <c r="F916" t="s">
        <v>17</v>
      </c>
      <c r="G916">
        <v>305500</v>
      </c>
      <c r="H916">
        <v>8000</v>
      </c>
      <c r="I916">
        <v>2.69</v>
      </c>
      <c r="J916">
        <v>300000</v>
      </c>
      <c r="K916">
        <v>310000</v>
      </c>
      <c r="L916">
        <v>298000</v>
      </c>
      <c r="M916">
        <v>408118</v>
      </c>
      <c r="N916">
        <v>124940050000</v>
      </c>
      <c r="O916">
        <v>169976544</v>
      </c>
      <c r="P916">
        <v>51927834192000</v>
      </c>
    </row>
    <row r="917" spans="1:16">
      <c r="A917" t="s">
        <v>45</v>
      </c>
      <c r="B917">
        <v>20260122</v>
      </c>
      <c r="C917">
        <v>28260</v>
      </c>
      <c r="D917" t="s">
        <v>46</v>
      </c>
      <c r="E917" t="s">
        <v>45</v>
      </c>
      <c r="F917" t="s">
        <v>17</v>
      </c>
      <c r="G917">
        <v>297500</v>
      </c>
      <c r="H917">
        <v>-1500</v>
      </c>
      <c r="I917">
        <v>-0.5</v>
      </c>
      <c r="J917">
        <v>308000</v>
      </c>
      <c r="K917">
        <v>310000</v>
      </c>
      <c r="L917">
        <v>294000</v>
      </c>
      <c r="M917">
        <v>503524</v>
      </c>
      <c r="N917">
        <v>151828925250</v>
      </c>
      <c r="O917">
        <v>169976544</v>
      </c>
      <c r="P917">
        <v>50568021840000</v>
      </c>
    </row>
    <row r="918" spans="1:16">
      <c r="A918" t="s">
        <v>45</v>
      </c>
      <c r="B918">
        <v>20260121</v>
      </c>
      <c r="C918">
        <v>28260</v>
      </c>
      <c r="D918" t="s">
        <v>46</v>
      </c>
      <c r="E918" t="s">
        <v>45</v>
      </c>
      <c r="F918" t="s">
        <v>17</v>
      </c>
      <c r="G918">
        <v>299000</v>
      </c>
      <c r="H918">
        <v>3000</v>
      </c>
      <c r="I918">
        <v>1.01</v>
      </c>
      <c r="J918">
        <v>292000</v>
      </c>
      <c r="K918">
        <v>300000</v>
      </c>
      <c r="L918">
        <v>289000</v>
      </c>
      <c r="M918">
        <v>281914</v>
      </c>
      <c r="N918">
        <v>83590278500</v>
      </c>
      <c r="O918">
        <v>169976544</v>
      </c>
      <c r="P918">
        <v>50822986656000</v>
      </c>
    </row>
    <row r="919" spans="1:16">
      <c r="A919" t="s">
        <v>45</v>
      </c>
      <c r="B919">
        <v>20260120</v>
      </c>
      <c r="C919">
        <v>28260</v>
      </c>
      <c r="D919" t="s">
        <v>46</v>
      </c>
      <c r="E919" t="s">
        <v>45</v>
      </c>
      <c r="F919" t="s">
        <v>17</v>
      </c>
      <c r="G919">
        <v>296000</v>
      </c>
      <c r="H919">
        <v>7000</v>
      </c>
      <c r="I919">
        <v>2.42</v>
      </c>
      <c r="J919">
        <v>288500</v>
      </c>
      <c r="K919">
        <v>307500</v>
      </c>
      <c r="L919">
        <v>287000</v>
      </c>
      <c r="M919">
        <v>668593</v>
      </c>
      <c r="N919">
        <v>199026426068</v>
      </c>
      <c r="O919">
        <v>169976544</v>
      </c>
      <c r="P919">
        <v>50313057024000</v>
      </c>
    </row>
    <row r="920" spans="1:16">
      <c r="A920" t="s">
        <v>45</v>
      </c>
      <c r="B920">
        <v>20260119</v>
      </c>
      <c r="C920">
        <v>28260</v>
      </c>
      <c r="D920" t="s">
        <v>46</v>
      </c>
      <c r="E920" t="s">
        <v>45</v>
      </c>
      <c r="F920" t="s">
        <v>17</v>
      </c>
      <c r="G920">
        <v>289000</v>
      </c>
      <c r="H920">
        <v>-1000</v>
      </c>
      <c r="I920">
        <v>-0.34</v>
      </c>
      <c r="J920">
        <v>287000</v>
      </c>
      <c r="K920">
        <v>296500</v>
      </c>
      <c r="L920">
        <v>286500</v>
      </c>
      <c r="M920">
        <v>324276</v>
      </c>
      <c r="N920">
        <v>94605484000</v>
      </c>
      <c r="O920">
        <v>169976544</v>
      </c>
      <c r="P920">
        <v>49123221216000</v>
      </c>
    </row>
    <row r="921" spans="1:16">
      <c r="A921" t="s">
        <v>45</v>
      </c>
      <c r="B921">
        <v>20260116</v>
      </c>
      <c r="C921">
        <v>28260</v>
      </c>
      <c r="D921" t="s">
        <v>46</v>
      </c>
      <c r="E921" t="s">
        <v>45</v>
      </c>
      <c r="F921" t="s">
        <v>17</v>
      </c>
      <c r="G921">
        <v>290000</v>
      </c>
      <c r="H921">
        <v>4000</v>
      </c>
      <c r="I921">
        <v>1.4</v>
      </c>
      <c r="J921">
        <v>290500</v>
      </c>
      <c r="K921">
        <v>290500</v>
      </c>
      <c r="L921">
        <v>283000</v>
      </c>
      <c r="M921">
        <v>280126</v>
      </c>
      <c r="N921">
        <v>80596200106</v>
      </c>
      <c r="O921">
        <v>169976544</v>
      </c>
      <c r="P921">
        <v>49293197760000</v>
      </c>
    </row>
    <row r="922" spans="1:16">
      <c r="A922" t="s">
        <v>45</v>
      </c>
      <c r="B922">
        <v>20260115</v>
      </c>
      <c r="C922">
        <v>28260</v>
      </c>
      <c r="D922" t="s">
        <v>46</v>
      </c>
      <c r="E922" t="s">
        <v>45</v>
      </c>
      <c r="F922" t="s">
        <v>17</v>
      </c>
      <c r="G922">
        <v>286000</v>
      </c>
      <c r="H922">
        <v>2500</v>
      </c>
      <c r="I922">
        <v>0.88</v>
      </c>
      <c r="J922">
        <v>280000</v>
      </c>
      <c r="K922">
        <v>286000</v>
      </c>
      <c r="L922">
        <v>278000</v>
      </c>
      <c r="M922">
        <v>429794</v>
      </c>
      <c r="N922">
        <v>121787695640</v>
      </c>
      <c r="O922">
        <v>169976544</v>
      </c>
      <c r="P922">
        <v>48613291584000</v>
      </c>
    </row>
    <row r="923" spans="1:16">
      <c r="A923" t="s">
        <v>45</v>
      </c>
      <c r="B923">
        <v>20260114</v>
      </c>
      <c r="C923">
        <v>28260</v>
      </c>
      <c r="D923" t="s">
        <v>46</v>
      </c>
      <c r="E923" t="s">
        <v>45</v>
      </c>
      <c r="F923" t="s">
        <v>17</v>
      </c>
      <c r="G923">
        <v>283500</v>
      </c>
      <c r="H923">
        <v>10000</v>
      </c>
      <c r="I923">
        <v>3.66</v>
      </c>
      <c r="J923">
        <v>275500</v>
      </c>
      <c r="K923">
        <v>287000</v>
      </c>
      <c r="L923">
        <v>273500</v>
      </c>
      <c r="M923">
        <v>452750</v>
      </c>
      <c r="N923">
        <v>127832139000</v>
      </c>
      <c r="O923">
        <v>169976544</v>
      </c>
      <c r="P923">
        <v>48188350224000</v>
      </c>
    </row>
    <row r="924" spans="1:16">
      <c r="A924" t="s">
        <v>45</v>
      </c>
      <c r="B924">
        <v>20260113</v>
      </c>
      <c r="C924">
        <v>28260</v>
      </c>
      <c r="D924" t="s">
        <v>46</v>
      </c>
      <c r="E924" t="s">
        <v>45</v>
      </c>
      <c r="F924" t="s">
        <v>17</v>
      </c>
      <c r="G924">
        <v>273500</v>
      </c>
      <c r="H924">
        <v>6000</v>
      </c>
      <c r="I924">
        <v>2.2400000000000002</v>
      </c>
      <c r="J924">
        <v>271000</v>
      </c>
      <c r="K924">
        <v>274000</v>
      </c>
      <c r="L924">
        <v>269000</v>
      </c>
      <c r="M924">
        <v>517012</v>
      </c>
      <c r="N924">
        <v>140336041750</v>
      </c>
      <c r="O924">
        <v>169976544</v>
      </c>
      <c r="P924">
        <v>46488584784000</v>
      </c>
    </row>
    <row r="925" spans="1:16">
      <c r="A925" t="s">
        <v>45</v>
      </c>
      <c r="B925">
        <v>20260112</v>
      </c>
      <c r="C925">
        <v>28260</v>
      </c>
      <c r="D925" t="s">
        <v>46</v>
      </c>
      <c r="E925" t="s">
        <v>45</v>
      </c>
      <c r="F925" t="s">
        <v>17</v>
      </c>
      <c r="G925">
        <v>267500</v>
      </c>
      <c r="H925">
        <v>-1000</v>
      </c>
      <c r="I925">
        <v>-0.37</v>
      </c>
      <c r="J925">
        <v>270000</v>
      </c>
      <c r="K925">
        <v>271500</v>
      </c>
      <c r="L925">
        <v>262000</v>
      </c>
      <c r="M925">
        <v>218294</v>
      </c>
      <c r="N925">
        <v>58256861500</v>
      </c>
      <c r="O925">
        <v>169976544</v>
      </c>
      <c r="P925">
        <v>45468725520000</v>
      </c>
    </row>
    <row r="926" spans="1:16">
      <c r="A926" t="s">
        <v>45</v>
      </c>
      <c r="B926">
        <v>20260109</v>
      </c>
      <c r="C926">
        <v>28260</v>
      </c>
      <c r="D926" t="s">
        <v>46</v>
      </c>
      <c r="E926" t="s">
        <v>45</v>
      </c>
      <c r="F926" t="s">
        <v>17</v>
      </c>
      <c r="G926">
        <v>268500</v>
      </c>
      <c r="H926">
        <v>-2000</v>
      </c>
      <c r="I926">
        <v>-0.74</v>
      </c>
      <c r="J926">
        <v>270500</v>
      </c>
      <c r="K926">
        <v>270500</v>
      </c>
      <c r="L926">
        <v>258500</v>
      </c>
      <c r="M926">
        <v>375808</v>
      </c>
      <c r="N926">
        <v>99281225000</v>
      </c>
      <c r="O926">
        <v>169976544</v>
      </c>
      <c r="P926">
        <v>45638702064000</v>
      </c>
    </row>
    <row r="927" spans="1:16">
      <c r="A927" t="s">
        <v>45</v>
      </c>
      <c r="B927">
        <v>20260108</v>
      </c>
      <c r="C927">
        <v>28260</v>
      </c>
      <c r="D927" t="s">
        <v>46</v>
      </c>
      <c r="E927" t="s">
        <v>45</v>
      </c>
      <c r="F927" t="s">
        <v>17</v>
      </c>
      <c r="G927">
        <v>270500</v>
      </c>
      <c r="H927">
        <v>5500</v>
      </c>
      <c r="I927">
        <v>2.08</v>
      </c>
      <c r="J927">
        <v>262500</v>
      </c>
      <c r="K927">
        <v>272500</v>
      </c>
      <c r="L927">
        <v>259500</v>
      </c>
      <c r="M927">
        <v>613747</v>
      </c>
      <c r="N927">
        <v>165015375314</v>
      </c>
      <c r="O927">
        <v>169976544</v>
      </c>
      <c r="P927">
        <v>45978655152000</v>
      </c>
    </row>
    <row r="928" spans="1:16">
      <c r="A928" t="s">
        <v>45</v>
      </c>
      <c r="B928">
        <v>20260107</v>
      </c>
      <c r="C928">
        <v>28260</v>
      </c>
      <c r="D928" t="s">
        <v>46</v>
      </c>
      <c r="E928" t="s">
        <v>45</v>
      </c>
      <c r="F928" t="s">
        <v>17</v>
      </c>
      <c r="G928">
        <v>265000</v>
      </c>
      <c r="H928">
        <v>5000</v>
      </c>
      <c r="I928">
        <v>1.92</v>
      </c>
      <c r="J928">
        <v>260000</v>
      </c>
      <c r="K928">
        <v>274500</v>
      </c>
      <c r="L928">
        <v>259000</v>
      </c>
      <c r="M928">
        <v>541952</v>
      </c>
      <c r="N928">
        <v>144238366500</v>
      </c>
      <c r="O928">
        <v>169976544</v>
      </c>
      <c r="P928">
        <v>45043784160000</v>
      </c>
    </row>
    <row r="929" spans="1:16">
      <c r="A929" t="s">
        <v>45</v>
      </c>
      <c r="B929">
        <v>20260106</v>
      </c>
      <c r="C929">
        <v>28260</v>
      </c>
      <c r="D929" t="s">
        <v>46</v>
      </c>
      <c r="E929" t="s">
        <v>45</v>
      </c>
      <c r="F929" t="s">
        <v>17</v>
      </c>
      <c r="G929">
        <v>260000</v>
      </c>
      <c r="H929">
        <v>5500</v>
      </c>
      <c r="I929">
        <v>2.16</v>
      </c>
      <c r="J929">
        <v>254000</v>
      </c>
      <c r="K929">
        <v>260000</v>
      </c>
      <c r="L929">
        <v>247500</v>
      </c>
      <c r="M929">
        <v>408885</v>
      </c>
      <c r="N929">
        <v>104775988000</v>
      </c>
      <c r="O929">
        <v>169976544</v>
      </c>
      <c r="P929">
        <v>44193901440000</v>
      </c>
    </row>
    <row r="930" spans="1:16">
      <c r="A930" t="s">
        <v>45</v>
      </c>
      <c r="B930">
        <v>20260105</v>
      </c>
      <c r="C930">
        <v>28260</v>
      </c>
      <c r="D930" t="s">
        <v>46</v>
      </c>
      <c r="E930" t="s">
        <v>45</v>
      </c>
      <c r="F930" t="s">
        <v>17</v>
      </c>
      <c r="G930">
        <v>254500</v>
      </c>
      <c r="H930">
        <v>9500</v>
      </c>
      <c r="I930">
        <v>3.88</v>
      </c>
      <c r="J930">
        <v>245500</v>
      </c>
      <c r="K930">
        <v>254500</v>
      </c>
      <c r="L930">
        <v>244000</v>
      </c>
      <c r="M930">
        <v>435864</v>
      </c>
      <c r="N930">
        <v>109461543000</v>
      </c>
      <c r="O930">
        <v>169976544</v>
      </c>
      <c r="P930">
        <v>43259030448000</v>
      </c>
    </row>
    <row r="931" spans="1:16">
      <c r="A931" t="s">
        <v>45</v>
      </c>
      <c r="B931">
        <v>20260102</v>
      </c>
      <c r="C931">
        <v>28260</v>
      </c>
      <c r="D931" t="s">
        <v>46</v>
      </c>
      <c r="E931" t="s">
        <v>45</v>
      </c>
      <c r="F931" t="s">
        <v>17</v>
      </c>
      <c r="G931">
        <v>245000</v>
      </c>
      <c r="H931">
        <v>5500</v>
      </c>
      <c r="I931">
        <v>2.2999999999999998</v>
      </c>
      <c r="J931">
        <v>237000</v>
      </c>
      <c r="K931">
        <v>246500</v>
      </c>
      <c r="L931">
        <v>234000</v>
      </c>
      <c r="M931">
        <v>360079</v>
      </c>
      <c r="N931">
        <v>86278541750</v>
      </c>
      <c r="O931">
        <v>169976544</v>
      </c>
      <c r="P931">
        <v>41644253280000</v>
      </c>
    </row>
    <row r="932" spans="1:16">
      <c r="A932" t="s">
        <v>47</v>
      </c>
      <c r="B932">
        <v>20260403</v>
      </c>
      <c r="C932">
        <v>42660</v>
      </c>
      <c r="D932" t="s">
        <v>48</v>
      </c>
      <c r="E932" t="s">
        <v>47</v>
      </c>
      <c r="F932" t="s">
        <v>17</v>
      </c>
      <c r="G932">
        <v>128000</v>
      </c>
      <c r="H932">
        <v>8700</v>
      </c>
      <c r="I932">
        <v>7.29</v>
      </c>
      <c r="J932">
        <v>122200</v>
      </c>
      <c r="K932">
        <v>129400</v>
      </c>
      <c r="L932">
        <v>120600</v>
      </c>
      <c r="M932">
        <v>1301116</v>
      </c>
      <c r="N932">
        <v>163755933050</v>
      </c>
      <c r="O932">
        <v>306413394</v>
      </c>
      <c r="P932">
        <v>39220914432000</v>
      </c>
    </row>
    <row r="933" spans="1:16">
      <c r="A933" t="s">
        <v>47</v>
      </c>
      <c r="B933">
        <v>20260402</v>
      </c>
      <c r="C933">
        <v>42660</v>
      </c>
      <c r="D933" t="s">
        <v>48</v>
      </c>
      <c r="E933" t="s">
        <v>47</v>
      </c>
      <c r="F933" t="s">
        <v>17</v>
      </c>
      <c r="G933">
        <v>119300</v>
      </c>
      <c r="H933">
        <v>-7700</v>
      </c>
      <c r="I933">
        <v>-6.06</v>
      </c>
      <c r="J933">
        <v>130200</v>
      </c>
      <c r="K933">
        <v>132100</v>
      </c>
      <c r="L933">
        <v>118700</v>
      </c>
      <c r="M933">
        <v>1673741</v>
      </c>
      <c r="N933">
        <v>208348648800</v>
      </c>
      <c r="O933">
        <v>306413394</v>
      </c>
      <c r="P933">
        <v>36555117904200</v>
      </c>
    </row>
    <row r="934" spans="1:16">
      <c r="A934" t="s">
        <v>47</v>
      </c>
      <c r="B934">
        <v>20260401</v>
      </c>
      <c r="C934">
        <v>42660</v>
      </c>
      <c r="D934" t="s">
        <v>48</v>
      </c>
      <c r="E934" t="s">
        <v>47</v>
      </c>
      <c r="F934" t="s">
        <v>17</v>
      </c>
      <c r="G934">
        <v>127000</v>
      </c>
      <c r="H934">
        <v>6800</v>
      </c>
      <c r="I934">
        <v>5.66</v>
      </c>
      <c r="J934">
        <v>125400</v>
      </c>
      <c r="K934">
        <v>127000</v>
      </c>
      <c r="L934">
        <v>123000</v>
      </c>
      <c r="M934">
        <v>1038804</v>
      </c>
      <c r="N934">
        <v>130269856350</v>
      </c>
      <c r="O934">
        <v>306413394</v>
      </c>
      <c r="P934">
        <v>38914501038000</v>
      </c>
    </row>
    <row r="935" spans="1:16">
      <c r="A935" t="s">
        <v>47</v>
      </c>
      <c r="B935">
        <v>20260331</v>
      </c>
      <c r="C935">
        <v>42660</v>
      </c>
      <c r="D935" t="s">
        <v>48</v>
      </c>
      <c r="E935" t="s">
        <v>47</v>
      </c>
      <c r="F935" t="s">
        <v>17</v>
      </c>
      <c r="G935">
        <v>120200</v>
      </c>
      <c r="H935">
        <v>2000</v>
      </c>
      <c r="I935">
        <v>1.69</v>
      </c>
      <c r="J935">
        <v>121100</v>
      </c>
      <c r="K935">
        <v>127400</v>
      </c>
      <c r="L935">
        <v>119100</v>
      </c>
      <c r="M935">
        <v>1636326</v>
      </c>
      <c r="N935">
        <v>200496823350</v>
      </c>
      <c r="O935">
        <v>306413394</v>
      </c>
      <c r="P935">
        <v>36830889958800</v>
      </c>
    </row>
    <row r="936" spans="1:16">
      <c r="A936" t="s">
        <v>47</v>
      </c>
      <c r="B936">
        <v>20260330</v>
      </c>
      <c r="C936">
        <v>42660</v>
      </c>
      <c r="D936" t="s">
        <v>48</v>
      </c>
      <c r="E936" t="s">
        <v>47</v>
      </c>
      <c r="F936" t="s">
        <v>17</v>
      </c>
      <c r="G936">
        <v>118200</v>
      </c>
      <c r="H936">
        <v>-5000</v>
      </c>
      <c r="I936">
        <v>-4.0599999999999996</v>
      </c>
      <c r="J936">
        <v>117100</v>
      </c>
      <c r="K936">
        <v>120500</v>
      </c>
      <c r="L936">
        <v>115100</v>
      </c>
      <c r="M936">
        <v>770279</v>
      </c>
      <c r="N936">
        <v>90781625150</v>
      </c>
      <c r="O936">
        <v>306413394</v>
      </c>
      <c r="P936">
        <v>36218063170800</v>
      </c>
    </row>
    <row r="937" spans="1:16">
      <c r="A937" t="s">
        <v>47</v>
      </c>
      <c r="B937">
        <v>20260327</v>
      </c>
      <c r="C937">
        <v>42660</v>
      </c>
      <c r="D937" t="s">
        <v>48</v>
      </c>
      <c r="E937" t="s">
        <v>47</v>
      </c>
      <c r="F937" t="s">
        <v>17</v>
      </c>
      <c r="G937">
        <v>123200</v>
      </c>
      <c r="H937">
        <v>-2500</v>
      </c>
      <c r="I937">
        <v>-1.99</v>
      </c>
      <c r="J937">
        <v>120500</v>
      </c>
      <c r="K937">
        <v>123400</v>
      </c>
      <c r="L937">
        <v>117300</v>
      </c>
      <c r="M937">
        <v>833837</v>
      </c>
      <c r="N937">
        <v>100361705450</v>
      </c>
      <c r="O937">
        <v>306413394</v>
      </c>
      <c r="P937">
        <v>37750130140800</v>
      </c>
    </row>
    <row r="938" spans="1:16">
      <c r="A938" t="s">
        <v>47</v>
      </c>
      <c r="B938">
        <v>20260326</v>
      </c>
      <c r="C938">
        <v>42660</v>
      </c>
      <c r="D938" t="s">
        <v>48</v>
      </c>
      <c r="E938" t="s">
        <v>47</v>
      </c>
      <c r="F938" t="s">
        <v>17</v>
      </c>
      <c r="G938">
        <v>125700</v>
      </c>
      <c r="H938">
        <v>1000</v>
      </c>
      <c r="I938">
        <v>0.8</v>
      </c>
      <c r="J938">
        <v>129300</v>
      </c>
      <c r="K938">
        <v>130300</v>
      </c>
      <c r="L938">
        <v>124700</v>
      </c>
      <c r="M938">
        <v>932327</v>
      </c>
      <c r="N938">
        <v>118602725500</v>
      </c>
      <c r="O938">
        <v>306413394</v>
      </c>
      <c r="P938">
        <v>38516163625800</v>
      </c>
    </row>
    <row r="939" spans="1:16">
      <c r="A939" t="s">
        <v>47</v>
      </c>
      <c r="B939">
        <v>20260325</v>
      </c>
      <c r="C939">
        <v>42660</v>
      </c>
      <c r="D939" t="s">
        <v>48</v>
      </c>
      <c r="E939" t="s">
        <v>47</v>
      </c>
      <c r="F939" t="s">
        <v>17</v>
      </c>
      <c r="G939">
        <v>124700</v>
      </c>
      <c r="H939">
        <v>2400</v>
      </c>
      <c r="I939">
        <v>1.96</v>
      </c>
      <c r="J939">
        <v>123700</v>
      </c>
      <c r="K939">
        <v>124800</v>
      </c>
      <c r="L939">
        <v>121100</v>
      </c>
      <c r="M939">
        <v>753232</v>
      </c>
      <c r="N939">
        <v>93052085600</v>
      </c>
      <c r="O939">
        <v>306413394</v>
      </c>
      <c r="P939">
        <v>38209750231800</v>
      </c>
    </row>
    <row r="940" spans="1:16">
      <c r="A940" t="s">
        <v>47</v>
      </c>
      <c r="B940">
        <v>20260324</v>
      </c>
      <c r="C940">
        <v>42660</v>
      </c>
      <c r="D940" t="s">
        <v>48</v>
      </c>
      <c r="E940" t="s">
        <v>47</v>
      </c>
      <c r="F940" t="s">
        <v>17</v>
      </c>
      <c r="G940">
        <v>122300</v>
      </c>
      <c r="H940">
        <v>3400</v>
      </c>
      <c r="I940">
        <v>2.86</v>
      </c>
      <c r="J940">
        <v>124500</v>
      </c>
      <c r="K940">
        <v>126200</v>
      </c>
      <c r="L940">
        <v>117400</v>
      </c>
      <c r="M940">
        <v>798598</v>
      </c>
      <c r="N940">
        <v>96988798600</v>
      </c>
      <c r="O940">
        <v>306413394</v>
      </c>
      <c r="P940">
        <v>37474358086200</v>
      </c>
    </row>
    <row r="941" spans="1:16">
      <c r="A941" t="s">
        <v>47</v>
      </c>
      <c r="B941">
        <v>20260323</v>
      </c>
      <c r="C941">
        <v>42660</v>
      </c>
      <c r="D941" t="s">
        <v>48</v>
      </c>
      <c r="E941" t="s">
        <v>47</v>
      </c>
      <c r="F941" t="s">
        <v>17</v>
      </c>
      <c r="G941">
        <v>118900</v>
      </c>
      <c r="H941">
        <v>-10200</v>
      </c>
      <c r="I941">
        <v>-7.9</v>
      </c>
      <c r="J941">
        <v>125000</v>
      </c>
      <c r="K941">
        <v>125200</v>
      </c>
      <c r="L941">
        <v>118900</v>
      </c>
      <c r="M941">
        <v>993984</v>
      </c>
      <c r="N941">
        <v>120563391750</v>
      </c>
      <c r="O941">
        <v>306413394</v>
      </c>
      <c r="P941">
        <v>36432552546600</v>
      </c>
    </row>
    <row r="942" spans="1:16">
      <c r="A942" t="s">
        <v>47</v>
      </c>
      <c r="B942">
        <v>20260320</v>
      </c>
      <c r="C942">
        <v>42660</v>
      </c>
      <c r="D942" t="s">
        <v>48</v>
      </c>
      <c r="E942" t="s">
        <v>47</v>
      </c>
      <c r="F942" t="s">
        <v>17</v>
      </c>
      <c r="G942">
        <v>129100</v>
      </c>
      <c r="H942">
        <v>-900</v>
      </c>
      <c r="I942">
        <v>-0.69</v>
      </c>
      <c r="J942">
        <v>130000</v>
      </c>
      <c r="K942">
        <v>131600</v>
      </c>
      <c r="L942">
        <v>127700</v>
      </c>
      <c r="M942">
        <v>853925</v>
      </c>
      <c r="N942">
        <v>110674378800</v>
      </c>
      <c r="O942">
        <v>306413394</v>
      </c>
      <c r="P942">
        <v>39557969165400</v>
      </c>
    </row>
    <row r="943" spans="1:16">
      <c r="A943" t="s">
        <v>47</v>
      </c>
      <c r="B943">
        <v>20260319</v>
      </c>
      <c r="C943">
        <v>42660</v>
      </c>
      <c r="D943" t="s">
        <v>48</v>
      </c>
      <c r="E943" t="s">
        <v>47</v>
      </c>
      <c r="F943" t="s">
        <v>17</v>
      </c>
      <c r="G943">
        <v>130000</v>
      </c>
      <c r="H943">
        <v>-2900</v>
      </c>
      <c r="I943">
        <v>-2.1800000000000002</v>
      </c>
      <c r="J943">
        <v>130600</v>
      </c>
      <c r="K943">
        <v>132000</v>
      </c>
      <c r="L943">
        <v>130000</v>
      </c>
      <c r="M943">
        <v>579582</v>
      </c>
      <c r="N943">
        <v>75714920900</v>
      </c>
      <c r="O943">
        <v>306413394</v>
      </c>
      <c r="P943">
        <v>39833741220000</v>
      </c>
    </row>
    <row r="944" spans="1:16">
      <c r="A944" t="s">
        <v>47</v>
      </c>
      <c r="B944">
        <v>20260318</v>
      </c>
      <c r="C944">
        <v>42660</v>
      </c>
      <c r="D944" t="s">
        <v>48</v>
      </c>
      <c r="E944" t="s">
        <v>47</v>
      </c>
      <c r="F944" t="s">
        <v>17</v>
      </c>
      <c r="G944">
        <v>132900</v>
      </c>
      <c r="H944">
        <v>200</v>
      </c>
      <c r="I944">
        <v>0.15</v>
      </c>
      <c r="J944">
        <v>133900</v>
      </c>
      <c r="K944">
        <v>134500</v>
      </c>
      <c r="L944">
        <v>130600</v>
      </c>
      <c r="M944">
        <v>1000923</v>
      </c>
      <c r="N944">
        <v>132890800300</v>
      </c>
      <c r="O944">
        <v>306413394</v>
      </c>
      <c r="P944">
        <v>40722340062600</v>
      </c>
    </row>
    <row r="945" spans="1:16">
      <c r="A945" t="s">
        <v>47</v>
      </c>
      <c r="B945">
        <v>20260317</v>
      </c>
      <c r="C945">
        <v>42660</v>
      </c>
      <c r="D945" t="s">
        <v>48</v>
      </c>
      <c r="E945" t="s">
        <v>47</v>
      </c>
      <c r="F945" t="s">
        <v>17</v>
      </c>
      <c r="G945">
        <v>132700</v>
      </c>
      <c r="H945">
        <v>800</v>
      </c>
      <c r="I945">
        <v>0.61</v>
      </c>
      <c r="J945">
        <v>133800</v>
      </c>
      <c r="K945">
        <v>135600</v>
      </c>
      <c r="L945">
        <v>132000</v>
      </c>
      <c r="M945">
        <v>682572</v>
      </c>
      <c r="N945">
        <v>91046759700</v>
      </c>
      <c r="O945">
        <v>306413394</v>
      </c>
      <c r="P945">
        <v>40661057383800</v>
      </c>
    </row>
    <row r="946" spans="1:16">
      <c r="A946" t="s">
        <v>47</v>
      </c>
      <c r="B946">
        <v>20260316</v>
      </c>
      <c r="C946">
        <v>42660</v>
      </c>
      <c r="D946" t="s">
        <v>48</v>
      </c>
      <c r="E946" t="s">
        <v>47</v>
      </c>
      <c r="F946" t="s">
        <v>17</v>
      </c>
      <c r="G946">
        <v>131900</v>
      </c>
      <c r="H946">
        <v>-5000</v>
      </c>
      <c r="I946">
        <v>-3.65</v>
      </c>
      <c r="J946">
        <v>135400</v>
      </c>
      <c r="K946">
        <v>139000</v>
      </c>
      <c r="L946">
        <v>131000</v>
      </c>
      <c r="M946">
        <v>1222379</v>
      </c>
      <c r="N946">
        <v>163021513250</v>
      </c>
      <c r="O946">
        <v>306413394</v>
      </c>
      <c r="P946">
        <v>40415926668600</v>
      </c>
    </row>
    <row r="947" spans="1:16">
      <c r="A947" t="s">
        <v>47</v>
      </c>
      <c r="B947">
        <v>20260313</v>
      </c>
      <c r="C947">
        <v>42660</v>
      </c>
      <c r="D947" t="s">
        <v>48</v>
      </c>
      <c r="E947" t="s">
        <v>47</v>
      </c>
      <c r="F947" t="s">
        <v>17</v>
      </c>
      <c r="G947">
        <v>136900</v>
      </c>
      <c r="H947">
        <v>200</v>
      </c>
      <c r="I947">
        <v>0.15</v>
      </c>
      <c r="J947">
        <v>135400</v>
      </c>
      <c r="K947">
        <v>136900</v>
      </c>
      <c r="L947">
        <v>133200</v>
      </c>
      <c r="M947">
        <v>1188043</v>
      </c>
      <c r="N947">
        <v>160043573550</v>
      </c>
      <c r="O947">
        <v>306413394</v>
      </c>
      <c r="P947">
        <v>41947993638600</v>
      </c>
    </row>
    <row r="948" spans="1:16">
      <c r="A948" t="s">
        <v>47</v>
      </c>
      <c r="B948">
        <v>20260312</v>
      </c>
      <c r="C948">
        <v>42660</v>
      </c>
      <c r="D948" t="s">
        <v>48</v>
      </c>
      <c r="E948" t="s">
        <v>47</v>
      </c>
      <c r="F948" t="s">
        <v>17</v>
      </c>
      <c r="G948">
        <v>136700</v>
      </c>
      <c r="H948">
        <v>3100</v>
      </c>
      <c r="I948">
        <v>2.3199999999999998</v>
      </c>
      <c r="J948">
        <v>132300</v>
      </c>
      <c r="K948">
        <v>139800</v>
      </c>
      <c r="L948">
        <v>131000</v>
      </c>
      <c r="M948">
        <v>1942228</v>
      </c>
      <c r="N948">
        <v>264650377500</v>
      </c>
      <c r="O948">
        <v>306413394</v>
      </c>
      <c r="P948">
        <v>41886710959800</v>
      </c>
    </row>
    <row r="949" spans="1:16">
      <c r="A949" t="s">
        <v>47</v>
      </c>
      <c r="B949">
        <v>20260311</v>
      </c>
      <c r="C949">
        <v>42660</v>
      </c>
      <c r="D949" t="s">
        <v>48</v>
      </c>
      <c r="E949" t="s">
        <v>47</v>
      </c>
      <c r="F949" t="s">
        <v>17</v>
      </c>
      <c r="G949">
        <v>133600</v>
      </c>
      <c r="H949">
        <v>9200</v>
      </c>
      <c r="I949">
        <v>7.4</v>
      </c>
      <c r="J949">
        <v>131000</v>
      </c>
      <c r="K949">
        <v>141200</v>
      </c>
      <c r="L949">
        <v>130700</v>
      </c>
      <c r="M949">
        <v>4435288</v>
      </c>
      <c r="N949">
        <v>606923337300</v>
      </c>
      <c r="O949">
        <v>306413394</v>
      </c>
      <c r="P949">
        <v>40936829438400</v>
      </c>
    </row>
    <row r="950" spans="1:16">
      <c r="A950" t="s">
        <v>47</v>
      </c>
      <c r="B950">
        <v>20260310</v>
      </c>
      <c r="C950">
        <v>42660</v>
      </c>
      <c r="D950" t="s">
        <v>48</v>
      </c>
      <c r="E950" t="s">
        <v>47</v>
      </c>
      <c r="F950" t="s">
        <v>17</v>
      </c>
      <c r="G950">
        <v>124400</v>
      </c>
      <c r="H950">
        <v>700</v>
      </c>
      <c r="I950">
        <v>0.56999999999999995</v>
      </c>
      <c r="J950">
        <v>127500</v>
      </c>
      <c r="K950">
        <v>128800</v>
      </c>
      <c r="L950">
        <v>122000</v>
      </c>
      <c r="M950">
        <v>1275705</v>
      </c>
      <c r="N950">
        <v>158557512300</v>
      </c>
      <c r="O950">
        <v>306413394</v>
      </c>
      <c r="P950">
        <v>38117826213600</v>
      </c>
    </row>
    <row r="951" spans="1:16">
      <c r="A951" t="s">
        <v>47</v>
      </c>
      <c r="B951">
        <v>20260309</v>
      </c>
      <c r="C951">
        <v>42660</v>
      </c>
      <c r="D951" t="s">
        <v>48</v>
      </c>
      <c r="E951" t="s">
        <v>47</v>
      </c>
      <c r="F951" t="s">
        <v>17</v>
      </c>
      <c r="G951">
        <v>123700</v>
      </c>
      <c r="H951">
        <v>-3000</v>
      </c>
      <c r="I951">
        <v>-2.37</v>
      </c>
      <c r="J951">
        <v>122000</v>
      </c>
      <c r="K951">
        <v>131400</v>
      </c>
      <c r="L951">
        <v>120100</v>
      </c>
      <c r="M951">
        <v>1821801</v>
      </c>
      <c r="N951">
        <v>225780271050</v>
      </c>
      <c r="O951">
        <v>306413394</v>
      </c>
      <c r="P951">
        <v>37903336837800</v>
      </c>
    </row>
    <row r="952" spans="1:16">
      <c r="A952" t="s">
        <v>47</v>
      </c>
      <c r="B952">
        <v>20260306</v>
      </c>
      <c r="C952">
        <v>42660</v>
      </c>
      <c r="D952" t="s">
        <v>48</v>
      </c>
      <c r="E952" t="s">
        <v>47</v>
      </c>
      <c r="F952" t="s">
        <v>17</v>
      </c>
      <c r="G952">
        <v>126700</v>
      </c>
      <c r="H952">
        <v>4600</v>
      </c>
      <c r="I952">
        <v>3.77</v>
      </c>
      <c r="J952">
        <v>117000</v>
      </c>
      <c r="K952">
        <v>126800</v>
      </c>
      <c r="L952">
        <v>117000</v>
      </c>
      <c r="M952">
        <v>1797553</v>
      </c>
      <c r="N952">
        <v>221656042300</v>
      </c>
      <c r="O952">
        <v>306413394</v>
      </c>
      <c r="P952">
        <v>38822577019800</v>
      </c>
    </row>
    <row r="953" spans="1:16">
      <c r="A953" t="s">
        <v>47</v>
      </c>
      <c r="B953">
        <v>20260305</v>
      </c>
      <c r="C953">
        <v>42660</v>
      </c>
      <c r="D953" t="s">
        <v>48</v>
      </c>
      <c r="E953" t="s">
        <v>47</v>
      </c>
      <c r="F953" t="s">
        <v>17</v>
      </c>
      <c r="G953">
        <v>122100</v>
      </c>
      <c r="H953">
        <v>13600</v>
      </c>
      <c r="I953">
        <v>12.53</v>
      </c>
      <c r="J953">
        <v>121200</v>
      </c>
      <c r="K953">
        <v>124700</v>
      </c>
      <c r="L953">
        <v>118500</v>
      </c>
      <c r="M953">
        <v>2260208</v>
      </c>
      <c r="N953">
        <v>276041599150</v>
      </c>
      <c r="O953">
        <v>306413394</v>
      </c>
      <c r="P953">
        <v>37413075407400</v>
      </c>
    </row>
    <row r="954" spans="1:16">
      <c r="A954" t="s">
        <v>47</v>
      </c>
      <c r="B954">
        <v>20260304</v>
      </c>
      <c r="C954">
        <v>42660</v>
      </c>
      <c r="D954" t="s">
        <v>48</v>
      </c>
      <c r="E954" t="s">
        <v>47</v>
      </c>
      <c r="F954" t="s">
        <v>17</v>
      </c>
      <c r="G954">
        <v>108500</v>
      </c>
      <c r="H954">
        <v>-26900</v>
      </c>
      <c r="I954">
        <v>-19.87</v>
      </c>
      <c r="J954">
        <v>127800</v>
      </c>
      <c r="K954">
        <v>131000</v>
      </c>
      <c r="L954">
        <v>108500</v>
      </c>
      <c r="M954">
        <v>4515106</v>
      </c>
      <c r="N954">
        <v>532478292900</v>
      </c>
      <c r="O954">
        <v>306413394</v>
      </c>
      <c r="P954">
        <v>33245853249000</v>
      </c>
    </row>
    <row r="955" spans="1:16">
      <c r="A955" t="s">
        <v>47</v>
      </c>
      <c r="B955">
        <v>20260303</v>
      </c>
      <c r="C955">
        <v>42660</v>
      </c>
      <c r="D955" t="s">
        <v>48</v>
      </c>
      <c r="E955" t="s">
        <v>47</v>
      </c>
      <c r="F955" t="s">
        <v>17</v>
      </c>
      <c r="G955">
        <v>135400</v>
      </c>
      <c r="H955">
        <v>-5800</v>
      </c>
      <c r="I955">
        <v>-4.1100000000000003</v>
      </c>
      <c r="J955">
        <v>144700</v>
      </c>
      <c r="K955">
        <v>154800</v>
      </c>
      <c r="L955">
        <v>135000</v>
      </c>
      <c r="M955">
        <v>6443038</v>
      </c>
      <c r="N955">
        <v>935541571000</v>
      </c>
      <c r="O955">
        <v>306413394</v>
      </c>
      <c r="P955">
        <v>41488373547600</v>
      </c>
    </row>
    <row r="956" spans="1:16">
      <c r="A956" t="s">
        <v>47</v>
      </c>
      <c r="B956">
        <v>20260227</v>
      </c>
      <c r="C956">
        <v>42660</v>
      </c>
      <c r="D956" t="s">
        <v>48</v>
      </c>
      <c r="E956" t="s">
        <v>47</v>
      </c>
      <c r="F956" t="s">
        <v>17</v>
      </c>
      <c r="G956">
        <v>141200</v>
      </c>
      <c r="H956">
        <v>1200</v>
      </c>
      <c r="I956">
        <v>0.86</v>
      </c>
      <c r="J956">
        <v>143300</v>
      </c>
      <c r="K956">
        <v>143600</v>
      </c>
      <c r="L956">
        <v>140000</v>
      </c>
      <c r="M956">
        <v>1708661</v>
      </c>
      <c r="N956">
        <v>241587160350</v>
      </c>
      <c r="O956">
        <v>306413394</v>
      </c>
      <c r="P956">
        <v>43265571232800</v>
      </c>
    </row>
    <row r="957" spans="1:16">
      <c r="A957" t="s">
        <v>47</v>
      </c>
      <c r="B957">
        <v>20260226</v>
      </c>
      <c r="C957">
        <v>42660</v>
      </c>
      <c r="D957" t="s">
        <v>48</v>
      </c>
      <c r="E957" t="s">
        <v>47</v>
      </c>
      <c r="F957" t="s">
        <v>17</v>
      </c>
      <c r="G957">
        <v>140000</v>
      </c>
      <c r="H957">
        <v>-2000</v>
      </c>
      <c r="I957">
        <v>-1.41</v>
      </c>
      <c r="J957">
        <v>142000</v>
      </c>
      <c r="K957">
        <v>142400</v>
      </c>
      <c r="L957">
        <v>139100</v>
      </c>
      <c r="M957">
        <v>1393956</v>
      </c>
      <c r="N957">
        <v>195169857650</v>
      </c>
      <c r="O957">
        <v>306413394</v>
      </c>
      <c r="P957">
        <v>42897875160000</v>
      </c>
    </row>
    <row r="958" spans="1:16">
      <c r="A958" t="s">
        <v>47</v>
      </c>
      <c r="B958">
        <v>20260225</v>
      </c>
      <c r="C958">
        <v>42660</v>
      </c>
      <c r="D958" t="s">
        <v>48</v>
      </c>
      <c r="E958" t="s">
        <v>47</v>
      </c>
      <c r="F958" t="s">
        <v>17</v>
      </c>
      <c r="G958">
        <v>142000</v>
      </c>
      <c r="H958">
        <v>-1100</v>
      </c>
      <c r="I958">
        <v>-0.77</v>
      </c>
      <c r="J958">
        <v>144200</v>
      </c>
      <c r="K958">
        <v>144300</v>
      </c>
      <c r="L958">
        <v>141000</v>
      </c>
      <c r="M958">
        <v>1220639</v>
      </c>
      <c r="N958">
        <v>173982614450</v>
      </c>
      <c r="O958">
        <v>306413394</v>
      </c>
      <c r="P958">
        <v>43510701948000</v>
      </c>
    </row>
    <row r="959" spans="1:16">
      <c r="A959" t="s">
        <v>47</v>
      </c>
      <c r="B959">
        <v>20260224</v>
      </c>
      <c r="C959">
        <v>42660</v>
      </c>
      <c r="D959" t="s">
        <v>48</v>
      </c>
      <c r="E959" t="s">
        <v>47</v>
      </c>
      <c r="F959" t="s">
        <v>17</v>
      </c>
      <c r="G959">
        <v>143100</v>
      </c>
      <c r="H959">
        <v>-4100</v>
      </c>
      <c r="I959">
        <v>-2.79</v>
      </c>
      <c r="J959">
        <v>144500</v>
      </c>
      <c r="K959">
        <v>144600</v>
      </c>
      <c r="L959">
        <v>140800</v>
      </c>
      <c r="M959">
        <v>1644971</v>
      </c>
      <c r="N959">
        <v>234266580350</v>
      </c>
      <c r="O959">
        <v>306413394</v>
      </c>
      <c r="P959">
        <v>43847756681400</v>
      </c>
    </row>
    <row r="960" spans="1:16">
      <c r="A960" t="s">
        <v>47</v>
      </c>
      <c r="B960">
        <v>20260223</v>
      </c>
      <c r="C960">
        <v>42660</v>
      </c>
      <c r="D960" t="s">
        <v>48</v>
      </c>
      <c r="E960" t="s">
        <v>47</v>
      </c>
      <c r="F960" t="s">
        <v>17</v>
      </c>
      <c r="G960">
        <v>147200</v>
      </c>
      <c r="H960">
        <v>-2700</v>
      </c>
      <c r="I960">
        <v>-1.8</v>
      </c>
      <c r="J960">
        <v>148900</v>
      </c>
      <c r="K960">
        <v>150900</v>
      </c>
      <c r="L960">
        <v>145000</v>
      </c>
      <c r="M960">
        <v>2140635</v>
      </c>
      <c r="N960">
        <v>315669843200</v>
      </c>
      <c r="O960">
        <v>306413394</v>
      </c>
      <c r="P960">
        <v>45104051596800</v>
      </c>
    </row>
    <row r="961" spans="1:16">
      <c r="A961" t="s">
        <v>47</v>
      </c>
      <c r="B961">
        <v>20260220</v>
      </c>
      <c r="C961">
        <v>42660</v>
      </c>
      <c r="D961" t="s">
        <v>48</v>
      </c>
      <c r="E961" t="s">
        <v>47</v>
      </c>
      <c r="F961" t="s">
        <v>17</v>
      </c>
      <c r="G961">
        <v>149900</v>
      </c>
      <c r="H961">
        <v>9300</v>
      </c>
      <c r="I961">
        <v>6.61</v>
      </c>
      <c r="J961">
        <v>143000</v>
      </c>
      <c r="K961">
        <v>151400</v>
      </c>
      <c r="L961">
        <v>140100</v>
      </c>
      <c r="M961">
        <v>4322685</v>
      </c>
      <c r="N961">
        <v>635988521300</v>
      </c>
      <c r="O961">
        <v>306413394</v>
      </c>
      <c r="P961">
        <v>45931367760600</v>
      </c>
    </row>
    <row r="962" spans="1:16">
      <c r="A962" t="s">
        <v>47</v>
      </c>
      <c r="B962">
        <v>20260219</v>
      </c>
      <c r="C962">
        <v>42660</v>
      </c>
      <c r="D962" t="s">
        <v>48</v>
      </c>
      <c r="E962" t="s">
        <v>47</v>
      </c>
      <c r="F962" t="s">
        <v>17</v>
      </c>
      <c r="G962">
        <v>140600</v>
      </c>
      <c r="H962">
        <v>10800</v>
      </c>
      <c r="I962">
        <v>8.32</v>
      </c>
      <c r="J962">
        <v>134000</v>
      </c>
      <c r="K962">
        <v>142500</v>
      </c>
      <c r="L962">
        <v>134000</v>
      </c>
      <c r="M962">
        <v>2959645</v>
      </c>
      <c r="N962">
        <v>414815965900</v>
      </c>
      <c r="O962">
        <v>306413394</v>
      </c>
      <c r="P962">
        <v>43081723196400</v>
      </c>
    </row>
    <row r="963" spans="1:16">
      <c r="A963" t="s">
        <v>47</v>
      </c>
      <c r="B963">
        <v>20260213</v>
      </c>
      <c r="C963">
        <v>42660</v>
      </c>
      <c r="D963" t="s">
        <v>48</v>
      </c>
      <c r="E963" t="s">
        <v>47</v>
      </c>
      <c r="F963" t="s">
        <v>17</v>
      </c>
      <c r="G963">
        <v>129800</v>
      </c>
      <c r="H963">
        <v>-2000</v>
      </c>
      <c r="I963">
        <v>-1.52</v>
      </c>
      <c r="J963">
        <v>129500</v>
      </c>
      <c r="K963">
        <v>131000</v>
      </c>
      <c r="L963">
        <v>128500</v>
      </c>
      <c r="M963">
        <v>1069902</v>
      </c>
      <c r="N963">
        <v>138800045600</v>
      </c>
      <c r="O963">
        <v>306413394</v>
      </c>
      <c r="P963">
        <v>39772458541200</v>
      </c>
    </row>
    <row r="964" spans="1:16">
      <c r="A964" t="s">
        <v>47</v>
      </c>
      <c r="B964">
        <v>20260212</v>
      </c>
      <c r="C964">
        <v>42660</v>
      </c>
      <c r="D964" t="s">
        <v>48</v>
      </c>
      <c r="E964" t="s">
        <v>47</v>
      </c>
      <c r="F964" t="s">
        <v>17</v>
      </c>
      <c r="G964">
        <v>131800</v>
      </c>
      <c r="H964">
        <v>2100</v>
      </c>
      <c r="I964">
        <v>1.62</v>
      </c>
      <c r="J964">
        <v>130800</v>
      </c>
      <c r="K964">
        <v>132000</v>
      </c>
      <c r="L964">
        <v>129100</v>
      </c>
      <c r="M964">
        <v>949644</v>
      </c>
      <c r="N964">
        <v>124540094150</v>
      </c>
      <c r="O964">
        <v>306413394</v>
      </c>
      <c r="P964">
        <v>40385285329200</v>
      </c>
    </row>
    <row r="965" spans="1:16">
      <c r="A965" t="s">
        <v>47</v>
      </c>
      <c r="B965">
        <v>20260211</v>
      </c>
      <c r="C965">
        <v>42660</v>
      </c>
      <c r="D965" t="s">
        <v>48</v>
      </c>
      <c r="E965" t="s">
        <v>47</v>
      </c>
      <c r="F965" t="s">
        <v>17</v>
      </c>
      <c r="G965">
        <v>129700</v>
      </c>
      <c r="H965">
        <v>-1200</v>
      </c>
      <c r="I965">
        <v>-0.92</v>
      </c>
      <c r="J965">
        <v>131100</v>
      </c>
      <c r="K965">
        <v>131800</v>
      </c>
      <c r="L965">
        <v>129200</v>
      </c>
      <c r="M965">
        <v>999891</v>
      </c>
      <c r="N965">
        <v>130183143250</v>
      </c>
      <c r="O965">
        <v>306413394</v>
      </c>
      <c r="P965">
        <v>39741817201800</v>
      </c>
    </row>
    <row r="966" spans="1:16">
      <c r="A966" t="s">
        <v>47</v>
      </c>
      <c r="B966">
        <v>20260210</v>
      </c>
      <c r="C966">
        <v>42660</v>
      </c>
      <c r="D966" t="s">
        <v>48</v>
      </c>
      <c r="E966" t="s">
        <v>47</v>
      </c>
      <c r="F966" t="s">
        <v>17</v>
      </c>
      <c r="G966">
        <v>130900</v>
      </c>
      <c r="H966">
        <v>-2300</v>
      </c>
      <c r="I966">
        <v>-1.73</v>
      </c>
      <c r="J966">
        <v>134700</v>
      </c>
      <c r="K966">
        <v>136200</v>
      </c>
      <c r="L966">
        <v>130100</v>
      </c>
      <c r="M966">
        <v>1116966</v>
      </c>
      <c r="N966">
        <v>147479026150</v>
      </c>
      <c r="O966">
        <v>306413394</v>
      </c>
      <c r="P966">
        <v>40109513274600</v>
      </c>
    </row>
    <row r="967" spans="1:16">
      <c r="A967" t="s">
        <v>47</v>
      </c>
      <c r="B967">
        <v>20260209</v>
      </c>
      <c r="C967">
        <v>42660</v>
      </c>
      <c r="D967" t="s">
        <v>48</v>
      </c>
      <c r="E967" t="s">
        <v>47</v>
      </c>
      <c r="F967" t="s">
        <v>17</v>
      </c>
      <c r="G967">
        <v>133200</v>
      </c>
      <c r="H967">
        <v>2600</v>
      </c>
      <c r="I967">
        <v>1.99</v>
      </c>
      <c r="J967">
        <v>135300</v>
      </c>
      <c r="K967">
        <v>135500</v>
      </c>
      <c r="L967">
        <v>132300</v>
      </c>
      <c r="M967">
        <v>1038060</v>
      </c>
      <c r="N967">
        <v>138968678200</v>
      </c>
      <c r="O967">
        <v>306413394</v>
      </c>
      <c r="P967">
        <v>40814264080800</v>
      </c>
    </row>
    <row r="968" spans="1:16">
      <c r="A968" t="s">
        <v>47</v>
      </c>
      <c r="B968">
        <v>20260206</v>
      </c>
      <c r="C968">
        <v>42660</v>
      </c>
      <c r="D968" t="s">
        <v>48</v>
      </c>
      <c r="E968" t="s">
        <v>47</v>
      </c>
      <c r="F968" t="s">
        <v>17</v>
      </c>
      <c r="G968">
        <v>130600</v>
      </c>
      <c r="H968">
        <v>-5000</v>
      </c>
      <c r="I968">
        <v>-3.69</v>
      </c>
      <c r="J968">
        <v>130300</v>
      </c>
      <c r="K968">
        <v>132500</v>
      </c>
      <c r="L968">
        <v>125900</v>
      </c>
      <c r="M968">
        <v>1800746</v>
      </c>
      <c r="N968">
        <v>233107456550</v>
      </c>
      <c r="O968">
        <v>306413394</v>
      </c>
      <c r="P968">
        <v>40017589256400</v>
      </c>
    </row>
    <row r="969" spans="1:16">
      <c r="A969" t="s">
        <v>47</v>
      </c>
      <c r="B969">
        <v>20260205</v>
      </c>
      <c r="C969">
        <v>42660</v>
      </c>
      <c r="D969" t="s">
        <v>48</v>
      </c>
      <c r="E969" t="s">
        <v>47</v>
      </c>
      <c r="F969" t="s">
        <v>17</v>
      </c>
      <c r="G969">
        <v>135600</v>
      </c>
      <c r="H969">
        <v>-8400</v>
      </c>
      <c r="I969">
        <v>-5.83</v>
      </c>
      <c r="J969">
        <v>142200</v>
      </c>
      <c r="K969">
        <v>144900</v>
      </c>
      <c r="L969">
        <v>135600</v>
      </c>
      <c r="M969">
        <v>2449813</v>
      </c>
      <c r="N969">
        <v>340477842700</v>
      </c>
      <c r="O969">
        <v>306413394</v>
      </c>
      <c r="P969">
        <v>41549656226400</v>
      </c>
    </row>
    <row r="970" spans="1:16">
      <c r="A970" t="s">
        <v>47</v>
      </c>
      <c r="B970">
        <v>20260204</v>
      </c>
      <c r="C970">
        <v>42660</v>
      </c>
      <c r="D970" t="s">
        <v>48</v>
      </c>
      <c r="E970" t="s">
        <v>47</v>
      </c>
      <c r="F970" t="s">
        <v>17</v>
      </c>
      <c r="G970">
        <v>144000</v>
      </c>
      <c r="H970">
        <v>2600</v>
      </c>
      <c r="I970">
        <v>1.84</v>
      </c>
      <c r="J970">
        <v>144000</v>
      </c>
      <c r="K970">
        <v>144800</v>
      </c>
      <c r="L970">
        <v>140700</v>
      </c>
      <c r="M970">
        <v>3025185</v>
      </c>
      <c r="N970">
        <v>432598102250</v>
      </c>
      <c r="O970">
        <v>306413394</v>
      </c>
      <c r="P970">
        <v>44123528736000</v>
      </c>
    </row>
    <row r="971" spans="1:16">
      <c r="A971" t="s">
        <v>47</v>
      </c>
      <c r="B971">
        <v>20260203</v>
      </c>
      <c r="C971">
        <v>42660</v>
      </c>
      <c r="D971" t="s">
        <v>48</v>
      </c>
      <c r="E971" t="s">
        <v>47</v>
      </c>
      <c r="F971" t="s">
        <v>17</v>
      </c>
      <c r="G971">
        <v>141400</v>
      </c>
      <c r="H971">
        <v>7800</v>
      </c>
      <c r="I971">
        <v>5.84</v>
      </c>
      <c r="J971">
        <v>137700</v>
      </c>
      <c r="K971">
        <v>142300</v>
      </c>
      <c r="L971">
        <v>135700</v>
      </c>
      <c r="M971">
        <v>2058145</v>
      </c>
      <c r="N971">
        <v>288329736450</v>
      </c>
      <c r="O971">
        <v>306413394</v>
      </c>
      <c r="P971">
        <v>43326853911600</v>
      </c>
    </row>
    <row r="972" spans="1:16">
      <c r="A972" t="s">
        <v>47</v>
      </c>
      <c r="B972">
        <v>20260202</v>
      </c>
      <c r="C972">
        <v>42660</v>
      </c>
      <c r="D972" t="s">
        <v>48</v>
      </c>
      <c r="E972" t="s">
        <v>47</v>
      </c>
      <c r="F972" t="s">
        <v>17</v>
      </c>
      <c r="G972">
        <v>133600</v>
      </c>
      <c r="H972">
        <v>-4900</v>
      </c>
      <c r="I972">
        <v>-3.54</v>
      </c>
      <c r="J972">
        <v>139500</v>
      </c>
      <c r="K972">
        <v>142100</v>
      </c>
      <c r="L972">
        <v>132100</v>
      </c>
      <c r="M972">
        <v>2510290</v>
      </c>
      <c r="N972">
        <v>345126048500</v>
      </c>
      <c r="O972">
        <v>306413394</v>
      </c>
      <c r="P972">
        <v>40936829438400</v>
      </c>
    </row>
    <row r="973" spans="1:16">
      <c r="A973" t="s">
        <v>47</v>
      </c>
      <c r="B973">
        <v>20260130</v>
      </c>
      <c r="C973">
        <v>42660</v>
      </c>
      <c r="D973" t="s">
        <v>48</v>
      </c>
      <c r="E973" t="s">
        <v>47</v>
      </c>
      <c r="F973" t="s">
        <v>17</v>
      </c>
      <c r="G973">
        <v>138500</v>
      </c>
      <c r="H973">
        <v>-3400</v>
      </c>
      <c r="I973">
        <v>-2.4</v>
      </c>
      <c r="J973">
        <v>142000</v>
      </c>
      <c r="K973">
        <v>142600</v>
      </c>
      <c r="L973">
        <v>138500</v>
      </c>
      <c r="M973">
        <v>1631827</v>
      </c>
      <c r="N973">
        <v>227585032250</v>
      </c>
      <c r="O973">
        <v>306413394</v>
      </c>
      <c r="P973">
        <v>42438255069000</v>
      </c>
    </row>
    <row r="974" spans="1:16">
      <c r="A974" t="s">
        <v>47</v>
      </c>
      <c r="B974">
        <v>20260129</v>
      </c>
      <c r="C974">
        <v>42660</v>
      </c>
      <c r="D974" t="s">
        <v>48</v>
      </c>
      <c r="E974" t="s">
        <v>47</v>
      </c>
      <c r="F974" t="s">
        <v>17</v>
      </c>
      <c r="G974">
        <v>141900</v>
      </c>
      <c r="H974">
        <v>-1500</v>
      </c>
      <c r="I974">
        <v>-1.05</v>
      </c>
      <c r="J974">
        <v>141800</v>
      </c>
      <c r="K974">
        <v>142500</v>
      </c>
      <c r="L974">
        <v>138800</v>
      </c>
      <c r="M974">
        <v>2000567</v>
      </c>
      <c r="N974">
        <v>280668223800</v>
      </c>
      <c r="O974">
        <v>306413394</v>
      </c>
      <c r="P974">
        <v>43480060608600</v>
      </c>
    </row>
    <row r="975" spans="1:16">
      <c r="A975" t="s">
        <v>47</v>
      </c>
      <c r="B975">
        <v>20260128</v>
      </c>
      <c r="C975">
        <v>42660</v>
      </c>
      <c r="D975" t="s">
        <v>48</v>
      </c>
      <c r="E975" t="s">
        <v>47</v>
      </c>
      <c r="F975" t="s">
        <v>17</v>
      </c>
      <c r="G975">
        <v>143400</v>
      </c>
      <c r="H975">
        <v>2900</v>
      </c>
      <c r="I975">
        <v>2.06</v>
      </c>
      <c r="J975">
        <v>141300</v>
      </c>
      <c r="K975">
        <v>144900</v>
      </c>
      <c r="L975">
        <v>140000</v>
      </c>
      <c r="M975">
        <v>1991492</v>
      </c>
      <c r="N975">
        <v>283000656350</v>
      </c>
      <c r="O975">
        <v>306413394</v>
      </c>
      <c r="P975">
        <v>43939680699600</v>
      </c>
    </row>
    <row r="976" spans="1:16">
      <c r="A976" t="s">
        <v>47</v>
      </c>
      <c r="B976">
        <v>20260127</v>
      </c>
      <c r="C976">
        <v>42660</v>
      </c>
      <c r="D976" t="s">
        <v>48</v>
      </c>
      <c r="E976" t="s">
        <v>47</v>
      </c>
      <c r="F976" t="s">
        <v>17</v>
      </c>
      <c r="G976">
        <v>140500</v>
      </c>
      <c r="H976">
        <v>700</v>
      </c>
      <c r="I976">
        <v>0.5</v>
      </c>
      <c r="J976">
        <v>144000</v>
      </c>
      <c r="K976">
        <v>144100</v>
      </c>
      <c r="L976">
        <v>138100</v>
      </c>
      <c r="M976">
        <v>1651826</v>
      </c>
      <c r="N976">
        <v>232237608350</v>
      </c>
      <c r="O976">
        <v>306413394</v>
      </c>
      <c r="P976">
        <v>43051081857000</v>
      </c>
    </row>
    <row r="977" spans="1:16">
      <c r="A977" t="s">
        <v>47</v>
      </c>
      <c r="B977">
        <v>20260126</v>
      </c>
      <c r="C977">
        <v>42660</v>
      </c>
      <c r="D977" t="s">
        <v>48</v>
      </c>
      <c r="E977" t="s">
        <v>47</v>
      </c>
      <c r="F977" t="s">
        <v>17</v>
      </c>
      <c r="G977">
        <v>139800</v>
      </c>
      <c r="H977">
        <v>-500</v>
      </c>
      <c r="I977">
        <v>-0.36</v>
      </c>
      <c r="J977">
        <v>142300</v>
      </c>
      <c r="K977">
        <v>142300</v>
      </c>
      <c r="L977">
        <v>138500</v>
      </c>
      <c r="M977">
        <v>1635740</v>
      </c>
      <c r="N977">
        <v>228584753050</v>
      </c>
      <c r="O977">
        <v>306413394</v>
      </c>
      <c r="P977">
        <v>42836592481200</v>
      </c>
    </row>
    <row r="978" spans="1:16">
      <c r="A978" t="s">
        <v>47</v>
      </c>
      <c r="B978">
        <v>20260123</v>
      </c>
      <c r="C978">
        <v>42660</v>
      </c>
      <c r="D978" t="s">
        <v>48</v>
      </c>
      <c r="E978" t="s">
        <v>47</v>
      </c>
      <c r="F978" t="s">
        <v>17</v>
      </c>
      <c r="G978">
        <v>140300</v>
      </c>
      <c r="H978">
        <v>2600</v>
      </c>
      <c r="I978">
        <v>1.89</v>
      </c>
      <c r="J978">
        <v>138200</v>
      </c>
      <c r="K978">
        <v>148900</v>
      </c>
      <c r="L978">
        <v>138200</v>
      </c>
      <c r="M978">
        <v>3902320</v>
      </c>
      <c r="N978">
        <v>560117270900</v>
      </c>
      <c r="O978">
        <v>306413394</v>
      </c>
      <c r="P978">
        <v>42989799178200</v>
      </c>
    </row>
    <row r="979" spans="1:16">
      <c r="A979" t="s">
        <v>47</v>
      </c>
      <c r="B979">
        <v>20260122</v>
      </c>
      <c r="C979">
        <v>42660</v>
      </c>
      <c r="D979" t="s">
        <v>48</v>
      </c>
      <c r="E979" t="s">
        <v>47</v>
      </c>
      <c r="F979" t="s">
        <v>17</v>
      </c>
      <c r="G979">
        <v>137700</v>
      </c>
      <c r="H979">
        <v>-3800</v>
      </c>
      <c r="I979">
        <v>-2.69</v>
      </c>
      <c r="J979">
        <v>143000</v>
      </c>
      <c r="K979">
        <v>143100</v>
      </c>
      <c r="L979">
        <v>137200</v>
      </c>
      <c r="M979">
        <v>2255607</v>
      </c>
      <c r="N979">
        <v>313686393000</v>
      </c>
      <c r="O979">
        <v>306413394</v>
      </c>
      <c r="P979">
        <v>42193124353800</v>
      </c>
    </row>
    <row r="980" spans="1:16">
      <c r="A980" t="s">
        <v>47</v>
      </c>
      <c r="B980">
        <v>20260121</v>
      </c>
      <c r="C980">
        <v>42660</v>
      </c>
      <c r="D980" t="s">
        <v>48</v>
      </c>
      <c r="E980" t="s">
        <v>47</v>
      </c>
      <c r="F980" t="s">
        <v>17</v>
      </c>
      <c r="G980">
        <v>141500</v>
      </c>
      <c r="H980">
        <v>-5600</v>
      </c>
      <c r="I980">
        <v>-3.81</v>
      </c>
      <c r="J980">
        <v>141400</v>
      </c>
      <c r="K980">
        <v>143900</v>
      </c>
      <c r="L980">
        <v>140100</v>
      </c>
      <c r="M980">
        <v>2247852</v>
      </c>
      <c r="N980">
        <v>318750795800</v>
      </c>
      <c r="O980">
        <v>306413394</v>
      </c>
      <c r="P980">
        <v>43357495251000</v>
      </c>
    </row>
    <row r="981" spans="1:16">
      <c r="A981" t="s">
        <v>47</v>
      </c>
      <c r="B981">
        <v>20260120</v>
      </c>
      <c r="C981">
        <v>42660</v>
      </c>
      <c r="D981" t="s">
        <v>48</v>
      </c>
      <c r="E981" t="s">
        <v>47</v>
      </c>
      <c r="F981" t="s">
        <v>17</v>
      </c>
      <c r="G981">
        <v>147100</v>
      </c>
      <c r="H981">
        <v>-1700</v>
      </c>
      <c r="I981">
        <v>-1.1399999999999999</v>
      </c>
      <c r="J981">
        <v>149000</v>
      </c>
      <c r="K981">
        <v>149400</v>
      </c>
      <c r="L981">
        <v>144000</v>
      </c>
      <c r="M981">
        <v>1773393</v>
      </c>
      <c r="N981">
        <v>261164445150</v>
      </c>
      <c r="O981">
        <v>306413394</v>
      </c>
      <c r="P981">
        <v>45073410257400</v>
      </c>
    </row>
    <row r="982" spans="1:16">
      <c r="A982" t="s">
        <v>47</v>
      </c>
      <c r="B982">
        <v>20260119</v>
      </c>
      <c r="C982">
        <v>42660</v>
      </c>
      <c r="D982" t="s">
        <v>48</v>
      </c>
      <c r="E982" t="s">
        <v>47</v>
      </c>
      <c r="F982" t="s">
        <v>17</v>
      </c>
      <c r="G982">
        <v>148800</v>
      </c>
      <c r="H982">
        <v>1800</v>
      </c>
      <c r="I982">
        <v>1.22</v>
      </c>
      <c r="J982">
        <v>149300</v>
      </c>
      <c r="K982">
        <v>149400</v>
      </c>
      <c r="L982">
        <v>146100</v>
      </c>
      <c r="M982">
        <v>1856620</v>
      </c>
      <c r="N982">
        <v>275325400400</v>
      </c>
      <c r="O982">
        <v>306413394</v>
      </c>
      <c r="P982">
        <v>45594313027200</v>
      </c>
    </row>
    <row r="983" spans="1:16">
      <c r="A983" t="s">
        <v>47</v>
      </c>
      <c r="B983">
        <v>20260116</v>
      </c>
      <c r="C983">
        <v>42660</v>
      </c>
      <c r="D983" t="s">
        <v>48</v>
      </c>
      <c r="E983" t="s">
        <v>47</v>
      </c>
      <c r="F983" t="s">
        <v>17</v>
      </c>
      <c r="G983">
        <v>147000</v>
      </c>
      <c r="H983">
        <v>-1900</v>
      </c>
      <c r="I983">
        <v>-1.28</v>
      </c>
      <c r="J983">
        <v>149800</v>
      </c>
      <c r="K983">
        <v>151100</v>
      </c>
      <c r="L983">
        <v>144600</v>
      </c>
      <c r="M983">
        <v>2175830</v>
      </c>
      <c r="N983">
        <v>320275147700</v>
      </c>
      <c r="O983">
        <v>306413394</v>
      </c>
      <c r="P983">
        <v>45042768918000</v>
      </c>
    </row>
    <row r="984" spans="1:16">
      <c r="A984" t="s">
        <v>47</v>
      </c>
      <c r="B984">
        <v>20260115</v>
      </c>
      <c r="C984">
        <v>42660</v>
      </c>
      <c r="D984" t="s">
        <v>48</v>
      </c>
      <c r="E984" t="s">
        <v>47</v>
      </c>
      <c r="F984" t="s">
        <v>17</v>
      </c>
      <c r="G984">
        <v>148900</v>
      </c>
      <c r="H984">
        <v>6900</v>
      </c>
      <c r="I984">
        <v>4.8600000000000003</v>
      </c>
      <c r="J984">
        <v>145100</v>
      </c>
      <c r="K984">
        <v>152400</v>
      </c>
      <c r="L984">
        <v>143900</v>
      </c>
      <c r="M984">
        <v>4316335</v>
      </c>
      <c r="N984">
        <v>641458259050</v>
      </c>
      <c r="O984">
        <v>306413394</v>
      </c>
      <c r="P984">
        <v>45624954366600</v>
      </c>
    </row>
    <row r="985" spans="1:16">
      <c r="A985" t="s">
        <v>47</v>
      </c>
      <c r="B985">
        <v>20260114</v>
      </c>
      <c r="C985">
        <v>42660</v>
      </c>
      <c r="D985" t="s">
        <v>48</v>
      </c>
      <c r="E985" t="s">
        <v>47</v>
      </c>
      <c r="F985" t="s">
        <v>17</v>
      </c>
      <c r="G985">
        <v>142000</v>
      </c>
      <c r="H985">
        <v>-7900</v>
      </c>
      <c r="I985">
        <v>-5.27</v>
      </c>
      <c r="J985">
        <v>148200</v>
      </c>
      <c r="K985">
        <v>148200</v>
      </c>
      <c r="L985">
        <v>140100</v>
      </c>
      <c r="M985">
        <v>4302491</v>
      </c>
      <c r="N985">
        <v>616331805800</v>
      </c>
      <c r="O985">
        <v>306413394</v>
      </c>
      <c r="P985">
        <v>43510701948000</v>
      </c>
    </row>
    <row r="986" spans="1:16">
      <c r="A986" t="s">
        <v>47</v>
      </c>
      <c r="B986">
        <v>20260113</v>
      </c>
      <c r="C986">
        <v>42660</v>
      </c>
      <c r="D986" t="s">
        <v>48</v>
      </c>
      <c r="E986" t="s">
        <v>47</v>
      </c>
      <c r="F986" t="s">
        <v>17</v>
      </c>
      <c r="G986">
        <v>149900</v>
      </c>
      <c r="H986">
        <v>4200</v>
      </c>
      <c r="I986">
        <v>2.88</v>
      </c>
      <c r="J986">
        <v>144500</v>
      </c>
      <c r="K986">
        <v>149900</v>
      </c>
      <c r="L986">
        <v>143900</v>
      </c>
      <c r="M986">
        <v>5116633</v>
      </c>
      <c r="N986">
        <v>756476047150</v>
      </c>
      <c r="O986">
        <v>306413394</v>
      </c>
      <c r="P986">
        <v>45931367760600</v>
      </c>
    </row>
    <row r="987" spans="1:16">
      <c r="A987" t="s">
        <v>47</v>
      </c>
      <c r="B987">
        <v>20260112</v>
      </c>
      <c r="C987">
        <v>42660</v>
      </c>
      <c r="D987" t="s">
        <v>48</v>
      </c>
      <c r="E987" t="s">
        <v>47</v>
      </c>
      <c r="F987" t="s">
        <v>17</v>
      </c>
      <c r="G987">
        <v>145700</v>
      </c>
      <c r="H987">
        <v>11300</v>
      </c>
      <c r="I987">
        <v>8.41</v>
      </c>
      <c r="J987">
        <v>135200</v>
      </c>
      <c r="K987">
        <v>148500</v>
      </c>
      <c r="L987">
        <v>133700</v>
      </c>
      <c r="M987">
        <v>9140134</v>
      </c>
      <c r="N987">
        <v>1318375975200</v>
      </c>
      <c r="O987">
        <v>306413394</v>
      </c>
      <c r="P987">
        <v>44644431505800</v>
      </c>
    </row>
    <row r="988" spans="1:16">
      <c r="A988" t="s">
        <v>47</v>
      </c>
      <c r="B988">
        <v>20260109</v>
      </c>
      <c r="C988">
        <v>42660</v>
      </c>
      <c r="D988" t="s">
        <v>48</v>
      </c>
      <c r="E988" t="s">
        <v>47</v>
      </c>
      <c r="F988" t="s">
        <v>17</v>
      </c>
      <c r="G988">
        <v>134400</v>
      </c>
      <c r="H988">
        <v>4700</v>
      </c>
      <c r="I988">
        <v>3.62</v>
      </c>
      <c r="J988">
        <v>129500</v>
      </c>
      <c r="K988">
        <v>134700</v>
      </c>
      <c r="L988">
        <v>127100</v>
      </c>
      <c r="M988">
        <v>4732814</v>
      </c>
      <c r="N988">
        <v>626008611800</v>
      </c>
      <c r="O988">
        <v>306413394</v>
      </c>
      <c r="P988">
        <v>41181960153600</v>
      </c>
    </row>
    <row r="989" spans="1:16">
      <c r="A989" t="s">
        <v>47</v>
      </c>
      <c r="B989">
        <v>20260108</v>
      </c>
      <c r="C989">
        <v>42660</v>
      </c>
      <c r="D989" t="s">
        <v>48</v>
      </c>
      <c r="E989" t="s">
        <v>47</v>
      </c>
      <c r="F989" t="s">
        <v>17</v>
      </c>
      <c r="G989">
        <v>129700</v>
      </c>
      <c r="H989">
        <v>8500</v>
      </c>
      <c r="I989">
        <v>7.01</v>
      </c>
      <c r="J989">
        <v>122700</v>
      </c>
      <c r="K989">
        <v>131900</v>
      </c>
      <c r="L989">
        <v>121900</v>
      </c>
      <c r="M989">
        <v>6916119</v>
      </c>
      <c r="N989">
        <v>890705330700</v>
      </c>
      <c r="O989">
        <v>306413394</v>
      </c>
      <c r="P989">
        <v>39741817201800</v>
      </c>
    </row>
    <row r="990" spans="1:16">
      <c r="A990" t="s">
        <v>47</v>
      </c>
      <c r="B990">
        <v>20260107</v>
      </c>
      <c r="C990">
        <v>42660</v>
      </c>
      <c r="D990" t="s">
        <v>48</v>
      </c>
      <c r="E990" t="s">
        <v>47</v>
      </c>
      <c r="F990" t="s">
        <v>17</v>
      </c>
      <c r="G990">
        <v>121200</v>
      </c>
      <c r="H990">
        <v>1400</v>
      </c>
      <c r="I990">
        <v>1.17</v>
      </c>
      <c r="J990">
        <v>119800</v>
      </c>
      <c r="K990">
        <v>124200</v>
      </c>
      <c r="L990">
        <v>118700</v>
      </c>
      <c r="M990">
        <v>2606259</v>
      </c>
      <c r="N990">
        <v>317223372700</v>
      </c>
      <c r="O990">
        <v>306413394</v>
      </c>
      <c r="P990">
        <v>37137303352800</v>
      </c>
    </row>
    <row r="991" spans="1:16">
      <c r="A991" t="s">
        <v>47</v>
      </c>
      <c r="B991">
        <v>20260106</v>
      </c>
      <c r="C991">
        <v>42660</v>
      </c>
      <c r="D991" t="s">
        <v>48</v>
      </c>
      <c r="E991" t="s">
        <v>47</v>
      </c>
      <c r="F991" t="s">
        <v>17</v>
      </c>
      <c r="G991">
        <v>119800</v>
      </c>
      <c r="H991">
        <v>1900</v>
      </c>
      <c r="I991">
        <v>1.61</v>
      </c>
      <c r="J991">
        <v>118100</v>
      </c>
      <c r="K991">
        <v>120900</v>
      </c>
      <c r="L991">
        <v>115800</v>
      </c>
      <c r="M991">
        <v>2251742</v>
      </c>
      <c r="N991">
        <v>267071729450</v>
      </c>
      <c r="O991">
        <v>306413394</v>
      </c>
      <c r="P991">
        <v>36708324601200</v>
      </c>
    </row>
    <row r="992" spans="1:16">
      <c r="A992" t="s">
        <v>47</v>
      </c>
      <c r="B992">
        <v>20260105</v>
      </c>
      <c r="C992">
        <v>42660</v>
      </c>
      <c r="D992" t="s">
        <v>48</v>
      </c>
      <c r="E992" t="s">
        <v>47</v>
      </c>
      <c r="F992" t="s">
        <v>17</v>
      </c>
      <c r="G992">
        <v>117900</v>
      </c>
      <c r="H992">
        <v>3200</v>
      </c>
      <c r="I992">
        <v>2.79</v>
      </c>
      <c r="J992">
        <v>113300</v>
      </c>
      <c r="K992">
        <v>119000</v>
      </c>
      <c r="L992">
        <v>113000</v>
      </c>
      <c r="M992">
        <v>2268773</v>
      </c>
      <c r="N992">
        <v>265252742600</v>
      </c>
      <c r="O992">
        <v>306413394</v>
      </c>
      <c r="P992">
        <v>36126139152600</v>
      </c>
    </row>
    <row r="993" spans="1:16">
      <c r="A993" t="s">
        <v>47</v>
      </c>
      <c r="B993">
        <v>20260102</v>
      </c>
      <c r="C993">
        <v>42660</v>
      </c>
      <c r="D993" t="s">
        <v>48</v>
      </c>
      <c r="E993" t="s">
        <v>47</v>
      </c>
      <c r="F993" t="s">
        <v>17</v>
      </c>
      <c r="G993">
        <v>114700</v>
      </c>
      <c r="H993">
        <v>1100</v>
      </c>
      <c r="I993">
        <v>0.97</v>
      </c>
      <c r="J993">
        <v>113700</v>
      </c>
      <c r="K993">
        <v>115400</v>
      </c>
      <c r="L993">
        <v>111500</v>
      </c>
      <c r="M993">
        <v>1511307</v>
      </c>
      <c r="N993">
        <v>171624530300</v>
      </c>
      <c r="O993">
        <v>306413394</v>
      </c>
      <c r="P993">
        <v>35145616291800</v>
      </c>
    </row>
    <row r="994" spans="1:16">
      <c r="A994" t="s">
        <v>49</v>
      </c>
      <c r="B994">
        <v>20260403</v>
      </c>
      <c r="C994">
        <v>6400</v>
      </c>
      <c r="D994" t="s">
        <v>50</v>
      </c>
      <c r="E994" t="s">
        <v>49</v>
      </c>
      <c r="F994" t="s">
        <v>17</v>
      </c>
      <c r="G994">
        <v>438500</v>
      </c>
      <c r="H994">
        <v>-4500</v>
      </c>
      <c r="I994">
        <v>-1.02</v>
      </c>
      <c r="J994">
        <v>451500</v>
      </c>
      <c r="K994">
        <v>460000</v>
      </c>
      <c r="L994">
        <v>432500</v>
      </c>
      <c r="M994">
        <v>692098</v>
      </c>
      <c r="N994">
        <v>305137908500</v>
      </c>
      <c r="O994">
        <v>80585530</v>
      </c>
      <c r="P994">
        <v>35336754905000</v>
      </c>
    </row>
    <row r="995" spans="1:16">
      <c r="A995" t="s">
        <v>49</v>
      </c>
      <c r="B995">
        <v>20260402</v>
      </c>
      <c r="C995">
        <v>6400</v>
      </c>
      <c r="D995" t="s">
        <v>50</v>
      </c>
      <c r="E995" t="s">
        <v>49</v>
      </c>
      <c r="F995" t="s">
        <v>17</v>
      </c>
      <c r="G995">
        <v>443000</v>
      </c>
      <c r="H995">
        <v>11000</v>
      </c>
      <c r="I995">
        <v>2.5499999999999998</v>
      </c>
      <c r="J995">
        <v>434500</v>
      </c>
      <c r="K995">
        <v>460000</v>
      </c>
      <c r="L995">
        <v>430000</v>
      </c>
      <c r="M995">
        <v>1822137</v>
      </c>
      <c r="N995">
        <v>809600400750</v>
      </c>
      <c r="O995">
        <v>80585530</v>
      </c>
      <c r="P995">
        <v>35699389790000</v>
      </c>
    </row>
    <row r="996" spans="1:16">
      <c r="A996" t="s">
        <v>49</v>
      </c>
      <c r="B996">
        <v>20260401</v>
      </c>
      <c r="C996">
        <v>6400</v>
      </c>
      <c r="D996" t="s">
        <v>50</v>
      </c>
      <c r="E996" t="s">
        <v>49</v>
      </c>
      <c r="F996" t="s">
        <v>17</v>
      </c>
      <c r="G996">
        <v>432000</v>
      </c>
      <c r="H996">
        <v>24000</v>
      </c>
      <c r="I996">
        <v>5.88</v>
      </c>
      <c r="J996">
        <v>425000</v>
      </c>
      <c r="K996">
        <v>434000</v>
      </c>
      <c r="L996">
        <v>413000</v>
      </c>
      <c r="M996">
        <v>779644</v>
      </c>
      <c r="N996">
        <v>331716203000</v>
      </c>
      <c r="O996">
        <v>80585530</v>
      </c>
      <c r="P996">
        <v>34812948960000</v>
      </c>
    </row>
    <row r="997" spans="1:16">
      <c r="A997" t="s">
        <v>49</v>
      </c>
      <c r="B997">
        <v>20260331</v>
      </c>
      <c r="C997">
        <v>6400</v>
      </c>
      <c r="D997" t="s">
        <v>50</v>
      </c>
      <c r="E997" t="s">
        <v>49</v>
      </c>
      <c r="F997" t="s">
        <v>17</v>
      </c>
      <c r="G997">
        <v>408000</v>
      </c>
      <c r="H997">
        <v>-4500</v>
      </c>
      <c r="I997">
        <v>-1.0900000000000001</v>
      </c>
      <c r="J997">
        <v>419500</v>
      </c>
      <c r="K997">
        <v>429500</v>
      </c>
      <c r="L997">
        <v>404000</v>
      </c>
      <c r="M997">
        <v>1110671</v>
      </c>
      <c r="N997">
        <v>461387646250</v>
      </c>
      <c r="O997">
        <v>80585530</v>
      </c>
      <c r="P997">
        <v>32878896240000</v>
      </c>
    </row>
    <row r="998" spans="1:16">
      <c r="A998" t="s">
        <v>49</v>
      </c>
      <c r="B998">
        <v>20260330</v>
      </c>
      <c r="C998">
        <v>6400</v>
      </c>
      <c r="D998" t="s">
        <v>50</v>
      </c>
      <c r="E998" t="s">
        <v>49</v>
      </c>
      <c r="F998" t="s">
        <v>17</v>
      </c>
      <c r="G998">
        <v>412500</v>
      </c>
      <c r="H998">
        <v>7000</v>
      </c>
      <c r="I998">
        <v>1.73</v>
      </c>
      <c r="J998">
        <v>389000</v>
      </c>
      <c r="K998">
        <v>418000</v>
      </c>
      <c r="L998">
        <v>388500</v>
      </c>
      <c r="M998">
        <v>735298</v>
      </c>
      <c r="N998">
        <v>300701828000</v>
      </c>
      <c r="O998">
        <v>80585530</v>
      </c>
      <c r="P998">
        <v>33241531125000</v>
      </c>
    </row>
    <row r="999" spans="1:16">
      <c r="A999" t="s">
        <v>49</v>
      </c>
      <c r="B999">
        <v>20260327</v>
      </c>
      <c r="C999">
        <v>6400</v>
      </c>
      <c r="D999" t="s">
        <v>50</v>
      </c>
      <c r="E999" t="s">
        <v>49</v>
      </c>
      <c r="F999" t="s">
        <v>17</v>
      </c>
      <c r="G999">
        <v>405500</v>
      </c>
      <c r="H999">
        <v>9000</v>
      </c>
      <c r="I999">
        <v>2.27</v>
      </c>
      <c r="J999">
        <v>387500</v>
      </c>
      <c r="K999">
        <v>409000</v>
      </c>
      <c r="L999">
        <v>375000</v>
      </c>
      <c r="M999">
        <v>657568</v>
      </c>
      <c r="N999">
        <v>259824926750</v>
      </c>
      <c r="O999">
        <v>80585530</v>
      </c>
      <c r="P999">
        <v>32677432415000</v>
      </c>
    </row>
    <row r="1000" spans="1:16">
      <c r="A1000" t="s">
        <v>49</v>
      </c>
      <c r="B1000">
        <v>20260326</v>
      </c>
      <c r="C1000">
        <v>6400</v>
      </c>
      <c r="D1000" t="s">
        <v>50</v>
      </c>
      <c r="E1000" t="s">
        <v>49</v>
      </c>
      <c r="F1000" t="s">
        <v>17</v>
      </c>
      <c r="G1000">
        <v>396500</v>
      </c>
      <c r="H1000">
        <v>-7500</v>
      </c>
      <c r="I1000">
        <v>-1.86</v>
      </c>
      <c r="J1000">
        <v>402000</v>
      </c>
      <c r="K1000">
        <v>413500</v>
      </c>
      <c r="L1000">
        <v>391000</v>
      </c>
      <c r="M1000">
        <v>455967</v>
      </c>
      <c r="N1000">
        <v>183264902750</v>
      </c>
      <c r="O1000">
        <v>80585530</v>
      </c>
      <c r="P1000">
        <v>31952162645000</v>
      </c>
    </row>
    <row r="1001" spans="1:16">
      <c r="A1001" t="s">
        <v>49</v>
      </c>
      <c r="B1001">
        <v>20260325</v>
      </c>
      <c r="C1001">
        <v>6400</v>
      </c>
      <c r="D1001" t="s">
        <v>50</v>
      </c>
      <c r="E1001" t="s">
        <v>49</v>
      </c>
      <c r="F1001" t="s">
        <v>17</v>
      </c>
      <c r="G1001">
        <v>404000</v>
      </c>
      <c r="H1001">
        <v>6500</v>
      </c>
      <c r="I1001">
        <v>1.64</v>
      </c>
      <c r="J1001">
        <v>401000</v>
      </c>
      <c r="K1001">
        <v>411500</v>
      </c>
      <c r="L1001">
        <v>399500</v>
      </c>
      <c r="M1001">
        <v>416484</v>
      </c>
      <c r="N1001">
        <v>168446997750</v>
      </c>
      <c r="O1001">
        <v>80585530</v>
      </c>
      <c r="P1001">
        <v>32556554120000</v>
      </c>
    </row>
    <row r="1002" spans="1:16">
      <c r="A1002" t="s">
        <v>49</v>
      </c>
      <c r="B1002">
        <v>20260324</v>
      </c>
      <c r="C1002">
        <v>6400</v>
      </c>
      <c r="D1002" t="s">
        <v>50</v>
      </c>
      <c r="E1002" t="s">
        <v>49</v>
      </c>
      <c r="F1002" t="s">
        <v>17</v>
      </c>
      <c r="G1002">
        <v>397500</v>
      </c>
      <c r="H1002">
        <v>21000</v>
      </c>
      <c r="I1002">
        <v>5.58</v>
      </c>
      <c r="J1002">
        <v>392000</v>
      </c>
      <c r="K1002">
        <v>403000</v>
      </c>
      <c r="L1002">
        <v>383500</v>
      </c>
      <c r="M1002">
        <v>531265</v>
      </c>
      <c r="N1002">
        <v>209543650000</v>
      </c>
      <c r="O1002">
        <v>80585530</v>
      </c>
      <c r="P1002">
        <v>32032748175000</v>
      </c>
    </row>
    <row r="1003" spans="1:16">
      <c r="A1003" t="s">
        <v>49</v>
      </c>
      <c r="B1003">
        <v>20260323</v>
      </c>
      <c r="C1003">
        <v>6400</v>
      </c>
      <c r="D1003" t="s">
        <v>50</v>
      </c>
      <c r="E1003" t="s">
        <v>49</v>
      </c>
      <c r="F1003" t="s">
        <v>17</v>
      </c>
      <c r="G1003">
        <v>376500</v>
      </c>
      <c r="H1003">
        <v>-24000</v>
      </c>
      <c r="I1003">
        <v>-5.99</v>
      </c>
      <c r="J1003">
        <v>386500</v>
      </c>
      <c r="K1003">
        <v>387000</v>
      </c>
      <c r="L1003">
        <v>375500</v>
      </c>
      <c r="M1003">
        <v>462325</v>
      </c>
      <c r="N1003">
        <v>175880932000</v>
      </c>
      <c r="O1003">
        <v>80585530</v>
      </c>
      <c r="P1003">
        <v>30340452045000</v>
      </c>
    </row>
    <row r="1004" spans="1:16">
      <c r="A1004" t="s">
        <v>49</v>
      </c>
      <c r="B1004">
        <v>20260320</v>
      </c>
      <c r="C1004">
        <v>6400</v>
      </c>
      <c r="D1004" t="s">
        <v>50</v>
      </c>
      <c r="E1004" t="s">
        <v>49</v>
      </c>
      <c r="F1004" t="s">
        <v>17</v>
      </c>
      <c r="G1004">
        <v>400500</v>
      </c>
      <c r="H1004">
        <v>-2000</v>
      </c>
      <c r="I1004">
        <v>-0.5</v>
      </c>
      <c r="J1004">
        <v>405000</v>
      </c>
      <c r="K1004">
        <v>407000</v>
      </c>
      <c r="L1004">
        <v>398000</v>
      </c>
      <c r="M1004">
        <v>397940</v>
      </c>
      <c r="N1004">
        <v>159595877750</v>
      </c>
      <c r="O1004">
        <v>80585530</v>
      </c>
      <c r="P1004">
        <v>32274504765000</v>
      </c>
    </row>
    <row r="1005" spans="1:16">
      <c r="A1005" t="s">
        <v>49</v>
      </c>
      <c r="B1005">
        <v>20260319</v>
      </c>
      <c r="C1005">
        <v>6400</v>
      </c>
      <c r="D1005" t="s">
        <v>50</v>
      </c>
      <c r="E1005" t="s">
        <v>49</v>
      </c>
      <c r="F1005" t="s">
        <v>17</v>
      </c>
      <c r="G1005">
        <v>402500</v>
      </c>
      <c r="H1005">
        <v>-2500</v>
      </c>
      <c r="I1005">
        <v>-0.62</v>
      </c>
      <c r="J1005">
        <v>397000</v>
      </c>
      <c r="K1005">
        <v>414000</v>
      </c>
      <c r="L1005">
        <v>396000</v>
      </c>
      <c r="M1005">
        <v>428488</v>
      </c>
      <c r="N1005">
        <v>173472568000</v>
      </c>
      <c r="O1005">
        <v>80585530</v>
      </c>
      <c r="P1005">
        <v>32435675825000</v>
      </c>
    </row>
    <row r="1006" spans="1:16">
      <c r="A1006" t="s">
        <v>49</v>
      </c>
      <c r="B1006">
        <v>20260318</v>
      </c>
      <c r="C1006">
        <v>6400</v>
      </c>
      <c r="D1006" t="s">
        <v>50</v>
      </c>
      <c r="E1006" t="s">
        <v>49</v>
      </c>
      <c r="F1006" t="s">
        <v>17</v>
      </c>
      <c r="G1006">
        <v>405000</v>
      </c>
      <c r="H1006">
        <v>16000</v>
      </c>
      <c r="I1006">
        <v>4.1100000000000003</v>
      </c>
      <c r="J1006">
        <v>397000</v>
      </c>
      <c r="K1006">
        <v>405000</v>
      </c>
      <c r="L1006">
        <v>393500</v>
      </c>
      <c r="M1006">
        <v>384421</v>
      </c>
      <c r="N1006">
        <v>153754101000</v>
      </c>
      <c r="O1006">
        <v>80585530</v>
      </c>
      <c r="P1006">
        <v>32637139650000</v>
      </c>
    </row>
    <row r="1007" spans="1:16">
      <c r="A1007" t="s">
        <v>49</v>
      </c>
      <c r="B1007">
        <v>20260317</v>
      </c>
      <c r="C1007">
        <v>6400</v>
      </c>
      <c r="D1007" t="s">
        <v>50</v>
      </c>
      <c r="E1007" t="s">
        <v>49</v>
      </c>
      <c r="F1007" t="s">
        <v>17</v>
      </c>
      <c r="G1007">
        <v>389000</v>
      </c>
      <c r="H1007">
        <v>6000</v>
      </c>
      <c r="I1007">
        <v>1.57</v>
      </c>
      <c r="J1007">
        <v>395000</v>
      </c>
      <c r="K1007">
        <v>397500</v>
      </c>
      <c r="L1007">
        <v>388000</v>
      </c>
      <c r="M1007">
        <v>359325</v>
      </c>
      <c r="N1007">
        <v>141399066000</v>
      </c>
      <c r="O1007">
        <v>80585530</v>
      </c>
      <c r="P1007">
        <v>31347771170000</v>
      </c>
    </row>
    <row r="1008" spans="1:16">
      <c r="A1008" t="s">
        <v>49</v>
      </c>
      <c r="B1008">
        <v>20260316</v>
      </c>
      <c r="C1008">
        <v>6400</v>
      </c>
      <c r="D1008" t="s">
        <v>50</v>
      </c>
      <c r="E1008" t="s">
        <v>49</v>
      </c>
      <c r="F1008" t="s">
        <v>17</v>
      </c>
      <c r="G1008">
        <v>383000</v>
      </c>
      <c r="H1008">
        <v>-5000</v>
      </c>
      <c r="I1008">
        <v>-1.29</v>
      </c>
      <c r="J1008">
        <v>395000</v>
      </c>
      <c r="K1008">
        <v>398000</v>
      </c>
      <c r="L1008">
        <v>380000</v>
      </c>
      <c r="M1008">
        <v>483616</v>
      </c>
      <c r="N1008">
        <v>186657457000</v>
      </c>
      <c r="O1008">
        <v>80585530</v>
      </c>
      <c r="P1008">
        <v>30864257990000</v>
      </c>
    </row>
    <row r="1009" spans="1:16">
      <c r="A1009" t="s">
        <v>49</v>
      </c>
      <c r="B1009">
        <v>20260313</v>
      </c>
      <c r="C1009">
        <v>6400</v>
      </c>
      <c r="D1009" t="s">
        <v>50</v>
      </c>
      <c r="E1009" t="s">
        <v>49</v>
      </c>
      <c r="F1009" t="s">
        <v>17</v>
      </c>
      <c r="G1009">
        <v>388000</v>
      </c>
      <c r="H1009">
        <v>-12000</v>
      </c>
      <c r="I1009">
        <v>-3</v>
      </c>
      <c r="J1009">
        <v>387000</v>
      </c>
      <c r="K1009">
        <v>397000</v>
      </c>
      <c r="L1009">
        <v>384500</v>
      </c>
      <c r="M1009">
        <v>531172</v>
      </c>
      <c r="N1009">
        <v>207444311000</v>
      </c>
      <c r="O1009">
        <v>80585530</v>
      </c>
      <c r="P1009">
        <v>31267185640000</v>
      </c>
    </row>
    <row r="1010" spans="1:16">
      <c r="A1010" t="s">
        <v>49</v>
      </c>
      <c r="B1010">
        <v>20260312</v>
      </c>
      <c r="C1010">
        <v>6400</v>
      </c>
      <c r="D1010" t="s">
        <v>50</v>
      </c>
      <c r="E1010" t="s">
        <v>49</v>
      </c>
      <c r="F1010" t="s">
        <v>17</v>
      </c>
      <c r="G1010">
        <v>400000</v>
      </c>
      <c r="H1010">
        <v>0</v>
      </c>
      <c r="I1010">
        <v>0</v>
      </c>
      <c r="J1010">
        <v>396000</v>
      </c>
      <c r="K1010">
        <v>402000</v>
      </c>
      <c r="L1010">
        <v>394000</v>
      </c>
      <c r="M1010">
        <v>616460</v>
      </c>
      <c r="N1010">
        <v>245703270500</v>
      </c>
      <c r="O1010">
        <v>80585530</v>
      </c>
      <c r="P1010">
        <v>32234212000000</v>
      </c>
    </row>
    <row r="1011" spans="1:16">
      <c r="A1011" t="s">
        <v>49</v>
      </c>
      <c r="B1011">
        <v>20260311</v>
      </c>
      <c r="C1011">
        <v>6400</v>
      </c>
      <c r="D1011" t="s">
        <v>50</v>
      </c>
      <c r="E1011" t="s">
        <v>49</v>
      </c>
      <c r="F1011" t="s">
        <v>17</v>
      </c>
      <c r="G1011">
        <v>400000</v>
      </c>
      <c r="H1011">
        <v>-3500</v>
      </c>
      <c r="I1011">
        <v>-0.87</v>
      </c>
      <c r="J1011">
        <v>413500</v>
      </c>
      <c r="K1011">
        <v>419000</v>
      </c>
      <c r="L1011">
        <v>394500</v>
      </c>
      <c r="M1011">
        <v>531148</v>
      </c>
      <c r="N1011">
        <v>217736999500</v>
      </c>
      <c r="O1011">
        <v>80585530</v>
      </c>
      <c r="P1011">
        <v>32234212000000</v>
      </c>
    </row>
    <row r="1012" spans="1:16">
      <c r="A1012" t="s">
        <v>49</v>
      </c>
      <c r="B1012">
        <v>20260310</v>
      </c>
      <c r="C1012">
        <v>6400</v>
      </c>
      <c r="D1012" t="s">
        <v>50</v>
      </c>
      <c r="E1012" t="s">
        <v>49</v>
      </c>
      <c r="F1012" t="s">
        <v>17</v>
      </c>
      <c r="G1012">
        <v>403500</v>
      </c>
      <c r="H1012">
        <v>14500</v>
      </c>
      <c r="I1012">
        <v>3.73</v>
      </c>
      <c r="J1012">
        <v>415000</v>
      </c>
      <c r="K1012">
        <v>415000</v>
      </c>
      <c r="L1012">
        <v>394000</v>
      </c>
      <c r="M1012">
        <v>597355</v>
      </c>
      <c r="N1012">
        <v>241213362000</v>
      </c>
      <c r="O1012">
        <v>80585530</v>
      </c>
      <c r="P1012">
        <v>32516261355000</v>
      </c>
    </row>
    <row r="1013" spans="1:16">
      <c r="A1013" t="s">
        <v>49</v>
      </c>
      <c r="B1013">
        <v>20260309</v>
      </c>
      <c r="C1013">
        <v>6400</v>
      </c>
      <c r="D1013" t="s">
        <v>50</v>
      </c>
      <c r="E1013" t="s">
        <v>49</v>
      </c>
      <c r="F1013" t="s">
        <v>17</v>
      </c>
      <c r="G1013">
        <v>389000</v>
      </c>
      <c r="H1013">
        <v>-21500</v>
      </c>
      <c r="I1013">
        <v>-5.24</v>
      </c>
      <c r="J1013">
        <v>386500</v>
      </c>
      <c r="K1013">
        <v>394500</v>
      </c>
      <c r="L1013">
        <v>375500</v>
      </c>
      <c r="M1013">
        <v>754807</v>
      </c>
      <c r="N1013">
        <v>289850267750</v>
      </c>
      <c r="O1013">
        <v>80585530</v>
      </c>
      <c r="P1013">
        <v>31347771170000</v>
      </c>
    </row>
    <row r="1014" spans="1:16">
      <c r="A1014" t="s">
        <v>49</v>
      </c>
      <c r="B1014">
        <v>20260306</v>
      </c>
      <c r="C1014">
        <v>6400</v>
      </c>
      <c r="D1014" t="s">
        <v>50</v>
      </c>
      <c r="E1014" t="s">
        <v>49</v>
      </c>
      <c r="F1014" t="s">
        <v>17</v>
      </c>
      <c r="G1014">
        <v>410500</v>
      </c>
      <c r="H1014">
        <v>18000</v>
      </c>
      <c r="I1014">
        <v>4.59</v>
      </c>
      <c r="J1014">
        <v>388500</v>
      </c>
      <c r="K1014">
        <v>411500</v>
      </c>
      <c r="L1014">
        <v>385500</v>
      </c>
      <c r="M1014">
        <v>796681</v>
      </c>
      <c r="N1014">
        <v>319048665000</v>
      </c>
      <c r="O1014">
        <v>80585530</v>
      </c>
      <c r="P1014">
        <v>33080360065000</v>
      </c>
    </row>
    <row r="1015" spans="1:16">
      <c r="A1015" t="s">
        <v>49</v>
      </c>
      <c r="B1015">
        <v>20260305</v>
      </c>
      <c r="C1015">
        <v>6400</v>
      </c>
      <c r="D1015" t="s">
        <v>50</v>
      </c>
      <c r="E1015" t="s">
        <v>49</v>
      </c>
      <c r="F1015" t="s">
        <v>17</v>
      </c>
      <c r="G1015">
        <v>392500</v>
      </c>
      <c r="H1015">
        <v>41500</v>
      </c>
      <c r="I1015">
        <v>11.82</v>
      </c>
      <c r="J1015">
        <v>391000</v>
      </c>
      <c r="K1015">
        <v>407000</v>
      </c>
      <c r="L1015">
        <v>385000</v>
      </c>
      <c r="M1015">
        <v>1008865</v>
      </c>
      <c r="N1015">
        <v>400380804000</v>
      </c>
      <c r="O1015">
        <v>80585530</v>
      </c>
      <c r="P1015">
        <v>31629820525000</v>
      </c>
    </row>
    <row r="1016" spans="1:16">
      <c r="A1016" t="s">
        <v>49</v>
      </c>
      <c r="B1016">
        <v>20260304</v>
      </c>
      <c r="C1016">
        <v>6400</v>
      </c>
      <c r="D1016" t="s">
        <v>50</v>
      </c>
      <c r="E1016" t="s">
        <v>49</v>
      </c>
      <c r="F1016" t="s">
        <v>17</v>
      </c>
      <c r="G1016">
        <v>351000</v>
      </c>
      <c r="H1016">
        <v>-57000</v>
      </c>
      <c r="I1016">
        <v>-13.97</v>
      </c>
      <c r="J1016">
        <v>390000</v>
      </c>
      <c r="K1016">
        <v>406000</v>
      </c>
      <c r="L1016">
        <v>348500</v>
      </c>
      <c r="M1016">
        <v>1895549</v>
      </c>
      <c r="N1016">
        <v>709162088750</v>
      </c>
      <c r="O1016">
        <v>80585530</v>
      </c>
      <c r="P1016">
        <v>28285521030000</v>
      </c>
    </row>
    <row r="1017" spans="1:16">
      <c r="A1017" t="s">
        <v>49</v>
      </c>
      <c r="B1017">
        <v>20260303</v>
      </c>
      <c r="C1017">
        <v>6400</v>
      </c>
      <c r="D1017" t="s">
        <v>50</v>
      </c>
      <c r="E1017" t="s">
        <v>49</v>
      </c>
      <c r="F1017" t="s">
        <v>17</v>
      </c>
      <c r="G1017">
        <v>408000</v>
      </c>
      <c r="H1017">
        <v>-58000</v>
      </c>
      <c r="I1017">
        <v>-12.45</v>
      </c>
      <c r="J1017">
        <v>453500</v>
      </c>
      <c r="K1017">
        <v>454500</v>
      </c>
      <c r="L1017">
        <v>408000</v>
      </c>
      <c r="M1017">
        <v>1453235</v>
      </c>
      <c r="N1017">
        <v>628117006500</v>
      </c>
      <c r="O1017">
        <v>80585530</v>
      </c>
      <c r="P1017">
        <v>32878896240000</v>
      </c>
    </row>
    <row r="1018" spans="1:16">
      <c r="A1018" t="s">
        <v>49</v>
      </c>
      <c r="B1018">
        <v>20260227</v>
      </c>
      <c r="C1018">
        <v>6400</v>
      </c>
      <c r="D1018" t="s">
        <v>50</v>
      </c>
      <c r="E1018" t="s">
        <v>49</v>
      </c>
      <c r="F1018" t="s">
        <v>17</v>
      </c>
      <c r="G1018">
        <v>466000</v>
      </c>
      <c r="H1018">
        <v>17000</v>
      </c>
      <c r="I1018">
        <v>3.79</v>
      </c>
      <c r="J1018">
        <v>439500</v>
      </c>
      <c r="K1018">
        <v>473500</v>
      </c>
      <c r="L1018">
        <v>438500</v>
      </c>
      <c r="M1018">
        <v>1207350</v>
      </c>
      <c r="N1018">
        <v>556370342000</v>
      </c>
      <c r="O1018">
        <v>80585530</v>
      </c>
      <c r="P1018">
        <v>37552856980000</v>
      </c>
    </row>
    <row r="1019" spans="1:16">
      <c r="A1019" t="s">
        <v>49</v>
      </c>
      <c r="B1019">
        <v>20260226</v>
      </c>
      <c r="C1019">
        <v>6400</v>
      </c>
      <c r="D1019" t="s">
        <v>50</v>
      </c>
      <c r="E1019" t="s">
        <v>49</v>
      </c>
      <c r="F1019" t="s">
        <v>17</v>
      </c>
      <c r="G1019">
        <v>449000</v>
      </c>
      <c r="H1019">
        <v>16000</v>
      </c>
      <c r="I1019">
        <v>3.7</v>
      </c>
      <c r="J1019">
        <v>439500</v>
      </c>
      <c r="K1019">
        <v>457000</v>
      </c>
      <c r="L1019">
        <v>436500</v>
      </c>
      <c r="M1019">
        <v>1109842</v>
      </c>
      <c r="N1019">
        <v>496655948750</v>
      </c>
      <c r="O1019">
        <v>80585530</v>
      </c>
      <c r="P1019">
        <v>36182902970000</v>
      </c>
    </row>
    <row r="1020" spans="1:16">
      <c r="A1020" t="s">
        <v>49</v>
      </c>
      <c r="B1020">
        <v>20260225</v>
      </c>
      <c r="C1020">
        <v>6400</v>
      </c>
      <c r="D1020" t="s">
        <v>50</v>
      </c>
      <c r="E1020" t="s">
        <v>49</v>
      </c>
      <c r="F1020" t="s">
        <v>17</v>
      </c>
      <c r="G1020">
        <v>433000</v>
      </c>
      <c r="H1020">
        <v>11500</v>
      </c>
      <c r="I1020">
        <v>2.73</v>
      </c>
      <c r="J1020">
        <v>422000</v>
      </c>
      <c r="K1020">
        <v>443500</v>
      </c>
      <c r="L1020">
        <v>415000</v>
      </c>
      <c r="M1020">
        <v>1253279</v>
      </c>
      <c r="N1020">
        <v>539046448000</v>
      </c>
      <c r="O1020">
        <v>80585530</v>
      </c>
      <c r="P1020">
        <v>34893534490000</v>
      </c>
    </row>
    <row r="1021" spans="1:16">
      <c r="A1021" t="s">
        <v>49</v>
      </c>
      <c r="B1021">
        <v>20260224</v>
      </c>
      <c r="C1021">
        <v>6400</v>
      </c>
      <c r="D1021" t="s">
        <v>50</v>
      </c>
      <c r="E1021" t="s">
        <v>49</v>
      </c>
      <c r="F1021" t="s">
        <v>17</v>
      </c>
      <c r="G1021">
        <v>421500</v>
      </c>
      <c r="H1021">
        <v>30000</v>
      </c>
      <c r="I1021">
        <v>7.66</v>
      </c>
      <c r="J1021">
        <v>400500</v>
      </c>
      <c r="K1021">
        <v>427000</v>
      </c>
      <c r="L1021">
        <v>399500</v>
      </c>
      <c r="M1021">
        <v>2584055</v>
      </c>
      <c r="N1021">
        <v>1080460352750</v>
      </c>
      <c r="O1021">
        <v>80585530</v>
      </c>
      <c r="P1021">
        <v>33966800895000</v>
      </c>
    </row>
    <row r="1022" spans="1:16">
      <c r="A1022" t="s">
        <v>49</v>
      </c>
      <c r="B1022">
        <v>20260223</v>
      </c>
      <c r="C1022">
        <v>6400</v>
      </c>
      <c r="D1022" t="s">
        <v>50</v>
      </c>
      <c r="E1022" t="s">
        <v>49</v>
      </c>
      <c r="F1022" t="s">
        <v>17</v>
      </c>
      <c r="G1022">
        <v>391500</v>
      </c>
      <c r="H1022">
        <v>-10500</v>
      </c>
      <c r="I1022">
        <v>-2.61</v>
      </c>
      <c r="J1022">
        <v>407500</v>
      </c>
      <c r="K1022">
        <v>407500</v>
      </c>
      <c r="L1022">
        <v>387000</v>
      </c>
      <c r="M1022">
        <v>793713</v>
      </c>
      <c r="N1022">
        <v>312980396500</v>
      </c>
      <c r="O1022">
        <v>80585530</v>
      </c>
      <c r="P1022">
        <v>31549234995000</v>
      </c>
    </row>
    <row r="1023" spans="1:16">
      <c r="A1023" t="s">
        <v>49</v>
      </c>
      <c r="B1023">
        <v>20260220</v>
      </c>
      <c r="C1023">
        <v>6400</v>
      </c>
      <c r="D1023" t="s">
        <v>50</v>
      </c>
      <c r="E1023" t="s">
        <v>49</v>
      </c>
      <c r="F1023" t="s">
        <v>17</v>
      </c>
      <c r="G1023">
        <v>402000</v>
      </c>
      <c r="H1023">
        <v>-6000</v>
      </c>
      <c r="I1023">
        <v>-1.47</v>
      </c>
      <c r="J1023">
        <v>402000</v>
      </c>
      <c r="K1023">
        <v>420500</v>
      </c>
      <c r="L1023">
        <v>399000</v>
      </c>
      <c r="M1023">
        <v>928083</v>
      </c>
      <c r="N1023">
        <v>377512370000</v>
      </c>
      <c r="O1023">
        <v>80585530</v>
      </c>
      <c r="P1023">
        <v>32395383060000</v>
      </c>
    </row>
    <row r="1024" spans="1:16">
      <c r="A1024" t="s">
        <v>49</v>
      </c>
      <c r="B1024">
        <v>20260219</v>
      </c>
      <c r="C1024">
        <v>6400</v>
      </c>
      <c r="D1024" t="s">
        <v>50</v>
      </c>
      <c r="E1024" t="s">
        <v>49</v>
      </c>
      <c r="F1024" t="s">
        <v>17</v>
      </c>
      <c r="G1024">
        <v>408000</v>
      </c>
      <c r="H1024">
        <v>33500</v>
      </c>
      <c r="I1024">
        <v>8.9499999999999993</v>
      </c>
      <c r="J1024">
        <v>379500</v>
      </c>
      <c r="K1024">
        <v>409000</v>
      </c>
      <c r="L1024">
        <v>377000</v>
      </c>
      <c r="M1024">
        <v>1085467</v>
      </c>
      <c r="N1024">
        <v>426779975500</v>
      </c>
      <c r="O1024">
        <v>80585530</v>
      </c>
      <c r="P1024">
        <v>32878896240000</v>
      </c>
    </row>
    <row r="1025" spans="1:16">
      <c r="A1025" t="s">
        <v>49</v>
      </c>
      <c r="B1025">
        <v>20260213</v>
      </c>
      <c r="C1025">
        <v>6400</v>
      </c>
      <c r="D1025" t="s">
        <v>50</v>
      </c>
      <c r="E1025" t="s">
        <v>49</v>
      </c>
      <c r="F1025" t="s">
        <v>17</v>
      </c>
      <c r="G1025">
        <v>374500</v>
      </c>
      <c r="H1025">
        <v>-11000</v>
      </c>
      <c r="I1025">
        <v>-2.85</v>
      </c>
      <c r="J1025">
        <v>377500</v>
      </c>
      <c r="K1025">
        <v>383000</v>
      </c>
      <c r="L1025">
        <v>372500</v>
      </c>
      <c r="M1025">
        <v>517002</v>
      </c>
      <c r="N1025">
        <v>194793382250</v>
      </c>
      <c r="O1025">
        <v>80585530</v>
      </c>
      <c r="P1025">
        <v>30179280985000</v>
      </c>
    </row>
    <row r="1026" spans="1:16">
      <c r="A1026" t="s">
        <v>49</v>
      </c>
      <c r="B1026">
        <v>20260212</v>
      </c>
      <c r="C1026">
        <v>6400</v>
      </c>
      <c r="D1026" t="s">
        <v>50</v>
      </c>
      <c r="E1026" t="s">
        <v>49</v>
      </c>
      <c r="F1026" t="s">
        <v>17</v>
      </c>
      <c r="G1026">
        <v>385500</v>
      </c>
      <c r="H1026">
        <v>8500</v>
      </c>
      <c r="I1026">
        <v>2.25</v>
      </c>
      <c r="J1026">
        <v>381000</v>
      </c>
      <c r="K1026">
        <v>386000</v>
      </c>
      <c r="L1026">
        <v>373000</v>
      </c>
      <c r="M1026">
        <v>639928</v>
      </c>
      <c r="N1026">
        <v>244401282750</v>
      </c>
      <c r="O1026">
        <v>80585530</v>
      </c>
      <c r="P1026">
        <v>31065721815000</v>
      </c>
    </row>
    <row r="1027" spans="1:16">
      <c r="A1027" t="s">
        <v>49</v>
      </c>
      <c r="B1027">
        <v>20260211</v>
      </c>
      <c r="C1027">
        <v>6400</v>
      </c>
      <c r="D1027" t="s">
        <v>50</v>
      </c>
      <c r="E1027" t="s">
        <v>49</v>
      </c>
      <c r="F1027" t="s">
        <v>17</v>
      </c>
      <c r="G1027">
        <v>377000</v>
      </c>
      <c r="H1027">
        <v>-4000</v>
      </c>
      <c r="I1027">
        <v>-1.05</v>
      </c>
      <c r="J1027">
        <v>381500</v>
      </c>
      <c r="K1027">
        <v>384500</v>
      </c>
      <c r="L1027">
        <v>373500</v>
      </c>
      <c r="M1027">
        <v>367852</v>
      </c>
      <c r="N1027">
        <v>139111187750</v>
      </c>
      <c r="O1027">
        <v>80585530</v>
      </c>
      <c r="P1027">
        <v>30380744810000</v>
      </c>
    </row>
    <row r="1028" spans="1:16">
      <c r="A1028" t="s">
        <v>49</v>
      </c>
      <c r="B1028">
        <v>20260210</v>
      </c>
      <c r="C1028">
        <v>6400</v>
      </c>
      <c r="D1028" t="s">
        <v>50</v>
      </c>
      <c r="E1028" t="s">
        <v>49</v>
      </c>
      <c r="F1028" t="s">
        <v>17</v>
      </c>
      <c r="G1028">
        <v>381000</v>
      </c>
      <c r="H1028">
        <v>1000</v>
      </c>
      <c r="I1028">
        <v>0.26</v>
      </c>
      <c r="J1028">
        <v>385500</v>
      </c>
      <c r="K1028">
        <v>391500</v>
      </c>
      <c r="L1028">
        <v>377000</v>
      </c>
      <c r="M1028">
        <v>504263</v>
      </c>
      <c r="N1028">
        <v>193600258000</v>
      </c>
      <c r="O1028">
        <v>80585530</v>
      </c>
      <c r="P1028">
        <v>30703086930000</v>
      </c>
    </row>
    <row r="1029" spans="1:16">
      <c r="A1029" t="s">
        <v>49</v>
      </c>
      <c r="B1029">
        <v>20260209</v>
      </c>
      <c r="C1029">
        <v>6400</v>
      </c>
      <c r="D1029" t="s">
        <v>50</v>
      </c>
      <c r="E1029" t="s">
        <v>49</v>
      </c>
      <c r="F1029" t="s">
        <v>17</v>
      </c>
      <c r="G1029">
        <v>380000</v>
      </c>
      <c r="H1029">
        <v>10000</v>
      </c>
      <c r="I1029">
        <v>2.7</v>
      </c>
      <c r="J1029">
        <v>381500</v>
      </c>
      <c r="K1029">
        <v>383000</v>
      </c>
      <c r="L1029">
        <v>375000</v>
      </c>
      <c r="M1029">
        <v>477549</v>
      </c>
      <c r="N1029">
        <v>181247639000</v>
      </c>
      <c r="O1029">
        <v>80585530</v>
      </c>
      <c r="P1029">
        <v>30622501400000</v>
      </c>
    </row>
    <row r="1030" spans="1:16">
      <c r="A1030" t="s">
        <v>49</v>
      </c>
      <c r="B1030">
        <v>20260206</v>
      </c>
      <c r="C1030">
        <v>6400</v>
      </c>
      <c r="D1030" t="s">
        <v>50</v>
      </c>
      <c r="E1030" t="s">
        <v>49</v>
      </c>
      <c r="F1030" t="s">
        <v>17</v>
      </c>
      <c r="G1030">
        <v>370000</v>
      </c>
      <c r="H1030">
        <v>-15500</v>
      </c>
      <c r="I1030">
        <v>-4.0199999999999996</v>
      </c>
      <c r="J1030">
        <v>370500</v>
      </c>
      <c r="K1030">
        <v>373000</v>
      </c>
      <c r="L1030">
        <v>358500</v>
      </c>
      <c r="M1030">
        <v>727300</v>
      </c>
      <c r="N1030">
        <v>266107619000</v>
      </c>
      <c r="O1030">
        <v>80585530</v>
      </c>
      <c r="P1030">
        <v>29816646100000</v>
      </c>
    </row>
    <row r="1031" spans="1:16">
      <c r="A1031" t="s">
        <v>49</v>
      </c>
      <c r="B1031">
        <v>20260205</v>
      </c>
      <c r="C1031">
        <v>6400</v>
      </c>
      <c r="D1031" t="s">
        <v>50</v>
      </c>
      <c r="E1031" t="s">
        <v>49</v>
      </c>
      <c r="F1031" t="s">
        <v>17</v>
      </c>
      <c r="G1031">
        <v>385500</v>
      </c>
      <c r="H1031">
        <v>-6000</v>
      </c>
      <c r="I1031">
        <v>-1.53</v>
      </c>
      <c r="J1031">
        <v>388000</v>
      </c>
      <c r="K1031">
        <v>399500</v>
      </c>
      <c r="L1031">
        <v>380000</v>
      </c>
      <c r="M1031">
        <v>1150046</v>
      </c>
      <c r="N1031">
        <v>447670336000</v>
      </c>
      <c r="O1031">
        <v>80585530</v>
      </c>
      <c r="P1031">
        <v>31065721815000</v>
      </c>
    </row>
    <row r="1032" spans="1:16">
      <c r="A1032" t="s">
        <v>49</v>
      </c>
      <c r="B1032">
        <v>20260204</v>
      </c>
      <c r="C1032">
        <v>6400</v>
      </c>
      <c r="D1032" t="s">
        <v>50</v>
      </c>
      <c r="E1032" t="s">
        <v>49</v>
      </c>
      <c r="F1032" t="s">
        <v>17</v>
      </c>
      <c r="G1032">
        <v>391500</v>
      </c>
      <c r="H1032">
        <v>17000</v>
      </c>
      <c r="I1032">
        <v>4.54</v>
      </c>
      <c r="J1032">
        <v>374000</v>
      </c>
      <c r="K1032">
        <v>396000</v>
      </c>
      <c r="L1032">
        <v>372500</v>
      </c>
      <c r="M1032">
        <v>1224216</v>
      </c>
      <c r="N1032">
        <v>477621462750</v>
      </c>
      <c r="O1032">
        <v>80585530</v>
      </c>
      <c r="P1032">
        <v>31549234995000</v>
      </c>
    </row>
    <row r="1033" spans="1:16">
      <c r="A1033" t="s">
        <v>49</v>
      </c>
      <c r="B1033">
        <v>20260203</v>
      </c>
      <c r="C1033">
        <v>6400</v>
      </c>
      <c r="D1033" t="s">
        <v>50</v>
      </c>
      <c r="E1033" t="s">
        <v>49</v>
      </c>
      <c r="F1033" t="s">
        <v>17</v>
      </c>
      <c r="G1033">
        <v>374500</v>
      </c>
      <c r="H1033">
        <v>18500</v>
      </c>
      <c r="I1033">
        <v>5.2</v>
      </c>
      <c r="J1033">
        <v>366500</v>
      </c>
      <c r="K1033">
        <v>381000</v>
      </c>
      <c r="L1033">
        <v>357500</v>
      </c>
      <c r="M1033">
        <v>930111</v>
      </c>
      <c r="N1033">
        <v>344944552750</v>
      </c>
      <c r="O1033">
        <v>80585530</v>
      </c>
      <c r="P1033">
        <v>30179280985000</v>
      </c>
    </row>
    <row r="1034" spans="1:16">
      <c r="A1034" t="s">
        <v>49</v>
      </c>
      <c r="B1034">
        <v>20260202</v>
      </c>
      <c r="C1034">
        <v>6400</v>
      </c>
      <c r="D1034" t="s">
        <v>50</v>
      </c>
      <c r="E1034" t="s">
        <v>49</v>
      </c>
      <c r="F1034" t="s">
        <v>17</v>
      </c>
      <c r="G1034">
        <v>356000</v>
      </c>
      <c r="H1034">
        <v>-34000</v>
      </c>
      <c r="I1034">
        <v>-8.7200000000000006</v>
      </c>
      <c r="J1034">
        <v>380000</v>
      </c>
      <c r="K1034">
        <v>386500</v>
      </c>
      <c r="L1034">
        <v>355500</v>
      </c>
      <c r="M1034">
        <v>1586089</v>
      </c>
      <c r="N1034">
        <v>583696228250</v>
      </c>
      <c r="O1034">
        <v>80585530</v>
      </c>
      <c r="P1034">
        <v>28688448680000</v>
      </c>
    </row>
    <row r="1035" spans="1:16">
      <c r="A1035" t="s">
        <v>49</v>
      </c>
      <c r="B1035">
        <v>20260130</v>
      </c>
      <c r="C1035">
        <v>6400</v>
      </c>
      <c r="D1035" t="s">
        <v>50</v>
      </c>
      <c r="E1035" t="s">
        <v>49</v>
      </c>
      <c r="F1035" t="s">
        <v>17</v>
      </c>
      <c r="G1035">
        <v>390000</v>
      </c>
      <c r="H1035">
        <v>2000</v>
      </c>
      <c r="I1035">
        <v>0.52</v>
      </c>
      <c r="J1035">
        <v>390500</v>
      </c>
      <c r="K1035">
        <v>400500</v>
      </c>
      <c r="L1035">
        <v>376000</v>
      </c>
      <c r="M1035">
        <v>1730887</v>
      </c>
      <c r="N1035">
        <v>670309038750</v>
      </c>
      <c r="O1035">
        <v>80585530</v>
      </c>
      <c r="P1035">
        <v>31428356700000</v>
      </c>
    </row>
    <row r="1036" spans="1:16">
      <c r="A1036" t="s">
        <v>49</v>
      </c>
      <c r="B1036">
        <v>20260129</v>
      </c>
      <c r="C1036">
        <v>6400</v>
      </c>
      <c r="D1036" t="s">
        <v>50</v>
      </c>
      <c r="E1036" t="s">
        <v>49</v>
      </c>
      <c r="F1036" t="s">
        <v>17</v>
      </c>
      <c r="G1036">
        <v>388000</v>
      </c>
      <c r="H1036">
        <v>-8500</v>
      </c>
      <c r="I1036">
        <v>-2.14</v>
      </c>
      <c r="J1036">
        <v>397500</v>
      </c>
      <c r="K1036">
        <v>399500</v>
      </c>
      <c r="L1036">
        <v>376500</v>
      </c>
      <c r="M1036">
        <v>1317541</v>
      </c>
      <c r="N1036">
        <v>508671024500</v>
      </c>
      <c r="O1036">
        <v>80585530</v>
      </c>
      <c r="P1036">
        <v>31267185640000</v>
      </c>
    </row>
    <row r="1037" spans="1:16">
      <c r="A1037" t="s">
        <v>49</v>
      </c>
      <c r="B1037">
        <v>20260128</v>
      </c>
      <c r="C1037">
        <v>6400</v>
      </c>
      <c r="D1037" t="s">
        <v>50</v>
      </c>
      <c r="E1037" t="s">
        <v>49</v>
      </c>
      <c r="F1037" t="s">
        <v>17</v>
      </c>
      <c r="G1037">
        <v>396500</v>
      </c>
      <c r="H1037">
        <v>9000</v>
      </c>
      <c r="I1037">
        <v>2.3199999999999998</v>
      </c>
      <c r="J1037">
        <v>394000</v>
      </c>
      <c r="K1037">
        <v>411500</v>
      </c>
      <c r="L1037">
        <v>390000</v>
      </c>
      <c r="M1037">
        <v>2071072</v>
      </c>
      <c r="N1037">
        <v>825603168000</v>
      </c>
      <c r="O1037">
        <v>80585530</v>
      </c>
      <c r="P1037">
        <v>31952162645000</v>
      </c>
    </row>
    <row r="1038" spans="1:16">
      <c r="A1038" t="s">
        <v>49</v>
      </c>
      <c r="B1038">
        <v>20260127</v>
      </c>
      <c r="C1038">
        <v>6400</v>
      </c>
      <c r="D1038" t="s">
        <v>50</v>
      </c>
      <c r="E1038" t="s">
        <v>49</v>
      </c>
      <c r="F1038" t="s">
        <v>17</v>
      </c>
      <c r="G1038">
        <v>387500</v>
      </c>
      <c r="H1038">
        <v>500</v>
      </c>
      <c r="I1038">
        <v>0.13</v>
      </c>
      <c r="J1038">
        <v>373500</v>
      </c>
      <c r="K1038">
        <v>398000</v>
      </c>
      <c r="L1038">
        <v>367500</v>
      </c>
      <c r="M1038">
        <v>1845095</v>
      </c>
      <c r="N1038">
        <v>703000146250</v>
      </c>
      <c r="O1038">
        <v>80585530</v>
      </c>
      <c r="P1038">
        <v>31226892875000</v>
      </c>
    </row>
    <row r="1039" spans="1:16">
      <c r="A1039" t="s">
        <v>49</v>
      </c>
      <c r="B1039">
        <v>20260126</v>
      </c>
      <c r="C1039">
        <v>6400</v>
      </c>
      <c r="D1039" t="s">
        <v>50</v>
      </c>
      <c r="E1039" t="s">
        <v>49</v>
      </c>
      <c r="F1039" t="s">
        <v>17</v>
      </c>
      <c r="G1039">
        <v>387000</v>
      </c>
      <c r="H1039">
        <v>14000</v>
      </c>
      <c r="I1039">
        <v>3.75</v>
      </c>
      <c r="J1039">
        <v>385500</v>
      </c>
      <c r="K1039">
        <v>389500</v>
      </c>
      <c r="L1039">
        <v>375500</v>
      </c>
      <c r="M1039">
        <v>1609025</v>
      </c>
      <c r="N1039">
        <v>615447528500</v>
      </c>
      <c r="O1039">
        <v>80585530</v>
      </c>
      <c r="P1039">
        <v>31186600110000</v>
      </c>
    </row>
    <row r="1040" spans="1:16">
      <c r="A1040" t="s">
        <v>49</v>
      </c>
      <c r="B1040">
        <v>20260123</v>
      </c>
      <c r="C1040">
        <v>6400</v>
      </c>
      <c r="D1040" t="s">
        <v>50</v>
      </c>
      <c r="E1040" t="s">
        <v>49</v>
      </c>
      <c r="F1040" t="s">
        <v>17</v>
      </c>
      <c r="G1040">
        <v>373000</v>
      </c>
      <c r="H1040">
        <v>-11500</v>
      </c>
      <c r="I1040">
        <v>-2.99</v>
      </c>
      <c r="J1040">
        <v>402000</v>
      </c>
      <c r="K1040">
        <v>402000</v>
      </c>
      <c r="L1040">
        <v>362500</v>
      </c>
      <c r="M1040">
        <v>3366383</v>
      </c>
      <c r="N1040">
        <v>1284253309500</v>
      </c>
      <c r="O1040">
        <v>80585530</v>
      </c>
      <c r="P1040">
        <v>30058402690000</v>
      </c>
    </row>
    <row r="1041" spans="1:16">
      <c r="A1041" t="s">
        <v>49</v>
      </c>
      <c r="B1041">
        <v>20260122</v>
      </c>
      <c r="C1041">
        <v>6400</v>
      </c>
      <c r="D1041" t="s">
        <v>50</v>
      </c>
      <c r="E1041" t="s">
        <v>49</v>
      </c>
      <c r="F1041" t="s">
        <v>17</v>
      </c>
      <c r="G1041">
        <v>384500</v>
      </c>
      <c r="H1041">
        <v>60500</v>
      </c>
      <c r="I1041">
        <v>18.670000000000002</v>
      </c>
      <c r="J1041">
        <v>333000</v>
      </c>
      <c r="K1041">
        <v>385500</v>
      </c>
      <c r="L1041">
        <v>325500</v>
      </c>
      <c r="M1041">
        <v>5826300</v>
      </c>
      <c r="N1041">
        <v>2141968180250</v>
      </c>
      <c r="O1041">
        <v>80585530</v>
      </c>
      <c r="P1041">
        <v>30985136285000</v>
      </c>
    </row>
    <row r="1042" spans="1:16">
      <c r="A1042" t="s">
        <v>49</v>
      </c>
      <c r="B1042">
        <v>20260121</v>
      </c>
      <c r="C1042">
        <v>6400</v>
      </c>
      <c r="D1042" t="s">
        <v>50</v>
      </c>
      <c r="E1042" t="s">
        <v>49</v>
      </c>
      <c r="F1042" t="s">
        <v>17</v>
      </c>
      <c r="G1042">
        <v>324000</v>
      </c>
      <c r="H1042">
        <v>-2000</v>
      </c>
      <c r="I1042">
        <v>-0.61</v>
      </c>
      <c r="J1042">
        <v>316000</v>
      </c>
      <c r="K1042">
        <v>326500</v>
      </c>
      <c r="L1042">
        <v>310000</v>
      </c>
      <c r="M1042">
        <v>1109366</v>
      </c>
      <c r="N1042">
        <v>352883643750</v>
      </c>
      <c r="O1042">
        <v>80585530</v>
      </c>
      <c r="P1042">
        <v>26109711720000</v>
      </c>
    </row>
    <row r="1043" spans="1:16">
      <c r="A1043" t="s">
        <v>49</v>
      </c>
      <c r="B1043">
        <v>20260120</v>
      </c>
      <c r="C1043">
        <v>6400</v>
      </c>
      <c r="D1043" t="s">
        <v>50</v>
      </c>
      <c r="E1043" t="s">
        <v>49</v>
      </c>
      <c r="F1043" t="s">
        <v>17</v>
      </c>
      <c r="G1043">
        <v>326000</v>
      </c>
      <c r="H1043">
        <v>12000</v>
      </c>
      <c r="I1043">
        <v>3.82</v>
      </c>
      <c r="J1043">
        <v>319000</v>
      </c>
      <c r="K1043">
        <v>339500</v>
      </c>
      <c r="L1043">
        <v>315500</v>
      </c>
      <c r="M1043">
        <v>2148250</v>
      </c>
      <c r="N1043">
        <v>705015791750</v>
      </c>
      <c r="O1043">
        <v>80585530</v>
      </c>
      <c r="P1043">
        <v>26270882780000</v>
      </c>
    </row>
    <row r="1044" spans="1:16">
      <c r="A1044" t="s">
        <v>49</v>
      </c>
      <c r="B1044">
        <v>20260119</v>
      </c>
      <c r="C1044">
        <v>6400</v>
      </c>
      <c r="D1044" t="s">
        <v>50</v>
      </c>
      <c r="E1044" t="s">
        <v>49</v>
      </c>
      <c r="F1044" t="s">
        <v>17</v>
      </c>
      <c r="G1044">
        <v>314000</v>
      </c>
      <c r="H1044">
        <v>25000</v>
      </c>
      <c r="I1044">
        <v>8.65</v>
      </c>
      <c r="J1044">
        <v>289000</v>
      </c>
      <c r="K1044">
        <v>320000</v>
      </c>
      <c r="L1044">
        <v>286000</v>
      </c>
      <c r="M1044">
        <v>1430872</v>
      </c>
      <c r="N1044">
        <v>437444040750</v>
      </c>
      <c r="O1044">
        <v>80585530</v>
      </c>
      <c r="P1044">
        <v>25303856420000</v>
      </c>
    </row>
    <row r="1045" spans="1:16">
      <c r="A1045" t="s">
        <v>49</v>
      </c>
      <c r="B1045">
        <v>20260116</v>
      </c>
      <c r="C1045">
        <v>6400</v>
      </c>
      <c r="D1045" t="s">
        <v>50</v>
      </c>
      <c r="E1045" t="s">
        <v>49</v>
      </c>
      <c r="F1045" t="s">
        <v>17</v>
      </c>
      <c r="G1045">
        <v>289000</v>
      </c>
      <c r="H1045">
        <v>-2500</v>
      </c>
      <c r="I1045">
        <v>-0.86</v>
      </c>
      <c r="J1045">
        <v>291500</v>
      </c>
      <c r="K1045">
        <v>292000</v>
      </c>
      <c r="L1045">
        <v>286000</v>
      </c>
      <c r="M1045">
        <v>447796</v>
      </c>
      <c r="N1045">
        <v>129170193750</v>
      </c>
      <c r="O1045">
        <v>80585530</v>
      </c>
      <c r="P1045">
        <v>23289218170000</v>
      </c>
    </row>
    <row r="1046" spans="1:16">
      <c r="A1046" t="s">
        <v>49</v>
      </c>
      <c r="B1046">
        <v>20260115</v>
      </c>
      <c r="C1046">
        <v>6400</v>
      </c>
      <c r="D1046" t="s">
        <v>50</v>
      </c>
      <c r="E1046" t="s">
        <v>49</v>
      </c>
      <c r="F1046" t="s">
        <v>17</v>
      </c>
      <c r="G1046">
        <v>291500</v>
      </c>
      <c r="H1046">
        <v>6000</v>
      </c>
      <c r="I1046">
        <v>2.1</v>
      </c>
      <c r="J1046">
        <v>287000</v>
      </c>
      <c r="K1046">
        <v>292000</v>
      </c>
      <c r="L1046">
        <v>284250</v>
      </c>
      <c r="M1046">
        <v>487778</v>
      </c>
      <c r="N1046">
        <v>140793330750</v>
      </c>
      <c r="O1046">
        <v>80585530</v>
      </c>
      <c r="P1046">
        <v>23490681995000</v>
      </c>
    </row>
    <row r="1047" spans="1:16">
      <c r="A1047" t="s">
        <v>49</v>
      </c>
      <c r="B1047">
        <v>20260114</v>
      </c>
      <c r="C1047">
        <v>6400</v>
      </c>
      <c r="D1047" t="s">
        <v>50</v>
      </c>
      <c r="E1047" t="s">
        <v>49</v>
      </c>
      <c r="F1047" t="s">
        <v>17</v>
      </c>
      <c r="G1047">
        <v>285500</v>
      </c>
      <c r="H1047">
        <v>-14500</v>
      </c>
      <c r="I1047">
        <v>-4.83</v>
      </c>
      <c r="J1047">
        <v>298500</v>
      </c>
      <c r="K1047">
        <v>298500</v>
      </c>
      <c r="L1047">
        <v>284500</v>
      </c>
      <c r="M1047">
        <v>663816</v>
      </c>
      <c r="N1047">
        <v>191295630500</v>
      </c>
      <c r="O1047">
        <v>80585530</v>
      </c>
      <c r="P1047">
        <v>23007168815000</v>
      </c>
    </row>
    <row r="1048" spans="1:16">
      <c r="A1048" t="s">
        <v>49</v>
      </c>
      <c r="B1048">
        <v>20260113</v>
      </c>
      <c r="C1048">
        <v>6400</v>
      </c>
      <c r="D1048" t="s">
        <v>50</v>
      </c>
      <c r="E1048" t="s">
        <v>49</v>
      </c>
      <c r="F1048" t="s">
        <v>17</v>
      </c>
      <c r="G1048">
        <v>300000</v>
      </c>
      <c r="H1048">
        <v>22000</v>
      </c>
      <c r="I1048">
        <v>7.91</v>
      </c>
      <c r="J1048">
        <v>281500</v>
      </c>
      <c r="K1048">
        <v>302500</v>
      </c>
      <c r="L1048">
        <v>276000</v>
      </c>
      <c r="M1048">
        <v>1248744</v>
      </c>
      <c r="N1048">
        <v>364614536000</v>
      </c>
      <c r="O1048">
        <v>80585530</v>
      </c>
      <c r="P1048">
        <v>24175659000000</v>
      </c>
    </row>
    <row r="1049" spans="1:16">
      <c r="A1049" t="s">
        <v>49</v>
      </c>
      <c r="B1049">
        <v>20260112</v>
      </c>
      <c r="C1049">
        <v>6400</v>
      </c>
      <c r="D1049" t="s">
        <v>50</v>
      </c>
      <c r="E1049" t="s">
        <v>49</v>
      </c>
      <c r="F1049" t="s">
        <v>17</v>
      </c>
      <c r="G1049">
        <v>278000</v>
      </c>
      <c r="H1049">
        <v>10500</v>
      </c>
      <c r="I1049">
        <v>3.93</v>
      </c>
      <c r="J1049">
        <v>265500</v>
      </c>
      <c r="K1049">
        <v>280500</v>
      </c>
      <c r="L1049">
        <v>264000</v>
      </c>
      <c r="M1049">
        <v>704473</v>
      </c>
      <c r="N1049">
        <v>193674098000</v>
      </c>
      <c r="O1049">
        <v>80585530</v>
      </c>
      <c r="P1049">
        <v>22402777340000</v>
      </c>
    </row>
    <row r="1050" spans="1:16">
      <c r="A1050" t="s">
        <v>49</v>
      </c>
      <c r="B1050">
        <v>20260109</v>
      </c>
      <c r="C1050">
        <v>6400</v>
      </c>
      <c r="D1050" t="s">
        <v>50</v>
      </c>
      <c r="E1050" t="s">
        <v>49</v>
      </c>
      <c r="F1050" t="s">
        <v>17</v>
      </c>
      <c r="G1050">
        <v>267500</v>
      </c>
      <c r="H1050">
        <v>-3500</v>
      </c>
      <c r="I1050">
        <v>-1.29</v>
      </c>
      <c r="J1050">
        <v>272000</v>
      </c>
      <c r="K1050">
        <v>272000</v>
      </c>
      <c r="L1050">
        <v>265250</v>
      </c>
      <c r="M1050">
        <v>433710</v>
      </c>
      <c r="N1050">
        <v>115869719000</v>
      </c>
      <c r="O1050">
        <v>80585530</v>
      </c>
      <c r="P1050">
        <v>21556629275000</v>
      </c>
    </row>
    <row r="1051" spans="1:16">
      <c r="A1051" t="s">
        <v>49</v>
      </c>
      <c r="B1051">
        <v>20260108</v>
      </c>
      <c r="C1051">
        <v>6400</v>
      </c>
      <c r="D1051" t="s">
        <v>50</v>
      </c>
      <c r="E1051" t="s">
        <v>49</v>
      </c>
      <c r="F1051" t="s">
        <v>17</v>
      </c>
      <c r="G1051">
        <v>271000</v>
      </c>
      <c r="H1051">
        <v>500</v>
      </c>
      <c r="I1051">
        <v>0.18</v>
      </c>
      <c r="J1051">
        <v>271500</v>
      </c>
      <c r="K1051">
        <v>274000</v>
      </c>
      <c r="L1051">
        <v>269000</v>
      </c>
      <c r="M1051">
        <v>556265</v>
      </c>
      <c r="N1051">
        <v>150733593250</v>
      </c>
      <c r="O1051">
        <v>80585530</v>
      </c>
      <c r="P1051">
        <v>21838678630000</v>
      </c>
    </row>
    <row r="1052" spans="1:16">
      <c r="A1052" t="s">
        <v>49</v>
      </c>
      <c r="B1052">
        <v>20260107</v>
      </c>
      <c r="C1052">
        <v>6400</v>
      </c>
      <c r="D1052" t="s">
        <v>50</v>
      </c>
      <c r="E1052" t="s">
        <v>49</v>
      </c>
      <c r="F1052" t="s">
        <v>17</v>
      </c>
      <c r="G1052">
        <v>270500</v>
      </c>
      <c r="H1052">
        <v>-6500</v>
      </c>
      <c r="I1052">
        <v>-2.35</v>
      </c>
      <c r="J1052">
        <v>279000</v>
      </c>
      <c r="K1052">
        <v>280000</v>
      </c>
      <c r="L1052">
        <v>268500</v>
      </c>
      <c r="M1052">
        <v>603479</v>
      </c>
      <c r="N1052">
        <v>164656866500</v>
      </c>
      <c r="O1052">
        <v>80585530</v>
      </c>
      <c r="P1052">
        <v>21798385865000</v>
      </c>
    </row>
    <row r="1053" spans="1:16">
      <c r="A1053" t="s">
        <v>49</v>
      </c>
      <c r="B1053">
        <v>20260106</v>
      </c>
      <c r="C1053">
        <v>6400</v>
      </c>
      <c r="D1053" t="s">
        <v>50</v>
      </c>
      <c r="E1053" t="s">
        <v>49</v>
      </c>
      <c r="F1053" t="s">
        <v>17</v>
      </c>
      <c r="G1053">
        <v>277000</v>
      </c>
      <c r="H1053">
        <v>2000</v>
      </c>
      <c r="I1053">
        <v>0.73</v>
      </c>
      <c r="J1053">
        <v>282000</v>
      </c>
      <c r="K1053">
        <v>282000</v>
      </c>
      <c r="L1053">
        <v>274000</v>
      </c>
      <c r="M1053">
        <v>448991</v>
      </c>
      <c r="N1053">
        <v>124417303250</v>
      </c>
      <c r="O1053">
        <v>80585530</v>
      </c>
      <c r="P1053">
        <v>22322191810000</v>
      </c>
    </row>
    <row r="1054" spans="1:16">
      <c r="A1054" t="s">
        <v>49</v>
      </c>
      <c r="B1054">
        <v>20260105</v>
      </c>
      <c r="C1054">
        <v>6400</v>
      </c>
      <c r="D1054" t="s">
        <v>50</v>
      </c>
      <c r="E1054" t="s">
        <v>49</v>
      </c>
      <c r="F1054" t="s">
        <v>17</v>
      </c>
      <c r="G1054">
        <v>275000</v>
      </c>
      <c r="H1054">
        <v>12500</v>
      </c>
      <c r="I1054">
        <v>4.76</v>
      </c>
      <c r="J1054">
        <v>260000</v>
      </c>
      <c r="K1054">
        <v>280000</v>
      </c>
      <c r="L1054">
        <v>259500</v>
      </c>
      <c r="M1054">
        <v>805956</v>
      </c>
      <c r="N1054">
        <v>220120177500</v>
      </c>
      <c r="O1054">
        <v>80585530</v>
      </c>
      <c r="P1054">
        <v>22161020750000</v>
      </c>
    </row>
    <row r="1055" spans="1:16">
      <c r="A1055" t="s">
        <v>49</v>
      </c>
      <c r="B1055">
        <v>20260102</v>
      </c>
      <c r="C1055">
        <v>6400</v>
      </c>
      <c r="D1055" t="s">
        <v>50</v>
      </c>
      <c r="E1055" t="s">
        <v>49</v>
      </c>
      <c r="F1055" t="s">
        <v>17</v>
      </c>
      <c r="G1055">
        <v>262500</v>
      </c>
      <c r="H1055">
        <v>-7000</v>
      </c>
      <c r="I1055">
        <v>-2.6</v>
      </c>
      <c r="J1055">
        <v>268000</v>
      </c>
      <c r="K1055">
        <v>268000</v>
      </c>
      <c r="L1055">
        <v>259000</v>
      </c>
      <c r="M1055">
        <v>616243</v>
      </c>
      <c r="N1055">
        <v>161895753000</v>
      </c>
      <c r="O1055">
        <v>80585530</v>
      </c>
      <c r="P1055">
        <v>21153701625000</v>
      </c>
    </row>
    <row r="1056" spans="1:16">
      <c r="A1056" t="s">
        <v>51</v>
      </c>
      <c r="B1056">
        <v>20260403</v>
      </c>
      <c r="C1056">
        <v>12330</v>
      </c>
      <c r="D1056" t="s">
        <v>52</v>
      </c>
      <c r="E1056" t="s">
        <v>51</v>
      </c>
      <c r="F1056" t="s">
        <v>17</v>
      </c>
      <c r="G1056">
        <v>388500</v>
      </c>
      <c r="H1056">
        <v>-1000</v>
      </c>
      <c r="I1056">
        <v>-0.26</v>
      </c>
      <c r="J1056">
        <v>395000</v>
      </c>
      <c r="K1056">
        <v>400500</v>
      </c>
      <c r="L1056">
        <v>385000</v>
      </c>
      <c r="M1056">
        <v>163868</v>
      </c>
      <c r="N1056">
        <v>63997647750</v>
      </c>
      <c r="O1056">
        <v>90732583</v>
      </c>
      <c r="P1056">
        <v>35249608495500</v>
      </c>
    </row>
    <row r="1057" spans="1:16">
      <c r="A1057" t="s">
        <v>51</v>
      </c>
      <c r="B1057">
        <v>20260402</v>
      </c>
      <c r="C1057">
        <v>12330</v>
      </c>
      <c r="D1057" t="s">
        <v>52</v>
      </c>
      <c r="E1057" t="s">
        <v>51</v>
      </c>
      <c r="F1057" t="s">
        <v>17</v>
      </c>
      <c r="G1057">
        <v>389500</v>
      </c>
      <c r="H1057">
        <v>-19500</v>
      </c>
      <c r="I1057">
        <v>-4.7699999999999996</v>
      </c>
      <c r="J1057">
        <v>413500</v>
      </c>
      <c r="K1057">
        <v>414000</v>
      </c>
      <c r="L1057">
        <v>384000</v>
      </c>
      <c r="M1057">
        <v>194342</v>
      </c>
      <c r="N1057">
        <v>76969486000</v>
      </c>
      <c r="O1057">
        <v>90732583</v>
      </c>
      <c r="P1057">
        <v>35340341078500</v>
      </c>
    </row>
    <row r="1058" spans="1:16">
      <c r="A1058" t="s">
        <v>51</v>
      </c>
      <c r="B1058">
        <v>20260401</v>
      </c>
      <c r="C1058">
        <v>12330</v>
      </c>
      <c r="D1058" t="s">
        <v>52</v>
      </c>
      <c r="E1058" t="s">
        <v>51</v>
      </c>
      <c r="F1058" t="s">
        <v>17</v>
      </c>
      <c r="G1058">
        <v>409000</v>
      </c>
      <c r="H1058">
        <v>31000</v>
      </c>
      <c r="I1058">
        <v>8.1999999999999993</v>
      </c>
      <c r="J1058">
        <v>397000</v>
      </c>
      <c r="K1058">
        <v>410000</v>
      </c>
      <c r="L1058">
        <v>389500</v>
      </c>
      <c r="M1058">
        <v>305094</v>
      </c>
      <c r="N1058">
        <v>122084698250</v>
      </c>
      <c r="O1058">
        <v>90732583</v>
      </c>
      <c r="P1058">
        <v>37109626447000</v>
      </c>
    </row>
    <row r="1059" spans="1:16">
      <c r="A1059" t="s">
        <v>51</v>
      </c>
      <c r="B1059">
        <v>20260331</v>
      </c>
      <c r="C1059">
        <v>12330</v>
      </c>
      <c r="D1059" t="s">
        <v>52</v>
      </c>
      <c r="E1059" t="s">
        <v>51</v>
      </c>
      <c r="F1059" t="s">
        <v>17</v>
      </c>
      <c r="G1059">
        <v>378000</v>
      </c>
      <c r="H1059">
        <v>-20000</v>
      </c>
      <c r="I1059">
        <v>-5.03</v>
      </c>
      <c r="J1059">
        <v>387500</v>
      </c>
      <c r="K1059">
        <v>391500</v>
      </c>
      <c r="L1059">
        <v>376500</v>
      </c>
      <c r="M1059">
        <v>334294</v>
      </c>
      <c r="N1059">
        <v>127837618000</v>
      </c>
      <c r="O1059">
        <v>90732583</v>
      </c>
      <c r="P1059">
        <v>34296916374000</v>
      </c>
    </row>
    <row r="1060" spans="1:16">
      <c r="A1060" t="s">
        <v>51</v>
      </c>
      <c r="B1060">
        <v>20260330</v>
      </c>
      <c r="C1060">
        <v>12330</v>
      </c>
      <c r="D1060" t="s">
        <v>52</v>
      </c>
      <c r="E1060" t="s">
        <v>51</v>
      </c>
      <c r="F1060" t="s">
        <v>17</v>
      </c>
      <c r="G1060">
        <v>398000</v>
      </c>
      <c r="H1060">
        <v>-10500</v>
      </c>
      <c r="I1060">
        <v>-2.57</v>
      </c>
      <c r="J1060">
        <v>383500</v>
      </c>
      <c r="K1060">
        <v>400000</v>
      </c>
      <c r="L1060">
        <v>380000</v>
      </c>
      <c r="M1060">
        <v>198668</v>
      </c>
      <c r="N1060">
        <v>78289974250</v>
      </c>
      <c r="O1060">
        <v>90732583</v>
      </c>
      <c r="P1060">
        <v>36111568034000</v>
      </c>
    </row>
    <row r="1061" spans="1:16">
      <c r="A1061" t="s">
        <v>51</v>
      </c>
      <c r="B1061">
        <v>20260327</v>
      </c>
      <c r="C1061">
        <v>12330</v>
      </c>
      <c r="D1061" t="s">
        <v>52</v>
      </c>
      <c r="E1061" t="s">
        <v>51</v>
      </c>
      <c r="F1061" t="s">
        <v>17</v>
      </c>
      <c r="G1061">
        <v>408500</v>
      </c>
      <c r="H1061">
        <v>10000</v>
      </c>
      <c r="I1061">
        <v>2.5099999999999998</v>
      </c>
      <c r="J1061">
        <v>388000</v>
      </c>
      <c r="K1061">
        <v>411000</v>
      </c>
      <c r="L1061">
        <v>385500</v>
      </c>
      <c r="M1061">
        <v>298310</v>
      </c>
      <c r="N1061">
        <v>120180428750</v>
      </c>
      <c r="O1061">
        <v>90732583</v>
      </c>
      <c r="P1061">
        <v>37064260155500</v>
      </c>
    </row>
    <row r="1062" spans="1:16">
      <c r="A1062" t="s">
        <v>51</v>
      </c>
      <c r="B1062">
        <v>20260326</v>
      </c>
      <c r="C1062">
        <v>12330</v>
      </c>
      <c r="D1062" t="s">
        <v>52</v>
      </c>
      <c r="E1062" t="s">
        <v>51</v>
      </c>
      <c r="F1062" t="s">
        <v>17</v>
      </c>
      <c r="G1062">
        <v>398500</v>
      </c>
      <c r="H1062">
        <v>-3500</v>
      </c>
      <c r="I1062">
        <v>-0.87</v>
      </c>
      <c r="J1062">
        <v>402000</v>
      </c>
      <c r="K1062">
        <v>402000</v>
      </c>
      <c r="L1062">
        <v>393500</v>
      </c>
      <c r="M1062">
        <v>198857</v>
      </c>
      <c r="N1062">
        <v>79174846250</v>
      </c>
      <c r="O1062">
        <v>90732583</v>
      </c>
      <c r="P1062">
        <v>36156934325500</v>
      </c>
    </row>
    <row r="1063" spans="1:16">
      <c r="A1063" t="s">
        <v>51</v>
      </c>
      <c r="B1063">
        <v>20260325</v>
      </c>
      <c r="C1063">
        <v>12330</v>
      </c>
      <c r="D1063" t="s">
        <v>52</v>
      </c>
      <c r="E1063" t="s">
        <v>51</v>
      </c>
      <c r="F1063" t="s">
        <v>17</v>
      </c>
      <c r="G1063">
        <v>402000</v>
      </c>
      <c r="H1063">
        <v>9500</v>
      </c>
      <c r="I1063">
        <v>2.42</v>
      </c>
      <c r="J1063">
        <v>400000</v>
      </c>
      <c r="K1063">
        <v>403000</v>
      </c>
      <c r="L1063">
        <v>395500</v>
      </c>
      <c r="M1063">
        <v>226151</v>
      </c>
      <c r="N1063">
        <v>90508540750</v>
      </c>
      <c r="O1063">
        <v>90732583</v>
      </c>
      <c r="P1063">
        <v>36474498366000</v>
      </c>
    </row>
    <row r="1064" spans="1:16">
      <c r="A1064" t="s">
        <v>51</v>
      </c>
      <c r="B1064">
        <v>20260324</v>
      </c>
      <c r="C1064">
        <v>12330</v>
      </c>
      <c r="D1064" t="s">
        <v>52</v>
      </c>
      <c r="E1064" t="s">
        <v>51</v>
      </c>
      <c r="F1064" t="s">
        <v>17</v>
      </c>
      <c r="G1064">
        <v>392500</v>
      </c>
      <c r="H1064">
        <v>11500</v>
      </c>
      <c r="I1064">
        <v>3.02</v>
      </c>
      <c r="J1064">
        <v>397500</v>
      </c>
      <c r="K1064">
        <v>397500</v>
      </c>
      <c r="L1064">
        <v>382500</v>
      </c>
      <c r="M1064">
        <v>236563</v>
      </c>
      <c r="N1064">
        <v>92050699750</v>
      </c>
      <c r="O1064">
        <v>90732583</v>
      </c>
      <c r="P1064">
        <v>35612538827500</v>
      </c>
    </row>
    <row r="1065" spans="1:16">
      <c r="A1065" t="s">
        <v>51</v>
      </c>
      <c r="B1065">
        <v>20260323</v>
      </c>
      <c r="C1065">
        <v>12330</v>
      </c>
      <c r="D1065" t="s">
        <v>52</v>
      </c>
      <c r="E1065" t="s">
        <v>51</v>
      </c>
      <c r="F1065" t="s">
        <v>17</v>
      </c>
      <c r="G1065">
        <v>381000</v>
      </c>
      <c r="H1065">
        <v>-19500</v>
      </c>
      <c r="I1065">
        <v>-4.87</v>
      </c>
      <c r="J1065">
        <v>379500</v>
      </c>
      <c r="K1065">
        <v>387000</v>
      </c>
      <c r="L1065">
        <v>372000</v>
      </c>
      <c r="M1065">
        <v>295324</v>
      </c>
      <c r="N1065">
        <v>111935832000</v>
      </c>
      <c r="O1065">
        <v>90732583</v>
      </c>
      <c r="P1065">
        <v>34569114123000</v>
      </c>
    </row>
    <row r="1066" spans="1:16">
      <c r="A1066" t="s">
        <v>51</v>
      </c>
      <c r="B1066">
        <v>20260320</v>
      </c>
      <c r="C1066">
        <v>12330</v>
      </c>
      <c r="D1066" t="s">
        <v>52</v>
      </c>
      <c r="E1066" t="s">
        <v>51</v>
      </c>
      <c r="F1066" t="s">
        <v>17</v>
      </c>
      <c r="G1066">
        <v>400500</v>
      </c>
      <c r="H1066">
        <v>-12500</v>
      </c>
      <c r="I1066">
        <v>-3.03</v>
      </c>
      <c r="J1066">
        <v>414500</v>
      </c>
      <c r="K1066">
        <v>415000</v>
      </c>
      <c r="L1066">
        <v>400500</v>
      </c>
      <c r="M1066">
        <v>357334</v>
      </c>
      <c r="N1066">
        <v>144368667500</v>
      </c>
      <c r="O1066">
        <v>90732583</v>
      </c>
      <c r="P1066">
        <v>36338399491500</v>
      </c>
    </row>
    <row r="1067" spans="1:16">
      <c r="A1067" t="s">
        <v>51</v>
      </c>
      <c r="B1067">
        <v>20260319</v>
      </c>
      <c r="C1067">
        <v>12330</v>
      </c>
      <c r="D1067" t="s">
        <v>52</v>
      </c>
      <c r="E1067" t="s">
        <v>51</v>
      </c>
      <c r="F1067" t="s">
        <v>17</v>
      </c>
      <c r="G1067">
        <v>413000</v>
      </c>
      <c r="H1067">
        <v>-17000</v>
      </c>
      <c r="I1067">
        <v>-3.95</v>
      </c>
      <c r="J1067">
        <v>414000</v>
      </c>
      <c r="K1067">
        <v>419500</v>
      </c>
      <c r="L1067">
        <v>411000</v>
      </c>
      <c r="M1067">
        <v>177528</v>
      </c>
      <c r="N1067">
        <v>73423261750</v>
      </c>
      <c r="O1067">
        <v>90732583</v>
      </c>
      <c r="P1067">
        <v>37472556779000</v>
      </c>
    </row>
    <row r="1068" spans="1:16">
      <c r="A1068" t="s">
        <v>51</v>
      </c>
      <c r="B1068">
        <v>20260318</v>
      </c>
      <c r="C1068">
        <v>12330</v>
      </c>
      <c r="D1068" t="s">
        <v>52</v>
      </c>
      <c r="E1068" t="s">
        <v>51</v>
      </c>
      <c r="F1068" t="s">
        <v>17</v>
      </c>
      <c r="G1068">
        <v>430000</v>
      </c>
      <c r="H1068">
        <v>17500</v>
      </c>
      <c r="I1068">
        <v>4.24</v>
      </c>
      <c r="J1068">
        <v>420500</v>
      </c>
      <c r="K1068">
        <v>431000</v>
      </c>
      <c r="L1068">
        <v>419000</v>
      </c>
      <c r="M1068">
        <v>210557</v>
      </c>
      <c r="N1068">
        <v>90058971500</v>
      </c>
      <c r="O1068">
        <v>90732583</v>
      </c>
      <c r="P1068">
        <v>39015010690000</v>
      </c>
    </row>
    <row r="1069" spans="1:16">
      <c r="A1069" t="s">
        <v>51</v>
      </c>
      <c r="B1069">
        <v>20260317</v>
      </c>
      <c r="C1069">
        <v>12330</v>
      </c>
      <c r="D1069" t="s">
        <v>52</v>
      </c>
      <c r="E1069" t="s">
        <v>51</v>
      </c>
      <c r="F1069" t="s">
        <v>17</v>
      </c>
      <c r="G1069">
        <v>412500</v>
      </c>
      <c r="H1069">
        <v>11500</v>
      </c>
      <c r="I1069">
        <v>2.87</v>
      </c>
      <c r="J1069">
        <v>413500</v>
      </c>
      <c r="K1069">
        <v>420000</v>
      </c>
      <c r="L1069">
        <v>410500</v>
      </c>
      <c r="M1069">
        <v>166536</v>
      </c>
      <c r="N1069">
        <v>68891905750</v>
      </c>
      <c r="O1069">
        <v>90732583</v>
      </c>
      <c r="P1069">
        <v>37427190487500</v>
      </c>
    </row>
    <row r="1070" spans="1:16">
      <c r="A1070" t="s">
        <v>51</v>
      </c>
      <c r="B1070">
        <v>20260316</v>
      </c>
      <c r="C1070">
        <v>12330</v>
      </c>
      <c r="D1070" t="s">
        <v>52</v>
      </c>
      <c r="E1070" t="s">
        <v>51</v>
      </c>
      <c r="F1070" t="s">
        <v>17</v>
      </c>
      <c r="G1070">
        <v>401000</v>
      </c>
      <c r="H1070">
        <v>-3000</v>
      </c>
      <c r="I1070">
        <v>-0.74</v>
      </c>
      <c r="J1070">
        <v>400500</v>
      </c>
      <c r="K1070">
        <v>405000</v>
      </c>
      <c r="L1070">
        <v>392000</v>
      </c>
      <c r="M1070">
        <v>177548</v>
      </c>
      <c r="N1070">
        <v>70853879000</v>
      </c>
      <c r="O1070">
        <v>90732583</v>
      </c>
      <c r="P1070">
        <v>36383765783000</v>
      </c>
    </row>
    <row r="1071" spans="1:16">
      <c r="A1071" t="s">
        <v>51</v>
      </c>
      <c r="B1071">
        <v>20260313</v>
      </c>
      <c r="C1071">
        <v>12330</v>
      </c>
      <c r="D1071" t="s">
        <v>52</v>
      </c>
      <c r="E1071" t="s">
        <v>51</v>
      </c>
      <c r="F1071" t="s">
        <v>17</v>
      </c>
      <c r="G1071">
        <v>404000</v>
      </c>
      <c r="H1071">
        <v>-10500</v>
      </c>
      <c r="I1071">
        <v>-2.5299999999999998</v>
      </c>
      <c r="J1071">
        <v>399000</v>
      </c>
      <c r="K1071">
        <v>412500</v>
      </c>
      <c r="L1071">
        <v>398500</v>
      </c>
      <c r="M1071">
        <v>267460</v>
      </c>
      <c r="N1071">
        <v>108049319500</v>
      </c>
      <c r="O1071">
        <v>90732583</v>
      </c>
      <c r="P1071">
        <v>36655963532000</v>
      </c>
    </row>
    <row r="1072" spans="1:16">
      <c r="A1072" t="s">
        <v>51</v>
      </c>
      <c r="B1072">
        <v>20260312</v>
      </c>
      <c r="C1072">
        <v>12330</v>
      </c>
      <c r="D1072" t="s">
        <v>52</v>
      </c>
      <c r="E1072" t="s">
        <v>51</v>
      </c>
      <c r="F1072" t="s">
        <v>17</v>
      </c>
      <c r="G1072">
        <v>414500</v>
      </c>
      <c r="H1072">
        <v>-8500</v>
      </c>
      <c r="I1072">
        <v>-2.0099999999999998</v>
      </c>
      <c r="J1072">
        <v>415000</v>
      </c>
      <c r="K1072">
        <v>419500</v>
      </c>
      <c r="L1072">
        <v>403500</v>
      </c>
      <c r="M1072">
        <v>389077</v>
      </c>
      <c r="N1072">
        <v>159934114000</v>
      </c>
      <c r="O1072">
        <v>90732583</v>
      </c>
      <c r="P1072">
        <v>37608655653500</v>
      </c>
    </row>
    <row r="1073" spans="1:16">
      <c r="A1073" t="s">
        <v>51</v>
      </c>
      <c r="B1073">
        <v>20260311</v>
      </c>
      <c r="C1073">
        <v>12330</v>
      </c>
      <c r="D1073" t="s">
        <v>52</v>
      </c>
      <c r="E1073" t="s">
        <v>51</v>
      </c>
      <c r="F1073" t="s">
        <v>17</v>
      </c>
      <c r="G1073">
        <v>423000</v>
      </c>
      <c r="H1073">
        <v>0</v>
      </c>
      <c r="I1073">
        <v>0</v>
      </c>
      <c r="J1073">
        <v>443000</v>
      </c>
      <c r="K1073">
        <v>447000</v>
      </c>
      <c r="L1073">
        <v>419500</v>
      </c>
      <c r="M1073">
        <v>326398</v>
      </c>
      <c r="N1073">
        <v>141234638250</v>
      </c>
      <c r="O1073">
        <v>90732583</v>
      </c>
      <c r="P1073">
        <v>38379882609000</v>
      </c>
    </row>
    <row r="1074" spans="1:16">
      <c r="A1074" t="s">
        <v>51</v>
      </c>
      <c r="B1074">
        <v>20260310</v>
      </c>
      <c r="C1074">
        <v>12330</v>
      </c>
      <c r="D1074" t="s">
        <v>52</v>
      </c>
      <c r="E1074" t="s">
        <v>51</v>
      </c>
      <c r="F1074" t="s">
        <v>17</v>
      </c>
      <c r="G1074">
        <v>423000</v>
      </c>
      <c r="H1074">
        <v>14000</v>
      </c>
      <c r="I1074">
        <v>3.42</v>
      </c>
      <c r="J1074">
        <v>431000</v>
      </c>
      <c r="K1074">
        <v>435000</v>
      </c>
      <c r="L1074">
        <v>414000</v>
      </c>
      <c r="M1074">
        <v>277816</v>
      </c>
      <c r="N1074">
        <v>117417574500</v>
      </c>
      <c r="O1074">
        <v>90732583</v>
      </c>
      <c r="P1074">
        <v>38379882609000</v>
      </c>
    </row>
    <row r="1075" spans="1:16">
      <c r="A1075" t="s">
        <v>51</v>
      </c>
      <c r="B1075">
        <v>20260309</v>
      </c>
      <c r="C1075">
        <v>12330</v>
      </c>
      <c r="D1075" t="s">
        <v>52</v>
      </c>
      <c r="E1075" t="s">
        <v>51</v>
      </c>
      <c r="F1075" t="s">
        <v>17</v>
      </c>
      <c r="G1075">
        <v>409000</v>
      </c>
      <c r="H1075">
        <v>-35000</v>
      </c>
      <c r="I1075">
        <v>-7.88</v>
      </c>
      <c r="J1075">
        <v>402500</v>
      </c>
      <c r="K1075">
        <v>412000</v>
      </c>
      <c r="L1075">
        <v>393500</v>
      </c>
      <c r="M1075">
        <v>421928</v>
      </c>
      <c r="N1075">
        <v>169677873500</v>
      </c>
      <c r="O1075">
        <v>90732583</v>
      </c>
      <c r="P1075">
        <v>37109626447000</v>
      </c>
    </row>
    <row r="1076" spans="1:16">
      <c r="A1076" t="s">
        <v>51</v>
      </c>
      <c r="B1076">
        <v>20260306</v>
      </c>
      <c r="C1076">
        <v>12330</v>
      </c>
      <c r="D1076" t="s">
        <v>52</v>
      </c>
      <c r="E1076" t="s">
        <v>51</v>
      </c>
      <c r="F1076" t="s">
        <v>17</v>
      </c>
      <c r="G1076">
        <v>444000</v>
      </c>
      <c r="H1076">
        <v>12000</v>
      </c>
      <c r="I1076">
        <v>2.78</v>
      </c>
      <c r="J1076">
        <v>423500</v>
      </c>
      <c r="K1076">
        <v>451000</v>
      </c>
      <c r="L1076">
        <v>422500</v>
      </c>
      <c r="M1076">
        <v>449828</v>
      </c>
      <c r="N1076">
        <v>198065433000</v>
      </c>
      <c r="O1076">
        <v>90732583</v>
      </c>
      <c r="P1076">
        <v>40285266852000</v>
      </c>
    </row>
    <row r="1077" spans="1:16">
      <c r="A1077" t="s">
        <v>51</v>
      </c>
      <c r="B1077">
        <v>20260305</v>
      </c>
      <c r="C1077">
        <v>12330</v>
      </c>
      <c r="D1077" t="s">
        <v>52</v>
      </c>
      <c r="E1077" t="s">
        <v>51</v>
      </c>
      <c r="F1077" t="s">
        <v>17</v>
      </c>
      <c r="G1077">
        <v>432000</v>
      </c>
      <c r="H1077">
        <v>33000</v>
      </c>
      <c r="I1077">
        <v>8.27</v>
      </c>
      <c r="J1077">
        <v>439500</v>
      </c>
      <c r="K1077">
        <v>441500</v>
      </c>
      <c r="L1077">
        <v>422500</v>
      </c>
      <c r="M1077">
        <v>474443</v>
      </c>
      <c r="N1077">
        <v>205131915000</v>
      </c>
      <c r="O1077">
        <v>90732583</v>
      </c>
      <c r="P1077">
        <v>39196475856000</v>
      </c>
    </row>
    <row r="1078" spans="1:16">
      <c r="A1078" t="s">
        <v>51</v>
      </c>
      <c r="B1078">
        <v>20260304</v>
      </c>
      <c r="C1078">
        <v>12330</v>
      </c>
      <c r="D1078" t="s">
        <v>52</v>
      </c>
      <c r="E1078" t="s">
        <v>51</v>
      </c>
      <c r="F1078" t="s">
        <v>17</v>
      </c>
      <c r="G1078">
        <v>399000</v>
      </c>
      <c r="H1078">
        <v>-69500</v>
      </c>
      <c r="I1078">
        <v>-14.83</v>
      </c>
      <c r="J1078">
        <v>437500</v>
      </c>
      <c r="K1078">
        <v>450500</v>
      </c>
      <c r="L1078">
        <v>387500</v>
      </c>
      <c r="M1078">
        <v>595147</v>
      </c>
      <c r="N1078">
        <v>249232072000</v>
      </c>
      <c r="O1078">
        <v>90732583</v>
      </c>
      <c r="P1078">
        <v>36202300617000</v>
      </c>
    </row>
    <row r="1079" spans="1:16">
      <c r="A1079" t="s">
        <v>51</v>
      </c>
      <c r="B1079">
        <v>20260303</v>
      </c>
      <c r="C1079">
        <v>12330</v>
      </c>
      <c r="D1079" t="s">
        <v>52</v>
      </c>
      <c r="E1079" t="s">
        <v>51</v>
      </c>
      <c r="F1079" t="s">
        <v>17</v>
      </c>
      <c r="G1079">
        <v>468500</v>
      </c>
      <c r="H1079">
        <v>-48500</v>
      </c>
      <c r="I1079">
        <v>-9.3800000000000008</v>
      </c>
      <c r="J1079">
        <v>512000</v>
      </c>
      <c r="K1079">
        <v>520000</v>
      </c>
      <c r="L1079">
        <v>467000</v>
      </c>
      <c r="M1079">
        <v>568767</v>
      </c>
      <c r="N1079">
        <v>278422211000</v>
      </c>
      <c r="O1079">
        <v>90732583</v>
      </c>
      <c r="P1079">
        <v>42508215135500</v>
      </c>
    </row>
    <row r="1080" spans="1:16">
      <c r="A1080" t="s">
        <v>51</v>
      </c>
      <c r="B1080">
        <v>20260227</v>
      </c>
      <c r="C1080">
        <v>12330</v>
      </c>
      <c r="D1080" t="s">
        <v>52</v>
      </c>
      <c r="E1080" t="s">
        <v>51</v>
      </c>
      <c r="F1080" t="s">
        <v>17</v>
      </c>
      <c r="G1080">
        <v>517000</v>
      </c>
      <c r="H1080">
        <v>-12000</v>
      </c>
      <c r="I1080">
        <v>-2.27</v>
      </c>
      <c r="J1080">
        <v>507000</v>
      </c>
      <c r="K1080">
        <v>531000</v>
      </c>
      <c r="L1080">
        <v>492500</v>
      </c>
      <c r="M1080">
        <v>1070764</v>
      </c>
      <c r="N1080">
        <v>549593710750</v>
      </c>
      <c r="O1080">
        <v>90732583</v>
      </c>
      <c r="P1080">
        <v>46908745411000</v>
      </c>
    </row>
    <row r="1081" spans="1:16">
      <c r="A1081" t="s">
        <v>51</v>
      </c>
      <c r="B1081">
        <v>20260226</v>
      </c>
      <c r="C1081">
        <v>12330</v>
      </c>
      <c r="D1081" t="s">
        <v>52</v>
      </c>
      <c r="E1081" t="s">
        <v>51</v>
      </c>
      <c r="F1081" t="s">
        <v>17</v>
      </c>
      <c r="G1081">
        <v>529000</v>
      </c>
      <c r="H1081">
        <v>59500</v>
      </c>
      <c r="I1081">
        <v>12.67</v>
      </c>
      <c r="J1081">
        <v>488000</v>
      </c>
      <c r="K1081">
        <v>531000</v>
      </c>
      <c r="L1081">
        <v>481500</v>
      </c>
      <c r="M1081">
        <v>908063</v>
      </c>
      <c r="N1081">
        <v>459639571000</v>
      </c>
      <c r="O1081">
        <v>90732583</v>
      </c>
      <c r="P1081">
        <v>47997536407000</v>
      </c>
    </row>
    <row r="1082" spans="1:16">
      <c r="A1082" t="s">
        <v>51</v>
      </c>
      <c r="B1082">
        <v>20260225</v>
      </c>
      <c r="C1082">
        <v>12330</v>
      </c>
      <c r="D1082" t="s">
        <v>52</v>
      </c>
      <c r="E1082" t="s">
        <v>51</v>
      </c>
      <c r="F1082" t="s">
        <v>17</v>
      </c>
      <c r="G1082">
        <v>469500</v>
      </c>
      <c r="H1082">
        <v>16500</v>
      </c>
      <c r="I1082">
        <v>3.64</v>
      </c>
      <c r="J1082">
        <v>457000</v>
      </c>
      <c r="K1082">
        <v>475000</v>
      </c>
      <c r="L1082">
        <v>452500</v>
      </c>
      <c r="M1082">
        <v>712489</v>
      </c>
      <c r="N1082">
        <v>332510257500</v>
      </c>
      <c r="O1082">
        <v>90732583</v>
      </c>
      <c r="P1082">
        <v>42598947718500</v>
      </c>
    </row>
    <row r="1083" spans="1:16">
      <c r="A1083" t="s">
        <v>51</v>
      </c>
      <c r="B1083">
        <v>20260224</v>
      </c>
      <c r="C1083">
        <v>12330</v>
      </c>
      <c r="D1083" t="s">
        <v>52</v>
      </c>
      <c r="E1083" t="s">
        <v>51</v>
      </c>
      <c r="F1083" t="s">
        <v>17</v>
      </c>
      <c r="G1083">
        <v>453000</v>
      </c>
      <c r="H1083">
        <v>7500</v>
      </c>
      <c r="I1083">
        <v>1.68</v>
      </c>
      <c r="J1083">
        <v>446000</v>
      </c>
      <c r="K1083">
        <v>453000</v>
      </c>
      <c r="L1083">
        <v>441500</v>
      </c>
      <c r="M1083">
        <v>297925</v>
      </c>
      <c r="N1083">
        <v>134072005250</v>
      </c>
      <c r="O1083">
        <v>90732583</v>
      </c>
      <c r="P1083">
        <v>41101860099000</v>
      </c>
    </row>
    <row r="1084" spans="1:16">
      <c r="A1084" t="s">
        <v>51</v>
      </c>
      <c r="B1084">
        <v>20260223</v>
      </c>
      <c r="C1084">
        <v>12330</v>
      </c>
      <c r="D1084" t="s">
        <v>52</v>
      </c>
      <c r="E1084" t="s">
        <v>51</v>
      </c>
      <c r="F1084" t="s">
        <v>17</v>
      </c>
      <c r="G1084">
        <v>445500</v>
      </c>
      <c r="H1084">
        <v>2500</v>
      </c>
      <c r="I1084">
        <v>0.56000000000000005</v>
      </c>
      <c r="J1084">
        <v>447000</v>
      </c>
      <c r="K1084">
        <v>455500</v>
      </c>
      <c r="L1084">
        <v>441500</v>
      </c>
      <c r="M1084">
        <v>277449</v>
      </c>
      <c r="N1084">
        <v>124060098000</v>
      </c>
      <c r="O1084">
        <v>90732583</v>
      </c>
      <c r="P1084">
        <v>40421365726500</v>
      </c>
    </row>
    <row r="1085" spans="1:16">
      <c r="A1085" t="s">
        <v>51</v>
      </c>
      <c r="B1085">
        <v>20260220</v>
      </c>
      <c r="C1085">
        <v>12330</v>
      </c>
      <c r="D1085" t="s">
        <v>52</v>
      </c>
      <c r="E1085" t="s">
        <v>51</v>
      </c>
      <c r="F1085" t="s">
        <v>17</v>
      </c>
      <c r="G1085">
        <v>443000</v>
      </c>
      <c r="H1085">
        <v>2500</v>
      </c>
      <c r="I1085">
        <v>0.56999999999999995</v>
      </c>
      <c r="J1085">
        <v>441000</v>
      </c>
      <c r="K1085">
        <v>446500</v>
      </c>
      <c r="L1085">
        <v>439500</v>
      </c>
      <c r="M1085">
        <v>223694</v>
      </c>
      <c r="N1085">
        <v>98875577750</v>
      </c>
      <c r="O1085">
        <v>90732583</v>
      </c>
      <c r="P1085">
        <v>40194534269000</v>
      </c>
    </row>
    <row r="1086" spans="1:16">
      <c r="A1086" t="s">
        <v>51</v>
      </c>
      <c r="B1086">
        <v>20260219</v>
      </c>
      <c r="C1086">
        <v>12330</v>
      </c>
      <c r="D1086" t="s">
        <v>52</v>
      </c>
      <c r="E1086" t="s">
        <v>51</v>
      </c>
      <c r="F1086" t="s">
        <v>17</v>
      </c>
      <c r="G1086">
        <v>440500</v>
      </c>
      <c r="H1086">
        <v>5500</v>
      </c>
      <c r="I1086">
        <v>1.26</v>
      </c>
      <c r="J1086">
        <v>437000</v>
      </c>
      <c r="K1086">
        <v>445500</v>
      </c>
      <c r="L1086">
        <v>433000</v>
      </c>
      <c r="M1086">
        <v>297467</v>
      </c>
      <c r="N1086">
        <v>130548343750</v>
      </c>
      <c r="O1086">
        <v>90732583</v>
      </c>
      <c r="P1086">
        <v>39967702811500</v>
      </c>
    </row>
    <row r="1087" spans="1:16">
      <c r="A1087" t="s">
        <v>51</v>
      </c>
      <c r="B1087">
        <v>20260213</v>
      </c>
      <c r="C1087">
        <v>12330</v>
      </c>
      <c r="D1087" t="s">
        <v>52</v>
      </c>
      <c r="E1087" t="s">
        <v>51</v>
      </c>
      <c r="F1087" t="s">
        <v>17</v>
      </c>
      <c r="G1087">
        <v>435000</v>
      </c>
      <c r="H1087">
        <v>-11000</v>
      </c>
      <c r="I1087">
        <v>-2.4700000000000002</v>
      </c>
      <c r="J1087">
        <v>440000</v>
      </c>
      <c r="K1087">
        <v>445500</v>
      </c>
      <c r="L1087">
        <v>434000</v>
      </c>
      <c r="M1087">
        <v>274054</v>
      </c>
      <c r="N1087">
        <v>120003864584</v>
      </c>
      <c r="O1087">
        <v>90732583</v>
      </c>
      <c r="P1087">
        <v>39468673605000</v>
      </c>
    </row>
    <row r="1088" spans="1:16">
      <c r="A1088" t="s">
        <v>51</v>
      </c>
      <c r="B1088">
        <v>20260212</v>
      </c>
      <c r="C1088">
        <v>12330</v>
      </c>
      <c r="D1088" t="s">
        <v>52</v>
      </c>
      <c r="E1088" t="s">
        <v>51</v>
      </c>
      <c r="F1088" t="s">
        <v>17</v>
      </c>
      <c r="G1088">
        <v>446000</v>
      </c>
      <c r="H1088">
        <v>0</v>
      </c>
      <c r="I1088">
        <v>0</v>
      </c>
      <c r="J1088">
        <v>443000</v>
      </c>
      <c r="K1088">
        <v>446000</v>
      </c>
      <c r="L1088">
        <v>436000</v>
      </c>
      <c r="M1088">
        <v>314889</v>
      </c>
      <c r="N1088">
        <v>139534614224</v>
      </c>
      <c r="O1088">
        <v>90732583</v>
      </c>
      <c r="P1088">
        <v>40466732018000</v>
      </c>
    </row>
    <row r="1089" spans="1:16">
      <c r="A1089" t="s">
        <v>51</v>
      </c>
      <c r="B1089">
        <v>20260211</v>
      </c>
      <c r="C1089">
        <v>12330</v>
      </c>
      <c r="D1089" t="s">
        <v>52</v>
      </c>
      <c r="E1089" t="s">
        <v>51</v>
      </c>
      <c r="F1089" t="s">
        <v>17</v>
      </c>
      <c r="G1089">
        <v>446000</v>
      </c>
      <c r="H1089">
        <v>9000</v>
      </c>
      <c r="I1089">
        <v>2.06</v>
      </c>
      <c r="J1089">
        <v>438500</v>
      </c>
      <c r="K1089">
        <v>447500</v>
      </c>
      <c r="L1089">
        <v>434500</v>
      </c>
      <c r="M1089">
        <v>312230</v>
      </c>
      <c r="N1089">
        <v>137992650250</v>
      </c>
      <c r="O1089">
        <v>90732583</v>
      </c>
      <c r="P1089">
        <v>40466732018000</v>
      </c>
    </row>
    <row r="1090" spans="1:16">
      <c r="A1090" t="s">
        <v>51</v>
      </c>
      <c r="B1090">
        <v>20260210</v>
      </c>
      <c r="C1090">
        <v>12330</v>
      </c>
      <c r="D1090" t="s">
        <v>52</v>
      </c>
      <c r="E1090" t="s">
        <v>51</v>
      </c>
      <c r="F1090" t="s">
        <v>17</v>
      </c>
      <c r="G1090">
        <v>437000</v>
      </c>
      <c r="H1090">
        <v>2000</v>
      </c>
      <c r="I1090">
        <v>0.46</v>
      </c>
      <c r="J1090">
        <v>446000</v>
      </c>
      <c r="K1090">
        <v>448000</v>
      </c>
      <c r="L1090">
        <v>434000</v>
      </c>
      <c r="M1090">
        <v>219665</v>
      </c>
      <c r="N1090">
        <v>96297856572</v>
      </c>
      <c r="O1090">
        <v>90732583</v>
      </c>
      <c r="P1090">
        <v>39650138771000</v>
      </c>
    </row>
    <row r="1091" spans="1:16">
      <c r="A1091" t="s">
        <v>51</v>
      </c>
      <c r="B1091">
        <v>20260209</v>
      </c>
      <c r="C1091">
        <v>12330</v>
      </c>
      <c r="D1091" t="s">
        <v>52</v>
      </c>
      <c r="E1091" t="s">
        <v>51</v>
      </c>
      <c r="F1091" t="s">
        <v>17</v>
      </c>
      <c r="G1091">
        <v>435000</v>
      </c>
      <c r="H1091">
        <v>9000</v>
      </c>
      <c r="I1091">
        <v>2.11</v>
      </c>
      <c r="J1091">
        <v>437000</v>
      </c>
      <c r="K1091">
        <v>438000</v>
      </c>
      <c r="L1091">
        <v>428000</v>
      </c>
      <c r="M1091">
        <v>244335</v>
      </c>
      <c r="N1091">
        <v>105930301250</v>
      </c>
      <c r="O1091">
        <v>90732583</v>
      </c>
      <c r="P1091">
        <v>39468673605000</v>
      </c>
    </row>
    <row r="1092" spans="1:16">
      <c r="A1092" t="s">
        <v>51</v>
      </c>
      <c r="B1092">
        <v>20260206</v>
      </c>
      <c r="C1092">
        <v>12330</v>
      </c>
      <c r="D1092" t="s">
        <v>52</v>
      </c>
      <c r="E1092" t="s">
        <v>51</v>
      </c>
      <c r="F1092" t="s">
        <v>17</v>
      </c>
      <c r="G1092">
        <v>426000</v>
      </c>
      <c r="H1092">
        <v>-7500</v>
      </c>
      <c r="I1092">
        <v>-1.73</v>
      </c>
      <c r="J1092">
        <v>417500</v>
      </c>
      <c r="K1092">
        <v>426000</v>
      </c>
      <c r="L1092">
        <v>406000</v>
      </c>
      <c r="M1092">
        <v>365979</v>
      </c>
      <c r="N1092">
        <v>152889305250</v>
      </c>
      <c r="O1092">
        <v>90732583</v>
      </c>
      <c r="P1092">
        <v>38652080358000</v>
      </c>
    </row>
    <row r="1093" spans="1:16">
      <c r="A1093" t="s">
        <v>51</v>
      </c>
      <c r="B1093">
        <v>20260205</v>
      </c>
      <c r="C1093">
        <v>12330</v>
      </c>
      <c r="D1093" t="s">
        <v>52</v>
      </c>
      <c r="E1093" t="s">
        <v>51</v>
      </c>
      <c r="F1093" t="s">
        <v>17</v>
      </c>
      <c r="G1093">
        <v>433500</v>
      </c>
      <c r="H1093">
        <v>-15000</v>
      </c>
      <c r="I1093">
        <v>-3.34</v>
      </c>
      <c r="J1093">
        <v>436500</v>
      </c>
      <c r="K1093">
        <v>447000</v>
      </c>
      <c r="L1093">
        <v>426000</v>
      </c>
      <c r="M1093">
        <v>326087</v>
      </c>
      <c r="N1093">
        <v>141896087000</v>
      </c>
      <c r="O1093">
        <v>90732583</v>
      </c>
      <c r="P1093">
        <v>39332574730500</v>
      </c>
    </row>
    <row r="1094" spans="1:16">
      <c r="A1094" t="s">
        <v>51</v>
      </c>
      <c r="B1094">
        <v>20260204</v>
      </c>
      <c r="C1094">
        <v>12330</v>
      </c>
      <c r="D1094" t="s">
        <v>52</v>
      </c>
      <c r="E1094" t="s">
        <v>51</v>
      </c>
      <c r="F1094" t="s">
        <v>17</v>
      </c>
      <c r="G1094">
        <v>448500</v>
      </c>
      <c r="H1094">
        <v>4000</v>
      </c>
      <c r="I1094">
        <v>0.9</v>
      </c>
      <c r="J1094">
        <v>447000</v>
      </c>
      <c r="K1094">
        <v>455000</v>
      </c>
      <c r="L1094">
        <v>442000</v>
      </c>
      <c r="M1094">
        <v>287368</v>
      </c>
      <c r="N1094">
        <v>128231619500</v>
      </c>
      <c r="O1094">
        <v>90732583</v>
      </c>
      <c r="P1094">
        <v>40693563475500</v>
      </c>
    </row>
    <row r="1095" spans="1:16">
      <c r="A1095" t="s">
        <v>51</v>
      </c>
      <c r="B1095">
        <v>20260203</v>
      </c>
      <c r="C1095">
        <v>12330</v>
      </c>
      <c r="D1095" t="s">
        <v>52</v>
      </c>
      <c r="E1095" t="s">
        <v>51</v>
      </c>
      <c r="F1095" t="s">
        <v>17</v>
      </c>
      <c r="G1095">
        <v>444500</v>
      </c>
      <c r="H1095">
        <v>8500</v>
      </c>
      <c r="I1095">
        <v>1.95</v>
      </c>
      <c r="J1095">
        <v>435000</v>
      </c>
      <c r="K1095">
        <v>447000</v>
      </c>
      <c r="L1095">
        <v>429500</v>
      </c>
      <c r="M1095">
        <v>361268</v>
      </c>
      <c r="N1095">
        <v>158586185500</v>
      </c>
      <c r="O1095">
        <v>90732583</v>
      </c>
      <c r="P1095">
        <v>40330633143500</v>
      </c>
    </row>
    <row r="1096" spans="1:16">
      <c r="A1096" t="s">
        <v>51</v>
      </c>
      <c r="B1096">
        <v>20260202</v>
      </c>
      <c r="C1096">
        <v>12330</v>
      </c>
      <c r="D1096" t="s">
        <v>52</v>
      </c>
      <c r="E1096" t="s">
        <v>51</v>
      </c>
      <c r="F1096" t="s">
        <v>17</v>
      </c>
      <c r="G1096">
        <v>436000</v>
      </c>
      <c r="H1096">
        <v>-13000</v>
      </c>
      <c r="I1096">
        <v>-2.9</v>
      </c>
      <c r="J1096">
        <v>440000</v>
      </c>
      <c r="K1096">
        <v>455500</v>
      </c>
      <c r="L1096">
        <v>432000</v>
      </c>
      <c r="M1096">
        <v>404323</v>
      </c>
      <c r="N1096">
        <v>178682350500</v>
      </c>
      <c r="O1096">
        <v>90732583</v>
      </c>
      <c r="P1096">
        <v>39559406188000</v>
      </c>
    </row>
    <row r="1097" spans="1:16">
      <c r="A1097" t="s">
        <v>51</v>
      </c>
      <c r="B1097">
        <v>20260130</v>
      </c>
      <c r="C1097">
        <v>12330</v>
      </c>
      <c r="D1097" t="s">
        <v>52</v>
      </c>
      <c r="E1097" t="s">
        <v>51</v>
      </c>
      <c r="F1097" t="s">
        <v>17</v>
      </c>
      <c r="G1097">
        <v>449000</v>
      </c>
      <c r="H1097">
        <v>-8000</v>
      </c>
      <c r="I1097">
        <v>-1.75</v>
      </c>
      <c r="J1097">
        <v>450500</v>
      </c>
      <c r="K1097">
        <v>456000</v>
      </c>
      <c r="L1097">
        <v>443500</v>
      </c>
      <c r="M1097">
        <v>389855</v>
      </c>
      <c r="N1097">
        <v>175397017500</v>
      </c>
      <c r="O1097">
        <v>90732583</v>
      </c>
      <c r="P1097">
        <v>40738929767000</v>
      </c>
    </row>
    <row r="1098" spans="1:16">
      <c r="A1098" t="s">
        <v>51</v>
      </c>
      <c r="B1098">
        <v>20260129</v>
      </c>
      <c r="C1098">
        <v>12330</v>
      </c>
      <c r="D1098" t="s">
        <v>52</v>
      </c>
      <c r="E1098" t="s">
        <v>51</v>
      </c>
      <c r="F1098" t="s">
        <v>17</v>
      </c>
      <c r="G1098">
        <v>457000</v>
      </c>
      <c r="H1098">
        <v>10000</v>
      </c>
      <c r="I1098">
        <v>2.2400000000000002</v>
      </c>
      <c r="J1098">
        <v>450500</v>
      </c>
      <c r="K1098">
        <v>460500</v>
      </c>
      <c r="L1098">
        <v>446500</v>
      </c>
      <c r="M1098">
        <v>677223</v>
      </c>
      <c r="N1098">
        <v>307678170250</v>
      </c>
      <c r="O1098">
        <v>90732583</v>
      </c>
      <c r="P1098">
        <v>41464790431000</v>
      </c>
    </row>
    <row r="1099" spans="1:16">
      <c r="A1099" t="s">
        <v>51</v>
      </c>
      <c r="B1099">
        <v>20260128</v>
      </c>
      <c r="C1099">
        <v>12330</v>
      </c>
      <c r="D1099" t="s">
        <v>52</v>
      </c>
      <c r="E1099" t="s">
        <v>51</v>
      </c>
      <c r="F1099" t="s">
        <v>17</v>
      </c>
      <c r="G1099">
        <v>447000</v>
      </c>
      <c r="H1099">
        <v>-13000</v>
      </c>
      <c r="I1099">
        <v>-2.83</v>
      </c>
      <c r="J1099">
        <v>466000</v>
      </c>
      <c r="K1099">
        <v>468250</v>
      </c>
      <c r="L1099">
        <v>446000</v>
      </c>
      <c r="M1099">
        <v>586775</v>
      </c>
      <c r="N1099">
        <v>266017104000</v>
      </c>
      <c r="O1099">
        <v>90732583</v>
      </c>
      <c r="P1099">
        <v>40557464601000</v>
      </c>
    </row>
    <row r="1100" spans="1:16">
      <c r="A1100" t="s">
        <v>51</v>
      </c>
      <c r="B1100">
        <v>20260127</v>
      </c>
      <c r="C1100">
        <v>12330</v>
      </c>
      <c r="D1100" t="s">
        <v>52</v>
      </c>
      <c r="E1100" t="s">
        <v>51</v>
      </c>
      <c r="F1100" t="s">
        <v>17</v>
      </c>
      <c r="G1100">
        <v>460000</v>
      </c>
      <c r="H1100">
        <v>-5500</v>
      </c>
      <c r="I1100">
        <v>-1.18</v>
      </c>
      <c r="J1100">
        <v>441500</v>
      </c>
      <c r="K1100">
        <v>467000</v>
      </c>
      <c r="L1100">
        <v>439000</v>
      </c>
      <c r="M1100">
        <v>529631</v>
      </c>
      <c r="N1100">
        <v>241658589250</v>
      </c>
      <c r="O1100">
        <v>90732583</v>
      </c>
      <c r="P1100">
        <v>41736988180000</v>
      </c>
    </row>
    <row r="1101" spans="1:16">
      <c r="A1101" t="s">
        <v>51</v>
      </c>
      <c r="B1101">
        <v>20260126</v>
      </c>
      <c r="C1101">
        <v>12330</v>
      </c>
      <c r="D1101" t="s">
        <v>52</v>
      </c>
      <c r="E1101" t="s">
        <v>51</v>
      </c>
      <c r="F1101" t="s">
        <v>17</v>
      </c>
      <c r="G1101">
        <v>465500</v>
      </c>
      <c r="H1101">
        <v>8000</v>
      </c>
      <c r="I1101">
        <v>1.75</v>
      </c>
      <c r="J1101">
        <v>460500</v>
      </c>
      <c r="K1101">
        <v>476000</v>
      </c>
      <c r="L1101">
        <v>456000</v>
      </c>
      <c r="M1101">
        <v>523224</v>
      </c>
      <c r="N1101">
        <v>243577659000</v>
      </c>
      <c r="O1101">
        <v>90732583</v>
      </c>
      <c r="P1101">
        <v>42236017386500</v>
      </c>
    </row>
    <row r="1102" spans="1:16">
      <c r="A1102" t="s">
        <v>51</v>
      </c>
      <c r="B1102">
        <v>20260123</v>
      </c>
      <c r="C1102">
        <v>12330</v>
      </c>
      <c r="D1102" t="s">
        <v>52</v>
      </c>
      <c r="E1102" t="s">
        <v>51</v>
      </c>
      <c r="F1102" t="s">
        <v>17</v>
      </c>
      <c r="G1102">
        <v>457500</v>
      </c>
      <c r="H1102">
        <v>4000</v>
      </c>
      <c r="I1102">
        <v>0.88</v>
      </c>
      <c r="J1102">
        <v>447000</v>
      </c>
      <c r="K1102">
        <v>466500</v>
      </c>
      <c r="L1102">
        <v>444000</v>
      </c>
      <c r="M1102">
        <v>637298</v>
      </c>
      <c r="N1102">
        <v>290593228750</v>
      </c>
      <c r="O1102">
        <v>90732583</v>
      </c>
      <c r="P1102">
        <v>41510156722500</v>
      </c>
    </row>
    <row r="1103" spans="1:16">
      <c r="A1103" t="s">
        <v>51</v>
      </c>
      <c r="B1103">
        <v>20260122</v>
      </c>
      <c r="C1103">
        <v>12330</v>
      </c>
      <c r="D1103" t="s">
        <v>52</v>
      </c>
      <c r="E1103" t="s">
        <v>51</v>
      </c>
      <c r="F1103" t="s">
        <v>17</v>
      </c>
      <c r="G1103">
        <v>453500</v>
      </c>
      <c r="H1103">
        <v>-34000</v>
      </c>
      <c r="I1103">
        <v>-6.97</v>
      </c>
      <c r="J1103">
        <v>497000</v>
      </c>
      <c r="K1103">
        <v>499500</v>
      </c>
      <c r="L1103">
        <v>451500</v>
      </c>
      <c r="M1103">
        <v>1272206</v>
      </c>
      <c r="N1103">
        <v>595746361250</v>
      </c>
      <c r="O1103">
        <v>90732583</v>
      </c>
      <c r="P1103">
        <v>41147226390500</v>
      </c>
    </row>
    <row r="1104" spans="1:16">
      <c r="A1104" t="s">
        <v>51</v>
      </c>
      <c r="B1104">
        <v>20260121</v>
      </c>
      <c r="C1104">
        <v>12330</v>
      </c>
      <c r="D1104" t="s">
        <v>52</v>
      </c>
      <c r="E1104" t="s">
        <v>51</v>
      </c>
      <c r="F1104" t="s">
        <v>17</v>
      </c>
      <c r="G1104">
        <v>487500</v>
      </c>
      <c r="H1104">
        <v>36500</v>
      </c>
      <c r="I1104">
        <v>8.09</v>
      </c>
      <c r="J1104">
        <v>435500</v>
      </c>
      <c r="K1104">
        <v>491000</v>
      </c>
      <c r="L1104">
        <v>434500</v>
      </c>
      <c r="M1104">
        <v>1202269</v>
      </c>
      <c r="N1104">
        <v>570109803750</v>
      </c>
      <c r="O1104">
        <v>90732583</v>
      </c>
      <c r="P1104">
        <v>44232134212500</v>
      </c>
    </row>
    <row r="1105" spans="1:16">
      <c r="A1105" t="s">
        <v>51</v>
      </c>
      <c r="B1105">
        <v>20260120</v>
      </c>
      <c r="C1105">
        <v>12330</v>
      </c>
      <c r="D1105" t="s">
        <v>52</v>
      </c>
      <c r="E1105" t="s">
        <v>51</v>
      </c>
      <c r="F1105" t="s">
        <v>17</v>
      </c>
      <c r="G1105">
        <v>451000</v>
      </c>
      <c r="H1105">
        <v>-6500</v>
      </c>
      <c r="I1105">
        <v>-1.42</v>
      </c>
      <c r="J1105">
        <v>461000</v>
      </c>
      <c r="K1105">
        <v>474000</v>
      </c>
      <c r="L1105">
        <v>439000</v>
      </c>
      <c r="M1105">
        <v>531236</v>
      </c>
      <c r="N1105">
        <v>238563896500</v>
      </c>
      <c r="O1105">
        <v>90732583</v>
      </c>
      <c r="P1105">
        <v>40920394933000</v>
      </c>
    </row>
    <row r="1106" spans="1:16">
      <c r="A1106" t="s">
        <v>51</v>
      </c>
      <c r="B1106">
        <v>20260119</v>
      </c>
      <c r="C1106">
        <v>12330</v>
      </c>
      <c r="D1106" t="s">
        <v>52</v>
      </c>
      <c r="E1106" t="s">
        <v>51</v>
      </c>
      <c r="F1106" t="s">
        <v>17</v>
      </c>
      <c r="G1106">
        <v>457500</v>
      </c>
      <c r="H1106">
        <v>26500</v>
      </c>
      <c r="I1106">
        <v>6.15</v>
      </c>
      <c r="J1106">
        <v>431500</v>
      </c>
      <c r="K1106">
        <v>462500</v>
      </c>
      <c r="L1106">
        <v>430000</v>
      </c>
      <c r="M1106">
        <v>761480</v>
      </c>
      <c r="N1106">
        <v>343186315000</v>
      </c>
      <c r="O1106">
        <v>90732583</v>
      </c>
      <c r="P1106">
        <v>41510156722500</v>
      </c>
    </row>
    <row r="1107" spans="1:16">
      <c r="A1107" t="s">
        <v>51</v>
      </c>
      <c r="B1107">
        <v>20260116</v>
      </c>
      <c r="C1107">
        <v>12330</v>
      </c>
      <c r="D1107" t="s">
        <v>52</v>
      </c>
      <c r="E1107" t="s">
        <v>51</v>
      </c>
      <c r="F1107" t="s">
        <v>17</v>
      </c>
      <c r="G1107">
        <v>431000</v>
      </c>
      <c r="H1107">
        <v>-19500</v>
      </c>
      <c r="I1107">
        <v>-4.33</v>
      </c>
      <c r="J1107">
        <v>449000</v>
      </c>
      <c r="K1107">
        <v>449500</v>
      </c>
      <c r="L1107">
        <v>428500</v>
      </c>
      <c r="M1107">
        <v>648235</v>
      </c>
      <c r="N1107">
        <v>283804821750</v>
      </c>
      <c r="O1107">
        <v>90732583</v>
      </c>
      <c r="P1107">
        <v>39105743273000</v>
      </c>
    </row>
    <row r="1108" spans="1:16">
      <c r="A1108" t="s">
        <v>51</v>
      </c>
      <c r="B1108">
        <v>20260115</v>
      </c>
      <c r="C1108">
        <v>12330</v>
      </c>
      <c r="D1108" t="s">
        <v>52</v>
      </c>
      <c r="E1108" t="s">
        <v>51</v>
      </c>
      <c r="F1108" t="s">
        <v>17</v>
      </c>
      <c r="G1108">
        <v>450500</v>
      </c>
      <c r="H1108">
        <v>500</v>
      </c>
      <c r="I1108">
        <v>0.11</v>
      </c>
      <c r="J1108">
        <v>444000</v>
      </c>
      <c r="K1108">
        <v>459000</v>
      </c>
      <c r="L1108">
        <v>440500</v>
      </c>
      <c r="M1108">
        <v>606056</v>
      </c>
      <c r="N1108">
        <v>272740685000</v>
      </c>
      <c r="O1108">
        <v>90732583</v>
      </c>
      <c r="P1108">
        <v>40875028641500</v>
      </c>
    </row>
    <row r="1109" spans="1:16">
      <c r="A1109" t="s">
        <v>51</v>
      </c>
      <c r="B1109">
        <v>20260114</v>
      </c>
      <c r="C1109">
        <v>12330</v>
      </c>
      <c r="D1109" t="s">
        <v>52</v>
      </c>
      <c r="E1109" t="s">
        <v>51</v>
      </c>
      <c r="F1109" t="s">
        <v>17</v>
      </c>
      <c r="G1109">
        <v>450000</v>
      </c>
      <c r="H1109">
        <v>-1000</v>
      </c>
      <c r="I1109">
        <v>-0.22</v>
      </c>
      <c r="J1109">
        <v>448000</v>
      </c>
      <c r="K1109">
        <v>453000</v>
      </c>
      <c r="L1109">
        <v>433000</v>
      </c>
      <c r="M1109">
        <v>672126</v>
      </c>
      <c r="N1109">
        <v>298772895000</v>
      </c>
      <c r="O1109">
        <v>90732583</v>
      </c>
      <c r="P1109">
        <v>40829662350000</v>
      </c>
    </row>
    <row r="1110" spans="1:16">
      <c r="A1110" t="s">
        <v>51</v>
      </c>
      <c r="B1110">
        <v>20260113</v>
      </c>
      <c r="C1110">
        <v>12330</v>
      </c>
      <c r="D1110" t="s">
        <v>52</v>
      </c>
      <c r="E1110" t="s">
        <v>51</v>
      </c>
      <c r="F1110" t="s">
        <v>17</v>
      </c>
      <c r="G1110">
        <v>451000</v>
      </c>
      <c r="H1110">
        <v>57000</v>
      </c>
      <c r="I1110">
        <v>14.47</v>
      </c>
      <c r="J1110">
        <v>402500</v>
      </c>
      <c r="K1110">
        <v>468500</v>
      </c>
      <c r="L1110">
        <v>402000</v>
      </c>
      <c r="M1110">
        <v>1659185</v>
      </c>
      <c r="N1110">
        <v>738790448500</v>
      </c>
      <c r="O1110">
        <v>90732583</v>
      </c>
      <c r="P1110">
        <v>40920394933000</v>
      </c>
    </row>
    <row r="1111" spans="1:16">
      <c r="A1111" t="s">
        <v>51</v>
      </c>
      <c r="B1111">
        <v>20260112</v>
      </c>
      <c r="C1111">
        <v>12330</v>
      </c>
      <c r="D1111" t="s">
        <v>52</v>
      </c>
      <c r="E1111" t="s">
        <v>51</v>
      </c>
      <c r="F1111" t="s">
        <v>17</v>
      </c>
      <c r="G1111">
        <v>394000</v>
      </c>
      <c r="H1111">
        <v>-5500</v>
      </c>
      <c r="I1111">
        <v>-1.38</v>
      </c>
      <c r="J1111">
        <v>418000</v>
      </c>
      <c r="K1111">
        <v>418000</v>
      </c>
      <c r="L1111">
        <v>389500</v>
      </c>
      <c r="M1111">
        <v>585772</v>
      </c>
      <c r="N1111">
        <v>233669989000</v>
      </c>
      <c r="O1111">
        <v>90732583</v>
      </c>
      <c r="P1111">
        <v>35748637702000</v>
      </c>
    </row>
    <row r="1112" spans="1:16">
      <c r="A1112" t="s">
        <v>51</v>
      </c>
      <c r="B1112">
        <v>20260109</v>
      </c>
      <c r="C1112">
        <v>12330</v>
      </c>
      <c r="D1112" t="s">
        <v>52</v>
      </c>
      <c r="E1112" t="s">
        <v>51</v>
      </c>
      <c r="F1112" t="s">
        <v>17</v>
      </c>
      <c r="G1112">
        <v>399500</v>
      </c>
      <c r="H1112">
        <v>8500</v>
      </c>
      <c r="I1112">
        <v>2.17</v>
      </c>
      <c r="J1112">
        <v>399500</v>
      </c>
      <c r="K1112">
        <v>402500</v>
      </c>
      <c r="L1112">
        <v>382500</v>
      </c>
      <c r="M1112">
        <v>517573</v>
      </c>
      <c r="N1112">
        <v>204078696017</v>
      </c>
      <c r="O1112">
        <v>90732583</v>
      </c>
      <c r="P1112">
        <v>36247666908500</v>
      </c>
    </row>
    <row r="1113" spans="1:16">
      <c r="A1113" t="s">
        <v>51</v>
      </c>
      <c r="B1113">
        <v>20260108</v>
      </c>
      <c r="C1113">
        <v>12330</v>
      </c>
      <c r="D1113" t="s">
        <v>52</v>
      </c>
      <c r="E1113" t="s">
        <v>51</v>
      </c>
      <c r="F1113" t="s">
        <v>17</v>
      </c>
      <c r="G1113">
        <v>391000</v>
      </c>
      <c r="H1113">
        <v>-1500</v>
      </c>
      <c r="I1113">
        <v>-0.38</v>
      </c>
      <c r="J1113">
        <v>404500</v>
      </c>
      <c r="K1113">
        <v>404500</v>
      </c>
      <c r="L1113">
        <v>390000</v>
      </c>
      <c r="M1113">
        <v>470773</v>
      </c>
      <c r="N1113">
        <v>185750899750</v>
      </c>
      <c r="O1113">
        <v>90732583</v>
      </c>
      <c r="P1113">
        <v>35476439953000</v>
      </c>
    </row>
    <row r="1114" spans="1:16">
      <c r="A1114" t="s">
        <v>51</v>
      </c>
      <c r="B1114">
        <v>20260107</v>
      </c>
      <c r="C1114">
        <v>12330</v>
      </c>
      <c r="D1114" t="s">
        <v>52</v>
      </c>
      <c r="E1114" t="s">
        <v>51</v>
      </c>
      <c r="F1114" t="s">
        <v>17</v>
      </c>
      <c r="G1114">
        <v>392500</v>
      </c>
      <c r="H1114">
        <v>26500</v>
      </c>
      <c r="I1114">
        <v>7.24</v>
      </c>
      <c r="J1114">
        <v>368000</v>
      </c>
      <c r="K1114">
        <v>403500</v>
      </c>
      <c r="L1114">
        <v>367000</v>
      </c>
      <c r="M1114">
        <v>983557</v>
      </c>
      <c r="N1114">
        <v>384448818750</v>
      </c>
      <c r="O1114">
        <v>90732583</v>
      </c>
      <c r="P1114">
        <v>35612538827500</v>
      </c>
    </row>
    <row r="1115" spans="1:16">
      <c r="A1115" t="s">
        <v>51</v>
      </c>
      <c r="B1115">
        <v>20260106</v>
      </c>
      <c r="C1115">
        <v>12330</v>
      </c>
      <c r="D1115" t="s">
        <v>52</v>
      </c>
      <c r="E1115" t="s">
        <v>51</v>
      </c>
      <c r="F1115" t="s">
        <v>17</v>
      </c>
      <c r="G1115">
        <v>366000</v>
      </c>
      <c r="H1115">
        <v>-6000</v>
      </c>
      <c r="I1115">
        <v>-1.61</v>
      </c>
      <c r="J1115">
        <v>380500</v>
      </c>
      <c r="K1115">
        <v>390000</v>
      </c>
      <c r="L1115">
        <v>363000</v>
      </c>
      <c r="M1115">
        <v>614394</v>
      </c>
      <c r="N1115">
        <v>228852219250</v>
      </c>
      <c r="O1115">
        <v>90732583</v>
      </c>
      <c r="P1115">
        <v>33208125378000</v>
      </c>
    </row>
    <row r="1116" spans="1:16">
      <c r="A1116" t="s">
        <v>51</v>
      </c>
      <c r="B1116">
        <v>20260105</v>
      </c>
      <c r="C1116">
        <v>12330</v>
      </c>
      <c r="D1116" t="s">
        <v>52</v>
      </c>
      <c r="E1116" t="s">
        <v>51</v>
      </c>
      <c r="F1116" t="s">
        <v>17</v>
      </c>
      <c r="G1116">
        <v>372000</v>
      </c>
      <c r="H1116">
        <v>3000</v>
      </c>
      <c r="I1116">
        <v>0.81</v>
      </c>
      <c r="J1116">
        <v>371000</v>
      </c>
      <c r="K1116">
        <v>382500</v>
      </c>
      <c r="L1116">
        <v>367000</v>
      </c>
      <c r="M1116">
        <v>239154</v>
      </c>
      <c r="N1116">
        <v>89261356500</v>
      </c>
      <c r="O1116">
        <v>90732583</v>
      </c>
      <c r="P1116">
        <v>33752520876000</v>
      </c>
    </row>
    <row r="1117" spans="1:16">
      <c r="A1117" t="s">
        <v>51</v>
      </c>
      <c r="B1117">
        <v>20260102</v>
      </c>
      <c r="C1117">
        <v>12330</v>
      </c>
      <c r="D1117" t="s">
        <v>52</v>
      </c>
      <c r="E1117" t="s">
        <v>51</v>
      </c>
      <c r="F1117" t="s">
        <v>17</v>
      </c>
      <c r="G1117">
        <v>369000</v>
      </c>
      <c r="H1117">
        <v>-4000</v>
      </c>
      <c r="I1117">
        <v>-1.07</v>
      </c>
      <c r="J1117">
        <v>374000</v>
      </c>
      <c r="K1117">
        <v>385000</v>
      </c>
      <c r="L1117">
        <v>365000</v>
      </c>
      <c r="M1117">
        <v>230839</v>
      </c>
      <c r="N1117">
        <v>85769522500</v>
      </c>
      <c r="O1117">
        <v>90732583</v>
      </c>
      <c r="P1117">
        <v>33480323127000</v>
      </c>
    </row>
    <row r="1118" spans="1:16">
      <c r="A1118" t="s">
        <v>53</v>
      </c>
      <c r="B1118">
        <v>20260403</v>
      </c>
      <c r="C1118">
        <v>6800</v>
      </c>
      <c r="D1118" t="s">
        <v>54</v>
      </c>
      <c r="E1118" t="s">
        <v>53</v>
      </c>
      <c r="F1118" t="s">
        <v>17</v>
      </c>
      <c r="G1118">
        <v>63100</v>
      </c>
      <c r="H1118">
        <v>1500</v>
      </c>
      <c r="I1118">
        <v>2.44</v>
      </c>
      <c r="J1118">
        <v>64000</v>
      </c>
      <c r="K1118">
        <v>65100</v>
      </c>
      <c r="L1118">
        <v>62300</v>
      </c>
      <c r="M1118">
        <v>2222259</v>
      </c>
      <c r="N1118">
        <v>141298775750</v>
      </c>
      <c r="O1118">
        <v>555316408</v>
      </c>
      <c r="P1118">
        <v>35040465344800</v>
      </c>
    </row>
    <row r="1119" spans="1:16">
      <c r="A1119" t="s">
        <v>53</v>
      </c>
      <c r="B1119">
        <v>20260402</v>
      </c>
      <c r="C1119">
        <v>6800</v>
      </c>
      <c r="D1119" t="s">
        <v>54</v>
      </c>
      <c r="E1119" t="s">
        <v>53</v>
      </c>
      <c r="F1119" t="s">
        <v>17</v>
      </c>
      <c r="G1119">
        <v>61600</v>
      </c>
      <c r="H1119">
        <v>-5000</v>
      </c>
      <c r="I1119">
        <v>-7.51</v>
      </c>
      <c r="J1119">
        <v>67700</v>
      </c>
      <c r="K1119">
        <v>68000</v>
      </c>
      <c r="L1119">
        <v>60800</v>
      </c>
      <c r="M1119">
        <v>3747624</v>
      </c>
      <c r="N1119">
        <v>238143386750</v>
      </c>
      <c r="O1119">
        <v>555316408</v>
      </c>
      <c r="P1119">
        <v>34207490732800</v>
      </c>
    </row>
    <row r="1120" spans="1:16">
      <c r="A1120" t="s">
        <v>53</v>
      </c>
      <c r="B1120">
        <v>20260401</v>
      </c>
      <c r="C1120">
        <v>6800</v>
      </c>
      <c r="D1120" t="s">
        <v>54</v>
      </c>
      <c r="E1120" t="s">
        <v>53</v>
      </c>
      <c r="F1120" t="s">
        <v>17</v>
      </c>
      <c r="G1120">
        <v>66600</v>
      </c>
      <c r="H1120">
        <v>5000</v>
      </c>
      <c r="I1120">
        <v>8.1199999999999992</v>
      </c>
      <c r="J1120">
        <v>65000</v>
      </c>
      <c r="K1120">
        <v>68300</v>
      </c>
      <c r="L1120">
        <v>64300</v>
      </c>
      <c r="M1120">
        <v>3425693</v>
      </c>
      <c r="N1120">
        <v>228528828800</v>
      </c>
      <c r="O1120">
        <v>555316408</v>
      </c>
      <c r="P1120">
        <v>36984072772800</v>
      </c>
    </row>
    <row r="1121" spans="1:16">
      <c r="A1121" t="s">
        <v>53</v>
      </c>
      <c r="B1121">
        <v>20260331</v>
      </c>
      <c r="C1121">
        <v>6800</v>
      </c>
      <c r="D1121" t="s">
        <v>54</v>
      </c>
      <c r="E1121" t="s">
        <v>53</v>
      </c>
      <c r="F1121" t="s">
        <v>17</v>
      </c>
      <c r="G1121">
        <v>61600</v>
      </c>
      <c r="H1121">
        <v>-1100</v>
      </c>
      <c r="I1121">
        <v>-1.75</v>
      </c>
      <c r="J1121">
        <v>60900</v>
      </c>
      <c r="K1121">
        <v>63500</v>
      </c>
      <c r="L1121">
        <v>60700</v>
      </c>
      <c r="M1121">
        <v>2624633</v>
      </c>
      <c r="N1121">
        <v>162369061650</v>
      </c>
      <c r="O1121">
        <v>555316408</v>
      </c>
      <c r="P1121">
        <v>34207490732800</v>
      </c>
    </row>
    <row r="1122" spans="1:16">
      <c r="A1122" t="s">
        <v>53</v>
      </c>
      <c r="B1122">
        <v>20260330</v>
      </c>
      <c r="C1122">
        <v>6800</v>
      </c>
      <c r="D1122" t="s">
        <v>54</v>
      </c>
      <c r="E1122" t="s">
        <v>53</v>
      </c>
      <c r="F1122" t="s">
        <v>17</v>
      </c>
      <c r="G1122">
        <v>62700</v>
      </c>
      <c r="H1122">
        <v>-4400</v>
      </c>
      <c r="I1122">
        <v>-6.56</v>
      </c>
      <c r="J1122">
        <v>63100</v>
      </c>
      <c r="K1122">
        <v>63800</v>
      </c>
      <c r="L1122">
        <v>62100</v>
      </c>
      <c r="M1122">
        <v>1861721</v>
      </c>
      <c r="N1122">
        <v>117079469250</v>
      </c>
      <c r="O1122">
        <v>555316408</v>
      </c>
      <c r="P1122">
        <v>34818338781600</v>
      </c>
    </row>
    <row r="1123" spans="1:16">
      <c r="A1123" t="s">
        <v>53</v>
      </c>
      <c r="B1123">
        <v>20260327</v>
      </c>
      <c r="C1123">
        <v>6800</v>
      </c>
      <c r="D1123" t="s">
        <v>54</v>
      </c>
      <c r="E1123" t="s">
        <v>53</v>
      </c>
      <c r="F1123" t="s">
        <v>17</v>
      </c>
      <c r="G1123">
        <v>67100</v>
      </c>
      <c r="H1123">
        <v>1800</v>
      </c>
      <c r="I1123">
        <v>2.76</v>
      </c>
      <c r="J1123">
        <v>63200</v>
      </c>
      <c r="K1123">
        <v>67200</v>
      </c>
      <c r="L1123">
        <v>62400</v>
      </c>
      <c r="M1123">
        <v>2969987</v>
      </c>
      <c r="N1123">
        <v>193952002900</v>
      </c>
      <c r="O1123">
        <v>555316408</v>
      </c>
      <c r="P1123">
        <v>37261730976800</v>
      </c>
    </row>
    <row r="1124" spans="1:16">
      <c r="A1124" t="s">
        <v>53</v>
      </c>
      <c r="B1124">
        <v>20260326</v>
      </c>
      <c r="C1124">
        <v>6800</v>
      </c>
      <c r="D1124" t="s">
        <v>54</v>
      </c>
      <c r="E1124" t="s">
        <v>53</v>
      </c>
      <c r="F1124" t="s">
        <v>17</v>
      </c>
      <c r="G1124">
        <v>65300</v>
      </c>
      <c r="H1124">
        <v>-2000</v>
      </c>
      <c r="I1124">
        <v>-2.97</v>
      </c>
      <c r="J1124">
        <v>69700</v>
      </c>
      <c r="K1124">
        <v>69800</v>
      </c>
      <c r="L1124">
        <v>65100</v>
      </c>
      <c r="M1124">
        <v>3636452</v>
      </c>
      <c r="N1124">
        <v>243876143950</v>
      </c>
      <c r="O1124">
        <v>555316408</v>
      </c>
      <c r="P1124">
        <v>36262161442400</v>
      </c>
    </row>
    <row r="1125" spans="1:16">
      <c r="A1125" t="s">
        <v>53</v>
      </c>
      <c r="B1125">
        <v>20260325</v>
      </c>
      <c r="C1125">
        <v>6800</v>
      </c>
      <c r="D1125" t="s">
        <v>54</v>
      </c>
      <c r="E1125" t="s">
        <v>53</v>
      </c>
      <c r="F1125" t="s">
        <v>17</v>
      </c>
      <c r="G1125">
        <v>67300</v>
      </c>
      <c r="H1125">
        <v>6200</v>
      </c>
      <c r="I1125">
        <v>10.15</v>
      </c>
      <c r="J1125">
        <v>63700</v>
      </c>
      <c r="K1125">
        <v>68800</v>
      </c>
      <c r="L1125">
        <v>62900</v>
      </c>
      <c r="M1125">
        <v>5318315</v>
      </c>
      <c r="N1125">
        <v>351894124350</v>
      </c>
      <c r="O1125">
        <v>555316408</v>
      </c>
      <c r="P1125">
        <v>37372794258400</v>
      </c>
    </row>
    <row r="1126" spans="1:16">
      <c r="A1126" t="s">
        <v>53</v>
      </c>
      <c r="B1126">
        <v>20260324</v>
      </c>
      <c r="C1126">
        <v>6800</v>
      </c>
      <c r="D1126" t="s">
        <v>54</v>
      </c>
      <c r="E1126" t="s">
        <v>53</v>
      </c>
      <c r="F1126" t="s">
        <v>17</v>
      </c>
      <c r="G1126">
        <v>61100</v>
      </c>
      <c r="H1126">
        <v>-800</v>
      </c>
      <c r="I1126">
        <v>-1.29</v>
      </c>
      <c r="J1126">
        <v>65200</v>
      </c>
      <c r="K1126">
        <v>65200</v>
      </c>
      <c r="L1126">
        <v>59600</v>
      </c>
      <c r="M1126">
        <v>3162432</v>
      </c>
      <c r="N1126">
        <v>194257104900</v>
      </c>
      <c r="O1126">
        <v>555316408</v>
      </c>
      <c r="P1126">
        <v>33929832528800</v>
      </c>
    </row>
    <row r="1127" spans="1:16">
      <c r="A1127" t="s">
        <v>53</v>
      </c>
      <c r="B1127">
        <v>20260323</v>
      </c>
      <c r="C1127">
        <v>6800</v>
      </c>
      <c r="D1127" t="s">
        <v>54</v>
      </c>
      <c r="E1127" t="s">
        <v>53</v>
      </c>
      <c r="F1127" t="s">
        <v>17</v>
      </c>
      <c r="G1127">
        <v>61900</v>
      </c>
      <c r="H1127">
        <v>-5800</v>
      </c>
      <c r="I1127">
        <v>-8.57</v>
      </c>
      <c r="J1127">
        <v>65000</v>
      </c>
      <c r="K1127">
        <v>65000</v>
      </c>
      <c r="L1127">
        <v>61600</v>
      </c>
      <c r="M1127">
        <v>2920975</v>
      </c>
      <c r="N1127">
        <v>183203310100</v>
      </c>
      <c r="O1127">
        <v>555316408</v>
      </c>
      <c r="P1127">
        <v>34374085655200</v>
      </c>
    </row>
    <row r="1128" spans="1:16">
      <c r="A1128" t="s">
        <v>53</v>
      </c>
      <c r="B1128">
        <v>20260320</v>
      </c>
      <c r="C1128">
        <v>6800</v>
      </c>
      <c r="D1128" t="s">
        <v>54</v>
      </c>
      <c r="E1128" t="s">
        <v>53</v>
      </c>
      <c r="F1128" t="s">
        <v>17</v>
      </c>
      <c r="G1128">
        <v>67700</v>
      </c>
      <c r="H1128">
        <v>1000</v>
      </c>
      <c r="I1128">
        <v>1.5</v>
      </c>
      <c r="J1128">
        <v>67700</v>
      </c>
      <c r="K1128">
        <v>69400</v>
      </c>
      <c r="L1128">
        <v>67500</v>
      </c>
      <c r="M1128">
        <v>3126897</v>
      </c>
      <c r="N1128">
        <v>213502430800</v>
      </c>
      <c r="O1128">
        <v>555316408</v>
      </c>
      <c r="P1128">
        <v>37594920821600</v>
      </c>
    </row>
    <row r="1129" spans="1:16">
      <c r="A1129" t="s">
        <v>53</v>
      </c>
      <c r="B1129">
        <v>20260319</v>
      </c>
      <c r="C1129">
        <v>6800</v>
      </c>
      <c r="D1129" t="s">
        <v>54</v>
      </c>
      <c r="E1129" t="s">
        <v>53</v>
      </c>
      <c r="F1129" t="s">
        <v>17</v>
      </c>
      <c r="G1129">
        <v>66700</v>
      </c>
      <c r="H1129">
        <v>-3200</v>
      </c>
      <c r="I1129">
        <v>-4.58</v>
      </c>
      <c r="J1129">
        <v>67600</v>
      </c>
      <c r="K1129">
        <v>68500</v>
      </c>
      <c r="L1129">
        <v>66600</v>
      </c>
      <c r="M1129">
        <v>2521922</v>
      </c>
      <c r="N1129">
        <v>170268882350</v>
      </c>
      <c r="O1129">
        <v>555316408</v>
      </c>
      <c r="P1129">
        <v>37039604413600</v>
      </c>
    </row>
    <row r="1130" spans="1:16">
      <c r="A1130" t="s">
        <v>53</v>
      </c>
      <c r="B1130">
        <v>20260318</v>
      </c>
      <c r="C1130">
        <v>6800</v>
      </c>
      <c r="D1130" t="s">
        <v>54</v>
      </c>
      <c r="E1130" t="s">
        <v>53</v>
      </c>
      <c r="F1130" t="s">
        <v>17</v>
      </c>
      <c r="G1130">
        <v>69900</v>
      </c>
      <c r="H1130">
        <v>800</v>
      </c>
      <c r="I1130">
        <v>1.1599999999999999</v>
      </c>
      <c r="J1130">
        <v>71000</v>
      </c>
      <c r="K1130">
        <v>71300</v>
      </c>
      <c r="L1130">
        <v>69300</v>
      </c>
      <c r="M1130">
        <v>3198774</v>
      </c>
      <c r="N1130">
        <v>223654069400</v>
      </c>
      <c r="O1130">
        <v>567085734</v>
      </c>
      <c r="P1130">
        <v>39639292806600</v>
      </c>
    </row>
    <row r="1131" spans="1:16">
      <c r="A1131" t="s">
        <v>53</v>
      </c>
      <c r="B1131">
        <v>20260317</v>
      </c>
      <c r="C1131">
        <v>6800</v>
      </c>
      <c r="D1131" t="s">
        <v>54</v>
      </c>
      <c r="E1131" t="s">
        <v>53</v>
      </c>
      <c r="F1131" t="s">
        <v>17</v>
      </c>
      <c r="G1131">
        <v>69100</v>
      </c>
      <c r="H1131">
        <v>-1800</v>
      </c>
      <c r="I1131">
        <v>-2.54</v>
      </c>
      <c r="J1131">
        <v>72600</v>
      </c>
      <c r="K1131">
        <v>72700</v>
      </c>
      <c r="L1131">
        <v>69000</v>
      </c>
      <c r="M1131">
        <v>3225955</v>
      </c>
      <c r="N1131">
        <v>227639149500</v>
      </c>
      <c r="O1131">
        <v>567085734</v>
      </c>
      <c r="P1131">
        <v>39185624219400</v>
      </c>
    </row>
    <row r="1132" spans="1:16">
      <c r="A1132" t="s">
        <v>53</v>
      </c>
      <c r="B1132">
        <v>20260316</v>
      </c>
      <c r="C1132">
        <v>6800</v>
      </c>
      <c r="D1132" t="s">
        <v>54</v>
      </c>
      <c r="E1132" t="s">
        <v>53</v>
      </c>
      <c r="F1132" t="s">
        <v>17</v>
      </c>
      <c r="G1132">
        <v>70900</v>
      </c>
      <c r="H1132">
        <v>1700</v>
      </c>
      <c r="I1132">
        <v>2.46</v>
      </c>
      <c r="J1132">
        <v>70700</v>
      </c>
      <c r="K1132">
        <v>73000</v>
      </c>
      <c r="L1132">
        <v>69200</v>
      </c>
      <c r="M1132">
        <v>4166413</v>
      </c>
      <c r="N1132">
        <v>295454201100</v>
      </c>
      <c r="O1132">
        <v>567085734</v>
      </c>
      <c r="P1132">
        <v>40206378540600</v>
      </c>
    </row>
    <row r="1133" spans="1:16">
      <c r="A1133" t="s">
        <v>53</v>
      </c>
      <c r="B1133">
        <v>20260313</v>
      </c>
      <c r="C1133">
        <v>6800</v>
      </c>
      <c r="D1133" t="s">
        <v>54</v>
      </c>
      <c r="E1133" t="s">
        <v>53</v>
      </c>
      <c r="F1133" t="s">
        <v>17</v>
      </c>
      <c r="G1133">
        <v>69500</v>
      </c>
      <c r="H1133">
        <v>-900</v>
      </c>
      <c r="I1133">
        <v>-1.28</v>
      </c>
      <c r="J1133">
        <v>67300</v>
      </c>
      <c r="K1133">
        <v>71400</v>
      </c>
      <c r="L1133">
        <v>66500</v>
      </c>
      <c r="M1133">
        <v>3556373</v>
      </c>
      <c r="N1133">
        <v>246521669700</v>
      </c>
      <c r="O1133">
        <v>567085734</v>
      </c>
      <c r="P1133">
        <v>39412458513000</v>
      </c>
    </row>
    <row r="1134" spans="1:16">
      <c r="A1134" t="s">
        <v>53</v>
      </c>
      <c r="B1134">
        <v>20260312</v>
      </c>
      <c r="C1134">
        <v>6800</v>
      </c>
      <c r="D1134" t="s">
        <v>54</v>
      </c>
      <c r="E1134" t="s">
        <v>53</v>
      </c>
      <c r="F1134" t="s">
        <v>17</v>
      </c>
      <c r="G1134">
        <v>70400</v>
      </c>
      <c r="H1134">
        <v>-1000</v>
      </c>
      <c r="I1134">
        <v>-1.4</v>
      </c>
      <c r="J1134">
        <v>71500</v>
      </c>
      <c r="K1134">
        <v>72100</v>
      </c>
      <c r="L1134">
        <v>69000</v>
      </c>
      <c r="M1134">
        <v>4095454</v>
      </c>
      <c r="N1134">
        <v>287862082700</v>
      </c>
      <c r="O1134">
        <v>567085734</v>
      </c>
      <c r="P1134">
        <v>39922835673600</v>
      </c>
    </row>
    <row r="1135" spans="1:16">
      <c r="A1135" t="s">
        <v>53</v>
      </c>
      <c r="B1135">
        <v>20260311</v>
      </c>
      <c r="C1135">
        <v>6800</v>
      </c>
      <c r="D1135" t="s">
        <v>54</v>
      </c>
      <c r="E1135" t="s">
        <v>53</v>
      </c>
      <c r="F1135" t="s">
        <v>17</v>
      </c>
      <c r="G1135">
        <v>71400</v>
      </c>
      <c r="H1135">
        <v>6800</v>
      </c>
      <c r="I1135">
        <v>10.53</v>
      </c>
      <c r="J1135">
        <v>68100</v>
      </c>
      <c r="K1135">
        <v>74500</v>
      </c>
      <c r="L1135">
        <v>67600</v>
      </c>
      <c r="M1135">
        <v>12159542</v>
      </c>
      <c r="N1135">
        <v>875861761450</v>
      </c>
      <c r="O1135">
        <v>567085734</v>
      </c>
      <c r="P1135">
        <v>40489921407600</v>
      </c>
    </row>
    <row r="1136" spans="1:16">
      <c r="A1136" t="s">
        <v>53</v>
      </c>
      <c r="B1136">
        <v>20260310</v>
      </c>
      <c r="C1136">
        <v>6800</v>
      </c>
      <c r="D1136" t="s">
        <v>54</v>
      </c>
      <c r="E1136" t="s">
        <v>53</v>
      </c>
      <c r="F1136" t="s">
        <v>17</v>
      </c>
      <c r="G1136">
        <v>64600</v>
      </c>
      <c r="H1136">
        <v>400</v>
      </c>
      <c r="I1136">
        <v>0.62</v>
      </c>
      <c r="J1136">
        <v>68400</v>
      </c>
      <c r="K1136">
        <v>68500</v>
      </c>
      <c r="L1136">
        <v>63900</v>
      </c>
      <c r="M1136">
        <v>4517662</v>
      </c>
      <c r="N1136">
        <v>299275701550</v>
      </c>
      <c r="O1136">
        <v>567085734</v>
      </c>
      <c r="P1136">
        <v>36633738416400</v>
      </c>
    </row>
    <row r="1137" spans="1:16">
      <c r="A1137" t="s">
        <v>53</v>
      </c>
      <c r="B1137">
        <v>20260309</v>
      </c>
      <c r="C1137">
        <v>6800</v>
      </c>
      <c r="D1137" t="s">
        <v>54</v>
      </c>
      <c r="E1137" t="s">
        <v>53</v>
      </c>
      <c r="F1137" t="s">
        <v>17</v>
      </c>
      <c r="G1137">
        <v>64200</v>
      </c>
      <c r="H1137">
        <v>-2900</v>
      </c>
      <c r="I1137">
        <v>-4.32</v>
      </c>
      <c r="J1137">
        <v>61400</v>
      </c>
      <c r="K1137">
        <v>64200</v>
      </c>
      <c r="L1137">
        <v>59000</v>
      </c>
      <c r="M1137">
        <v>4665736</v>
      </c>
      <c r="N1137">
        <v>286121089150</v>
      </c>
      <c r="O1137">
        <v>567085734</v>
      </c>
      <c r="P1137">
        <v>36406904122800</v>
      </c>
    </row>
    <row r="1138" spans="1:16">
      <c r="A1138" t="s">
        <v>53</v>
      </c>
      <c r="B1138">
        <v>20260306</v>
      </c>
      <c r="C1138">
        <v>6800</v>
      </c>
      <c r="D1138" t="s">
        <v>54</v>
      </c>
      <c r="E1138" t="s">
        <v>53</v>
      </c>
      <c r="F1138" t="s">
        <v>17</v>
      </c>
      <c r="G1138">
        <v>67100</v>
      </c>
      <c r="H1138">
        <v>1900</v>
      </c>
      <c r="I1138">
        <v>2.91</v>
      </c>
      <c r="J1138">
        <v>65400</v>
      </c>
      <c r="K1138">
        <v>68200</v>
      </c>
      <c r="L1138">
        <v>63000</v>
      </c>
      <c r="M1138">
        <v>4152808</v>
      </c>
      <c r="N1138">
        <v>272700936400</v>
      </c>
      <c r="O1138">
        <v>567085734</v>
      </c>
      <c r="P1138">
        <v>38051452751400</v>
      </c>
    </row>
    <row r="1139" spans="1:16">
      <c r="A1139" t="s">
        <v>53</v>
      </c>
      <c r="B1139">
        <v>20260305</v>
      </c>
      <c r="C1139">
        <v>6800</v>
      </c>
      <c r="D1139" t="s">
        <v>54</v>
      </c>
      <c r="E1139" t="s">
        <v>53</v>
      </c>
      <c r="F1139" t="s">
        <v>17</v>
      </c>
      <c r="G1139">
        <v>65200</v>
      </c>
      <c r="H1139">
        <v>8700</v>
      </c>
      <c r="I1139">
        <v>15.4</v>
      </c>
      <c r="J1139">
        <v>65100</v>
      </c>
      <c r="K1139">
        <v>69000</v>
      </c>
      <c r="L1139">
        <v>64200</v>
      </c>
      <c r="M1139">
        <v>7098153</v>
      </c>
      <c r="N1139">
        <v>472083133700</v>
      </c>
      <c r="O1139">
        <v>567085734</v>
      </c>
      <c r="P1139">
        <v>36973989856800</v>
      </c>
    </row>
    <row r="1140" spans="1:16">
      <c r="A1140" t="s">
        <v>53</v>
      </c>
      <c r="B1140">
        <v>20260304</v>
      </c>
      <c r="C1140">
        <v>6800</v>
      </c>
      <c r="D1140" t="s">
        <v>54</v>
      </c>
      <c r="E1140" t="s">
        <v>53</v>
      </c>
      <c r="F1140" t="s">
        <v>17</v>
      </c>
      <c r="G1140">
        <v>56500</v>
      </c>
      <c r="H1140">
        <v>-10100</v>
      </c>
      <c r="I1140">
        <v>-15.17</v>
      </c>
      <c r="J1140">
        <v>62500</v>
      </c>
      <c r="K1140">
        <v>65900</v>
      </c>
      <c r="L1140">
        <v>56000</v>
      </c>
      <c r="M1140">
        <v>8870272</v>
      </c>
      <c r="N1140">
        <v>537306201500</v>
      </c>
      <c r="O1140">
        <v>567085734</v>
      </c>
      <c r="P1140">
        <v>32040343971000</v>
      </c>
    </row>
    <row r="1141" spans="1:16">
      <c r="A1141" t="s">
        <v>53</v>
      </c>
      <c r="B1141">
        <v>20260303</v>
      </c>
      <c r="C1141">
        <v>6800</v>
      </c>
      <c r="D1141" t="s">
        <v>54</v>
      </c>
      <c r="E1141" t="s">
        <v>53</v>
      </c>
      <c r="F1141" t="s">
        <v>17</v>
      </c>
      <c r="G1141">
        <v>66600</v>
      </c>
      <c r="H1141">
        <v>-5400</v>
      </c>
      <c r="I1141">
        <v>-7.5</v>
      </c>
      <c r="J1141">
        <v>69800</v>
      </c>
      <c r="K1141">
        <v>71100</v>
      </c>
      <c r="L1141">
        <v>66600</v>
      </c>
      <c r="M1141">
        <v>4687386</v>
      </c>
      <c r="N1141">
        <v>322589773350</v>
      </c>
      <c r="O1141">
        <v>567085734</v>
      </c>
      <c r="P1141">
        <v>37767909884400</v>
      </c>
    </row>
    <row r="1142" spans="1:16">
      <c r="A1142" t="s">
        <v>53</v>
      </c>
      <c r="B1142">
        <v>20260227</v>
      </c>
      <c r="C1142">
        <v>6800</v>
      </c>
      <c r="D1142" t="s">
        <v>54</v>
      </c>
      <c r="E1142" t="s">
        <v>53</v>
      </c>
      <c r="F1142" t="s">
        <v>17</v>
      </c>
      <c r="G1142">
        <v>72000</v>
      </c>
      <c r="H1142">
        <v>-1600</v>
      </c>
      <c r="I1142">
        <v>-2.17</v>
      </c>
      <c r="J1142">
        <v>72600</v>
      </c>
      <c r="K1142">
        <v>77300</v>
      </c>
      <c r="L1142">
        <v>71700</v>
      </c>
      <c r="M1142">
        <v>6845378</v>
      </c>
      <c r="N1142">
        <v>503201606150</v>
      </c>
      <c r="O1142">
        <v>567085734</v>
      </c>
      <c r="P1142">
        <v>40830172848000</v>
      </c>
    </row>
    <row r="1143" spans="1:16">
      <c r="A1143" t="s">
        <v>53</v>
      </c>
      <c r="B1143">
        <v>20260226</v>
      </c>
      <c r="C1143">
        <v>6800</v>
      </c>
      <c r="D1143" t="s">
        <v>54</v>
      </c>
      <c r="E1143" t="s">
        <v>53</v>
      </c>
      <c r="F1143" t="s">
        <v>17</v>
      </c>
      <c r="G1143">
        <v>73600</v>
      </c>
      <c r="H1143">
        <v>700</v>
      </c>
      <c r="I1143">
        <v>0.96</v>
      </c>
      <c r="J1143">
        <v>72400</v>
      </c>
      <c r="K1143">
        <v>73800</v>
      </c>
      <c r="L1143">
        <v>70500</v>
      </c>
      <c r="M1143">
        <v>5253935</v>
      </c>
      <c r="N1143">
        <v>380664104350</v>
      </c>
      <c r="O1143">
        <v>567085734</v>
      </c>
      <c r="P1143">
        <v>41737510022400</v>
      </c>
    </row>
    <row r="1144" spans="1:16">
      <c r="A1144" t="s">
        <v>53</v>
      </c>
      <c r="B1144">
        <v>20260225</v>
      </c>
      <c r="C1144">
        <v>6800</v>
      </c>
      <c r="D1144" t="s">
        <v>54</v>
      </c>
      <c r="E1144" t="s">
        <v>53</v>
      </c>
      <c r="F1144" t="s">
        <v>17</v>
      </c>
      <c r="G1144">
        <v>72900</v>
      </c>
      <c r="H1144">
        <v>5800</v>
      </c>
      <c r="I1144">
        <v>8.64</v>
      </c>
      <c r="J1144">
        <v>71100</v>
      </c>
      <c r="K1144">
        <v>75900</v>
      </c>
      <c r="L1144">
        <v>68400</v>
      </c>
      <c r="M1144">
        <v>8684646</v>
      </c>
      <c r="N1144">
        <v>628300953050</v>
      </c>
      <c r="O1144">
        <v>567085734</v>
      </c>
      <c r="P1144">
        <v>41340550008600</v>
      </c>
    </row>
    <row r="1145" spans="1:16">
      <c r="A1145" t="s">
        <v>53</v>
      </c>
      <c r="B1145">
        <v>20260224</v>
      </c>
      <c r="C1145">
        <v>6800</v>
      </c>
      <c r="D1145" t="s">
        <v>54</v>
      </c>
      <c r="E1145" t="s">
        <v>53</v>
      </c>
      <c r="F1145" t="s">
        <v>17</v>
      </c>
      <c r="G1145">
        <v>67100</v>
      </c>
      <c r="H1145">
        <v>-1200</v>
      </c>
      <c r="I1145">
        <v>-1.76</v>
      </c>
      <c r="J1145">
        <v>66600</v>
      </c>
      <c r="K1145">
        <v>68900</v>
      </c>
      <c r="L1145">
        <v>63100</v>
      </c>
      <c r="M1145">
        <v>7763745</v>
      </c>
      <c r="N1145">
        <v>513296713850</v>
      </c>
      <c r="O1145">
        <v>567085734</v>
      </c>
      <c r="P1145">
        <v>38051452751400</v>
      </c>
    </row>
    <row r="1146" spans="1:16">
      <c r="A1146" t="s">
        <v>53</v>
      </c>
      <c r="B1146">
        <v>20260223</v>
      </c>
      <c r="C1146">
        <v>6800</v>
      </c>
      <c r="D1146" t="s">
        <v>54</v>
      </c>
      <c r="E1146" t="s">
        <v>53</v>
      </c>
      <c r="F1146" t="s">
        <v>17</v>
      </c>
      <c r="G1146">
        <v>68300</v>
      </c>
      <c r="H1146">
        <v>-2600</v>
      </c>
      <c r="I1146">
        <v>-3.67</v>
      </c>
      <c r="J1146">
        <v>71500</v>
      </c>
      <c r="K1146">
        <v>71800</v>
      </c>
      <c r="L1146">
        <v>67000</v>
      </c>
      <c r="M1146">
        <v>5616425</v>
      </c>
      <c r="N1146">
        <v>385501129450</v>
      </c>
      <c r="O1146">
        <v>567085734</v>
      </c>
      <c r="P1146">
        <v>38731955632200</v>
      </c>
    </row>
    <row r="1147" spans="1:16">
      <c r="A1147" t="s">
        <v>53</v>
      </c>
      <c r="B1147">
        <v>20260220</v>
      </c>
      <c r="C1147">
        <v>6800</v>
      </c>
      <c r="D1147" t="s">
        <v>54</v>
      </c>
      <c r="E1147" t="s">
        <v>53</v>
      </c>
      <c r="F1147" t="s">
        <v>17</v>
      </c>
      <c r="G1147">
        <v>70900</v>
      </c>
      <c r="H1147">
        <v>400</v>
      </c>
      <c r="I1147">
        <v>0.56999999999999995</v>
      </c>
      <c r="J1147">
        <v>74300</v>
      </c>
      <c r="K1147">
        <v>74400</v>
      </c>
      <c r="L1147">
        <v>69300</v>
      </c>
      <c r="M1147">
        <v>7071621</v>
      </c>
      <c r="N1147">
        <v>508275372750</v>
      </c>
      <c r="O1147">
        <v>567085734</v>
      </c>
      <c r="P1147">
        <v>40206378540600</v>
      </c>
    </row>
    <row r="1148" spans="1:16">
      <c r="A1148" t="s">
        <v>53</v>
      </c>
      <c r="B1148">
        <v>20260219</v>
      </c>
      <c r="C1148">
        <v>6800</v>
      </c>
      <c r="D1148" t="s">
        <v>54</v>
      </c>
      <c r="E1148" t="s">
        <v>53</v>
      </c>
      <c r="F1148" t="s">
        <v>17</v>
      </c>
      <c r="G1148">
        <v>70500</v>
      </c>
      <c r="H1148">
        <v>8900</v>
      </c>
      <c r="I1148">
        <v>14.45</v>
      </c>
      <c r="J1148">
        <v>68800</v>
      </c>
      <c r="K1148">
        <v>72700</v>
      </c>
      <c r="L1148">
        <v>67500</v>
      </c>
      <c r="M1148">
        <v>9736415</v>
      </c>
      <c r="N1148">
        <v>684154067800</v>
      </c>
      <c r="O1148">
        <v>567085734</v>
      </c>
      <c r="P1148">
        <v>39979544247000</v>
      </c>
    </row>
    <row r="1149" spans="1:16">
      <c r="A1149" t="s">
        <v>53</v>
      </c>
      <c r="B1149">
        <v>20260213</v>
      </c>
      <c r="C1149">
        <v>6800</v>
      </c>
      <c r="D1149" t="s">
        <v>54</v>
      </c>
      <c r="E1149" t="s">
        <v>53</v>
      </c>
      <c r="F1149" t="s">
        <v>17</v>
      </c>
      <c r="G1149">
        <v>61600</v>
      </c>
      <c r="H1149">
        <v>8200</v>
      </c>
      <c r="I1149">
        <v>15.36</v>
      </c>
      <c r="J1149">
        <v>56200</v>
      </c>
      <c r="K1149">
        <v>64600</v>
      </c>
      <c r="L1149">
        <v>54700</v>
      </c>
      <c r="M1149">
        <v>22399829</v>
      </c>
      <c r="N1149">
        <v>1365693214350</v>
      </c>
      <c r="O1149">
        <v>567085734</v>
      </c>
      <c r="P1149">
        <v>34932481214400</v>
      </c>
    </row>
    <row r="1150" spans="1:16">
      <c r="A1150" t="s">
        <v>53</v>
      </c>
      <c r="B1150">
        <v>20260212</v>
      </c>
      <c r="C1150">
        <v>6800</v>
      </c>
      <c r="D1150" t="s">
        <v>54</v>
      </c>
      <c r="E1150" t="s">
        <v>53</v>
      </c>
      <c r="F1150" t="s">
        <v>17</v>
      </c>
      <c r="G1150">
        <v>53400</v>
      </c>
      <c r="H1150">
        <v>2100</v>
      </c>
      <c r="I1150">
        <v>4.09</v>
      </c>
      <c r="J1150">
        <v>53400</v>
      </c>
      <c r="K1150">
        <v>54000</v>
      </c>
      <c r="L1150">
        <v>51900</v>
      </c>
      <c r="M1150">
        <v>5434373</v>
      </c>
      <c r="N1150">
        <v>288339831700</v>
      </c>
      <c r="O1150">
        <v>567085734</v>
      </c>
      <c r="P1150">
        <v>30282378195600</v>
      </c>
    </row>
    <row r="1151" spans="1:16">
      <c r="A1151" t="s">
        <v>53</v>
      </c>
      <c r="B1151">
        <v>20260211</v>
      </c>
      <c r="C1151">
        <v>6800</v>
      </c>
      <c r="D1151" t="s">
        <v>54</v>
      </c>
      <c r="E1151" t="s">
        <v>53</v>
      </c>
      <c r="F1151" t="s">
        <v>17</v>
      </c>
      <c r="G1151">
        <v>51300</v>
      </c>
      <c r="H1151">
        <v>-600</v>
      </c>
      <c r="I1151">
        <v>-1.1599999999999999</v>
      </c>
      <c r="J1151">
        <v>51500</v>
      </c>
      <c r="K1151">
        <v>52200</v>
      </c>
      <c r="L1151">
        <v>50300</v>
      </c>
      <c r="M1151">
        <v>3516456</v>
      </c>
      <c r="N1151">
        <v>180573541000</v>
      </c>
      <c r="O1151">
        <v>567085734</v>
      </c>
      <c r="P1151">
        <v>29091498154200</v>
      </c>
    </row>
    <row r="1152" spans="1:16">
      <c r="A1152" t="s">
        <v>53</v>
      </c>
      <c r="B1152">
        <v>20260210</v>
      </c>
      <c r="C1152">
        <v>6800</v>
      </c>
      <c r="D1152" t="s">
        <v>54</v>
      </c>
      <c r="E1152" t="s">
        <v>53</v>
      </c>
      <c r="F1152" t="s">
        <v>17</v>
      </c>
      <c r="G1152">
        <v>51900</v>
      </c>
      <c r="H1152">
        <v>-1500</v>
      </c>
      <c r="I1152">
        <v>-2.81</v>
      </c>
      <c r="J1152">
        <v>54400</v>
      </c>
      <c r="K1152">
        <v>54500</v>
      </c>
      <c r="L1152">
        <v>51800</v>
      </c>
      <c r="M1152">
        <v>4886335</v>
      </c>
      <c r="N1152">
        <v>258406857300</v>
      </c>
      <c r="O1152">
        <v>567085734</v>
      </c>
      <c r="P1152">
        <v>29431749594600</v>
      </c>
    </row>
    <row r="1153" spans="1:16">
      <c r="A1153" t="s">
        <v>53</v>
      </c>
      <c r="B1153">
        <v>20260209</v>
      </c>
      <c r="C1153">
        <v>6800</v>
      </c>
      <c r="D1153" t="s">
        <v>54</v>
      </c>
      <c r="E1153" t="s">
        <v>53</v>
      </c>
      <c r="F1153" t="s">
        <v>17</v>
      </c>
      <c r="G1153">
        <v>53400</v>
      </c>
      <c r="H1153">
        <v>5400</v>
      </c>
      <c r="I1153">
        <v>11.25</v>
      </c>
      <c r="J1153">
        <v>52000</v>
      </c>
      <c r="K1153">
        <v>56200</v>
      </c>
      <c r="L1153">
        <v>49650</v>
      </c>
      <c r="M1153">
        <v>12815514</v>
      </c>
      <c r="N1153">
        <v>682339348625</v>
      </c>
      <c r="O1153">
        <v>567085734</v>
      </c>
      <c r="P1153">
        <v>30282378195600</v>
      </c>
    </row>
    <row r="1154" spans="1:16">
      <c r="A1154" t="s">
        <v>53</v>
      </c>
      <c r="B1154">
        <v>20260206</v>
      </c>
      <c r="C1154">
        <v>6800</v>
      </c>
      <c r="D1154" t="s">
        <v>54</v>
      </c>
      <c r="E1154" t="s">
        <v>53</v>
      </c>
      <c r="F1154" t="s">
        <v>17</v>
      </c>
      <c r="G1154">
        <v>48000</v>
      </c>
      <c r="H1154">
        <v>-1600</v>
      </c>
      <c r="I1154">
        <v>-3.23</v>
      </c>
      <c r="J1154">
        <v>47000</v>
      </c>
      <c r="K1154">
        <v>48850</v>
      </c>
      <c r="L1154">
        <v>44100</v>
      </c>
      <c r="M1154">
        <v>7748719</v>
      </c>
      <c r="N1154">
        <v>363881215475</v>
      </c>
      <c r="O1154">
        <v>567085734</v>
      </c>
      <c r="P1154">
        <v>27220115232000</v>
      </c>
    </row>
    <row r="1155" spans="1:16">
      <c r="A1155" t="s">
        <v>53</v>
      </c>
      <c r="B1155">
        <v>20260205</v>
      </c>
      <c r="C1155">
        <v>6800</v>
      </c>
      <c r="D1155" t="s">
        <v>54</v>
      </c>
      <c r="E1155" t="s">
        <v>53</v>
      </c>
      <c r="F1155" t="s">
        <v>17</v>
      </c>
      <c r="G1155">
        <v>49600</v>
      </c>
      <c r="H1155">
        <v>-1600</v>
      </c>
      <c r="I1155">
        <v>-3.13</v>
      </c>
      <c r="J1155">
        <v>49250</v>
      </c>
      <c r="K1155">
        <v>50900</v>
      </c>
      <c r="L1155">
        <v>49200</v>
      </c>
      <c r="M1155">
        <v>4736986</v>
      </c>
      <c r="N1155">
        <v>236532342375</v>
      </c>
      <c r="O1155">
        <v>567085734</v>
      </c>
      <c r="P1155">
        <v>28127452406400</v>
      </c>
    </row>
    <row r="1156" spans="1:16">
      <c r="A1156" t="s">
        <v>53</v>
      </c>
      <c r="B1156">
        <v>20260204</v>
      </c>
      <c r="C1156">
        <v>6800</v>
      </c>
      <c r="D1156" t="s">
        <v>54</v>
      </c>
      <c r="E1156" t="s">
        <v>53</v>
      </c>
      <c r="F1156" t="s">
        <v>17</v>
      </c>
      <c r="G1156">
        <v>51200</v>
      </c>
      <c r="H1156">
        <v>1250</v>
      </c>
      <c r="I1156">
        <v>2.5</v>
      </c>
      <c r="J1156">
        <v>51500</v>
      </c>
      <c r="K1156">
        <v>51950</v>
      </c>
      <c r="L1156">
        <v>49000</v>
      </c>
      <c r="M1156">
        <v>7581019</v>
      </c>
      <c r="N1156">
        <v>382870424400</v>
      </c>
      <c r="O1156">
        <v>567085734</v>
      </c>
      <c r="P1156">
        <v>29034789580800</v>
      </c>
    </row>
    <row r="1157" spans="1:16">
      <c r="A1157" t="s">
        <v>53</v>
      </c>
      <c r="B1157">
        <v>20260203</v>
      </c>
      <c r="C1157">
        <v>6800</v>
      </c>
      <c r="D1157" t="s">
        <v>54</v>
      </c>
      <c r="E1157" t="s">
        <v>53</v>
      </c>
      <c r="F1157" t="s">
        <v>17</v>
      </c>
      <c r="G1157">
        <v>49950</v>
      </c>
      <c r="H1157">
        <v>9900</v>
      </c>
      <c r="I1157">
        <v>24.72</v>
      </c>
      <c r="J1157">
        <v>43050</v>
      </c>
      <c r="K1157">
        <v>50800</v>
      </c>
      <c r="L1157">
        <v>42450</v>
      </c>
      <c r="M1157">
        <v>19048790</v>
      </c>
      <c r="N1157">
        <v>911638977175</v>
      </c>
      <c r="O1157">
        <v>567085734</v>
      </c>
      <c r="P1157">
        <v>28325932413300</v>
      </c>
    </row>
    <row r="1158" spans="1:16">
      <c r="A1158" t="s">
        <v>53</v>
      </c>
      <c r="B1158">
        <v>20260202</v>
      </c>
      <c r="C1158">
        <v>6800</v>
      </c>
      <c r="D1158" t="s">
        <v>54</v>
      </c>
      <c r="E1158" t="s">
        <v>53</v>
      </c>
      <c r="F1158" t="s">
        <v>17</v>
      </c>
      <c r="G1158">
        <v>40050</v>
      </c>
      <c r="H1158">
        <v>-2700</v>
      </c>
      <c r="I1158">
        <v>-6.32</v>
      </c>
      <c r="J1158">
        <v>43100</v>
      </c>
      <c r="K1158">
        <v>43300</v>
      </c>
      <c r="L1158">
        <v>39400</v>
      </c>
      <c r="M1158">
        <v>6353904</v>
      </c>
      <c r="N1158">
        <v>261277329675</v>
      </c>
      <c r="O1158">
        <v>567085734</v>
      </c>
      <c r="P1158">
        <v>22711783646700</v>
      </c>
    </row>
    <row r="1159" spans="1:16">
      <c r="A1159" t="s">
        <v>53</v>
      </c>
      <c r="B1159">
        <v>20260130</v>
      </c>
      <c r="C1159">
        <v>6800</v>
      </c>
      <c r="D1159" t="s">
        <v>54</v>
      </c>
      <c r="E1159" t="s">
        <v>53</v>
      </c>
      <c r="F1159" t="s">
        <v>17</v>
      </c>
      <c r="G1159">
        <v>42750</v>
      </c>
      <c r="H1159">
        <v>1900</v>
      </c>
      <c r="I1159">
        <v>4.6500000000000004</v>
      </c>
      <c r="J1159">
        <v>39900</v>
      </c>
      <c r="K1159">
        <v>44600</v>
      </c>
      <c r="L1159">
        <v>39600</v>
      </c>
      <c r="M1159">
        <v>12898430</v>
      </c>
      <c r="N1159">
        <v>550157806500</v>
      </c>
      <c r="O1159">
        <v>567085734</v>
      </c>
      <c r="P1159">
        <v>24242915128500</v>
      </c>
    </row>
    <row r="1160" spans="1:16">
      <c r="A1160" t="s">
        <v>53</v>
      </c>
      <c r="B1160">
        <v>20260129</v>
      </c>
      <c r="C1160">
        <v>6800</v>
      </c>
      <c r="D1160" t="s">
        <v>54</v>
      </c>
      <c r="E1160" t="s">
        <v>53</v>
      </c>
      <c r="F1160" t="s">
        <v>17</v>
      </c>
      <c r="G1160">
        <v>40850</v>
      </c>
      <c r="H1160">
        <v>6050</v>
      </c>
      <c r="I1160">
        <v>17.39</v>
      </c>
      <c r="J1160">
        <v>35300</v>
      </c>
      <c r="K1160">
        <v>41300</v>
      </c>
      <c r="L1160">
        <v>34700</v>
      </c>
      <c r="M1160">
        <v>19742598</v>
      </c>
      <c r="N1160">
        <v>756813186525</v>
      </c>
      <c r="O1160">
        <v>567085734</v>
      </c>
      <c r="P1160">
        <v>23165452233900</v>
      </c>
    </row>
    <row r="1161" spans="1:16">
      <c r="A1161" t="s">
        <v>53</v>
      </c>
      <c r="B1161">
        <v>20260128</v>
      </c>
      <c r="C1161">
        <v>6800</v>
      </c>
      <c r="D1161" t="s">
        <v>54</v>
      </c>
      <c r="E1161" t="s">
        <v>53</v>
      </c>
      <c r="F1161" t="s">
        <v>17</v>
      </c>
      <c r="G1161">
        <v>34800</v>
      </c>
      <c r="H1161">
        <v>0</v>
      </c>
      <c r="I1161">
        <v>0</v>
      </c>
      <c r="J1161">
        <v>34800</v>
      </c>
      <c r="K1161">
        <v>35150</v>
      </c>
      <c r="L1161">
        <v>34200</v>
      </c>
      <c r="M1161">
        <v>4579622</v>
      </c>
      <c r="N1161">
        <v>158626502350</v>
      </c>
      <c r="O1161">
        <v>567085734</v>
      </c>
      <c r="P1161">
        <v>19734583543200</v>
      </c>
    </row>
    <row r="1162" spans="1:16">
      <c r="A1162" t="s">
        <v>53</v>
      </c>
      <c r="B1162">
        <v>20260127</v>
      </c>
      <c r="C1162">
        <v>6800</v>
      </c>
      <c r="D1162" t="s">
        <v>54</v>
      </c>
      <c r="E1162" t="s">
        <v>53</v>
      </c>
      <c r="F1162" t="s">
        <v>17</v>
      </c>
      <c r="G1162">
        <v>34800</v>
      </c>
      <c r="H1162">
        <v>1500</v>
      </c>
      <c r="I1162">
        <v>4.5</v>
      </c>
      <c r="J1162">
        <v>34150</v>
      </c>
      <c r="K1162">
        <v>35400</v>
      </c>
      <c r="L1162">
        <v>32750</v>
      </c>
      <c r="M1162">
        <v>6073300</v>
      </c>
      <c r="N1162">
        <v>208594898500</v>
      </c>
      <c r="O1162">
        <v>567085734</v>
      </c>
      <c r="P1162">
        <v>19734583543200</v>
      </c>
    </row>
    <row r="1163" spans="1:16">
      <c r="A1163" t="s">
        <v>53</v>
      </c>
      <c r="B1163">
        <v>20260126</v>
      </c>
      <c r="C1163">
        <v>6800</v>
      </c>
      <c r="D1163" t="s">
        <v>54</v>
      </c>
      <c r="E1163" t="s">
        <v>53</v>
      </c>
      <c r="F1163" t="s">
        <v>17</v>
      </c>
      <c r="G1163">
        <v>33300</v>
      </c>
      <c r="H1163">
        <v>-1500</v>
      </c>
      <c r="I1163">
        <v>-4.3099999999999996</v>
      </c>
      <c r="J1163">
        <v>33700</v>
      </c>
      <c r="K1163">
        <v>33750</v>
      </c>
      <c r="L1163">
        <v>32200</v>
      </c>
      <c r="M1163">
        <v>7387891</v>
      </c>
      <c r="N1163">
        <v>243787991375</v>
      </c>
      <c r="O1163">
        <v>567085734</v>
      </c>
      <c r="P1163">
        <v>18883954942200</v>
      </c>
    </row>
    <row r="1164" spans="1:16">
      <c r="A1164" t="s">
        <v>53</v>
      </c>
      <c r="B1164">
        <v>20260123</v>
      </c>
      <c r="C1164">
        <v>6800</v>
      </c>
      <c r="D1164" t="s">
        <v>54</v>
      </c>
      <c r="E1164" t="s">
        <v>53</v>
      </c>
      <c r="F1164" t="s">
        <v>17</v>
      </c>
      <c r="G1164">
        <v>34800</v>
      </c>
      <c r="H1164">
        <v>4950</v>
      </c>
      <c r="I1164">
        <v>16.579999999999998</v>
      </c>
      <c r="J1164">
        <v>31450</v>
      </c>
      <c r="K1164">
        <v>35500</v>
      </c>
      <c r="L1164">
        <v>31050</v>
      </c>
      <c r="M1164">
        <v>23963619</v>
      </c>
      <c r="N1164">
        <v>805617629000</v>
      </c>
      <c r="O1164">
        <v>567085734</v>
      </c>
      <c r="P1164">
        <v>19734583543200</v>
      </c>
    </row>
    <row r="1165" spans="1:16">
      <c r="A1165" t="s">
        <v>53</v>
      </c>
      <c r="B1165">
        <v>20260122</v>
      </c>
      <c r="C1165">
        <v>6800</v>
      </c>
      <c r="D1165" t="s">
        <v>54</v>
      </c>
      <c r="E1165" t="s">
        <v>53</v>
      </c>
      <c r="F1165" t="s">
        <v>17</v>
      </c>
      <c r="G1165">
        <v>29850</v>
      </c>
      <c r="H1165">
        <v>100</v>
      </c>
      <c r="I1165">
        <v>0.34</v>
      </c>
      <c r="J1165">
        <v>30500</v>
      </c>
      <c r="K1165">
        <v>30850</v>
      </c>
      <c r="L1165">
        <v>29750</v>
      </c>
      <c r="M1165">
        <v>3676699</v>
      </c>
      <c r="N1165">
        <v>111101899850</v>
      </c>
      <c r="O1165">
        <v>567085734</v>
      </c>
      <c r="P1165">
        <v>16927509159900</v>
      </c>
    </row>
    <row r="1166" spans="1:16">
      <c r="A1166" t="s">
        <v>53</v>
      </c>
      <c r="B1166">
        <v>20260121</v>
      </c>
      <c r="C1166">
        <v>6800</v>
      </c>
      <c r="D1166" t="s">
        <v>54</v>
      </c>
      <c r="E1166" t="s">
        <v>53</v>
      </c>
      <c r="F1166" t="s">
        <v>17</v>
      </c>
      <c r="G1166">
        <v>29750</v>
      </c>
      <c r="H1166">
        <v>-950</v>
      </c>
      <c r="I1166">
        <v>-3.09</v>
      </c>
      <c r="J1166">
        <v>29150</v>
      </c>
      <c r="K1166">
        <v>30075</v>
      </c>
      <c r="L1166">
        <v>29050</v>
      </c>
      <c r="M1166">
        <v>4004345</v>
      </c>
      <c r="N1166">
        <v>118805352900</v>
      </c>
      <c r="O1166">
        <v>567085734</v>
      </c>
      <c r="P1166">
        <v>16870800586500</v>
      </c>
    </row>
    <row r="1167" spans="1:16">
      <c r="A1167" t="s">
        <v>53</v>
      </c>
      <c r="B1167">
        <v>20260120</v>
      </c>
      <c r="C1167">
        <v>6800</v>
      </c>
      <c r="D1167" t="s">
        <v>54</v>
      </c>
      <c r="E1167" t="s">
        <v>53</v>
      </c>
      <c r="F1167" t="s">
        <v>17</v>
      </c>
      <c r="G1167">
        <v>30700</v>
      </c>
      <c r="H1167">
        <v>-1250</v>
      </c>
      <c r="I1167">
        <v>-3.91</v>
      </c>
      <c r="J1167">
        <v>31450</v>
      </c>
      <c r="K1167">
        <v>31500</v>
      </c>
      <c r="L1167">
        <v>30400</v>
      </c>
      <c r="M1167">
        <v>4148614</v>
      </c>
      <c r="N1167">
        <v>127966399650</v>
      </c>
      <c r="O1167">
        <v>567085734</v>
      </c>
      <c r="P1167">
        <v>17409532033800</v>
      </c>
    </row>
    <row r="1168" spans="1:16">
      <c r="A1168" t="s">
        <v>53</v>
      </c>
      <c r="B1168">
        <v>20260119</v>
      </c>
      <c r="C1168">
        <v>6800</v>
      </c>
      <c r="D1168" t="s">
        <v>54</v>
      </c>
      <c r="E1168" t="s">
        <v>53</v>
      </c>
      <c r="F1168" t="s">
        <v>17</v>
      </c>
      <c r="G1168">
        <v>31950</v>
      </c>
      <c r="H1168">
        <v>750</v>
      </c>
      <c r="I1168">
        <v>2.4</v>
      </c>
      <c r="J1168">
        <v>31450</v>
      </c>
      <c r="K1168">
        <v>32450</v>
      </c>
      <c r="L1168">
        <v>31150</v>
      </c>
      <c r="M1168">
        <v>3925320</v>
      </c>
      <c r="N1168">
        <v>124932388150</v>
      </c>
      <c r="O1168">
        <v>567085734</v>
      </c>
      <c r="P1168">
        <v>18118389201300</v>
      </c>
    </row>
    <row r="1169" spans="1:16">
      <c r="A1169" t="s">
        <v>53</v>
      </c>
      <c r="B1169">
        <v>20260116</v>
      </c>
      <c r="C1169">
        <v>6800</v>
      </c>
      <c r="D1169" t="s">
        <v>54</v>
      </c>
      <c r="E1169" t="s">
        <v>53</v>
      </c>
      <c r="F1169" t="s">
        <v>17</v>
      </c>
      <c r="G1169">
        <v>31200</v>
      </c>
      <c r="H1169">
        <v>450</v>
      </c>
      <c r="I1169">
        <v>1.46</v>
      </c>
      <c r="J1169">
        <v>31000</v>
      </c>
      <c r="K1169">
        <v>32600</v>
      </c>
      <c r="L1169">
        <v>30400</v>
      </c>
      <c r="M1169">
        <v>5830979</v>
      </c>
      <c r="N1169">
        <v>182347131975</v>
      </c>
      <c r="O1169">
        <v>567085734</v>
      </c>
      <c r="P1169">
        <v>17693074900800</v>
      </c>
    </row>
    <row r="1170" spans="1:16">
      <c r="A1170" t="s">
        <v>53</v>
      </c>
      <c r="B1170">
        <v>20260115</v>
      </c>
      <c r="C1170">
        <v>6800</v>
      </c>
      <c r="D1170" t="s">
        <v>54</v>
      </c>
      <c r="E1170" t="s">
        <v>53</v>
      </c>
      <c r="F1170" t="s">
        <v>17</v>
      </c>
      <c r="G1170">
        <v>30750</v>
      </c>
      <c r="H1170">
        <v>1250</v>
      </c>
      <c r="I1170">
        <v>4.24</v>
      </c>
      <c r="J1170">
        <v>30000</v>
      </c>
      <c r="K1170">
        <v>31400</v>
      </c>
      <c r="L1170">
        <v>29800</v>
      </c>
      <c r="M1170">
        <v>7091463</v>
      </c>
      <c r="N1170">
        <v>217064307775</v>
      </c>
      <c r="O1170">
        <v>567085734</v>
      </c>
      <c r="P1170">
        <v>17437886320500</v>
      </c>
    </row>
    <row r="1171" spans="1:16">
      <c r="A1171" t="s">
        <v>53</v>
      </c>
      <c r="B1171">
        <v>20260114</v>
      </c>
      <c r="C1171">
        <v>6800</v>
      </c>
      <c r="D1171" t="s">
        <v>54</v>
      </c>
      <c r="E1171" t="s">
        <v>53</v>
      </c>
      <c r="F1171" t="s">
        <v>17</v>
      </c>
      <c r="G1171">
        <v>29500</v>
      </c>
      <c r="H1171">
        <v>1050</v>
      </c>
      <c r="I1171">
        <v>3.69</v>
      </c>
      <c r="J1171">
        <v>28400</v>
      </c>
      <c r="K1171">
        <v>29550</v>
      </c>
      <c r="L1171">
        <v>27900</v>
      </c>
      <c r="M1171">
        <v>3791123</v>
      </c>
      <c r="N1171">
        <v>109217971625</v>
      </c>
      <c r="O1171">
        <v>567085734</v>
      </c>
      <c r="P1171">
        <v>16729029153000</v>
      </c>
    </row>
    <row r="1172" spans="1:16">
      <c r="A1172" t="s">
        <v>53</v>
      </c>
      <c r="B1172">
        <v>20260113</v>
      </c>
      <c r="C1172">
        <v>6800</v>
      </c>
      <c r="D1172" t="s">
        <v>54</v>
      </c>
      <c r="E1172" t="s">
        <v>53</v>
      </c>
      <c r="F1172" t="s">
        <v>17</v>
      </c>
      <c r="G1172">
        <v>28450</v>
      </c>
      <c r="H1172">
        <v>-200</v>
      </c>
      <c r="I1172">
        <v>-0.7</v>
      </c>
      <c r="J1172">
        <v>29250</v>
      </c>
      <c r="K1172">
        <v>29250</v>
      </c>
      <c r="L1172">
        <v>28050</v>
      </c>
      <c r="M1172">
        <v>3128547</v>
      </c>
      <c r="N1172">
        <v>89135480975</v>
      </c>
      <c r="O1172">
        <v>567085734</v>
      </c>
      <c r="P1172">
        <v>16133589132300</v>
      </c>
    </row>
    <row r="1173" spans="1:16">
      <c r="A1173" t="s">
        <v>53</v>
      </c>
      <c r="B1173">
        <v>20260112</v>
      </c>
      <c r="C1173">
        <v>6800</v>
      </c>
      <c r="D1173" t="s">
        <v>54</v>
      </c>
      <c r="E1173" t="s">
        <v>53</v>
      </c>
      <c r="F1173" t="s">
        <v>17</v>
      </c>
      <c r="G1173">
        <v>28650</v>
      </c>
      <c r="H1173">
        <v>1550</v>
      </c>
      <c r="I1173">
        <v>5.72</v>
      </c>
      <c r="J1173">
        <v>28350</v>
      </c>
      <c r="K1173">
        <v>30400</v>
      </c>
      <c r="L1173">
        <v>27900</v>
      </c>
      <c r="M1173">
        <v>9814861</v>
      </c>
      <c r="N1173">
        <v>284899588075</v>
      </c>
      <c r="O1173">
        <v>567085734</v>
      </c>
      <c r="P1173">
        <v>16247006279100</v>
      </c>
    </row>
    <row r="1174" spans="1:16">
      <c r="A1174" t="s">
        <v>53</v>
      </c>
      <c r="B1174">
        <v>20260109</v>
      </c>
      <c r="C1174">
        <v>6800</v>
      </c>
      <c r="D1174" t="s">
        <v>54</v>
      </c>
      <c r="E1174" t="s">
        <v>53</v>
      </c>
      <c r="F1174" t="s">
        <v>17</v>
      </c>
      <c r="G1174">
        <v>27100</v>
      </c>
      <c r="H1174">
        <v>-550</v>
      </c>
      <c r="I1174">
        <v>-1.99</v>
      </c>
      <c r="J1174">
        <v>27950</v>
      </c>
      <c r="K1174">
        <v>27950</v>
      </c>
      <c r="L1174">
        <v>26500</v>
      </c>
      <c r="M1174">
        <v>3841970</v>
      </c>
      <c r="N1174">
        <v>103653208750</v>
      </c>
      <c r="O1174">
        <v>567085734</v>
      </c>
      <c r="P1174">
        <v>15368023391400</v>
      </c>
    </row>
    <row r="1175" spans="1:16">
      <c r="A1175" t="s">
        <v>53</v>
      </c>
      <c r="B1175">
        <v>20260108</v>
      </c>
      <c r="C1175">
        <v>6800</v>
      </c>
      <c r="D1175" t="s">
        <v>54</v>
      </c>
      <c r="E1175" t="s">
        <v>53</v>
      </c>
      <c r="F1175" t="s">
        <v>17</v>
      </c>
      <c r="G1175">
        <v>27650</v>
      </c>
      <c r="H1175">
        <v>-350</v>
      </c>
      <c r="I1175">
        <v>-1.25</v>
      </c>
      <c r="J1175">
        <v>28000</v>
      </c>
      <c r="K1175">
        <v>28150</v>
      </c>
      <c r="L1175">
        <v>27250</v>
      </c>
      <c r="M1175">
        <v>4072262</v>
      </c>
      <c r="N1175">
        <v>112749876800</v>
      </c>
      <c r="O1175">
        <v>567085734</v>
      </c>
      <c r="P1175">
        <v>15679920545100</v>
      </c>
    </row>
    <row r="1176" spans="1:16">
      <c r="A1176" t="s">
        <v>53</v>
      </c>
      <c r="B1176">
        <v>20260107</v>
      </c>
      <c r="C1176">
        <v>6800</v>
      </c>
      <c r="D1176" t="s">
        <v>54</v>
      </c>
      <c r="E1176" t="s">
        <v>53</v>
      </c>
      <c r="F1176" t="s">
        <v>17</v>
      </c>
      <c r="G1176">
        <v>28000</v>
      </c>
      <c r="H1176">
        <v>-700</v>
      </c>
      <c r="I1176">
        <v>-2.44</v>
      </c>
      <c r="J1176">
        <v>28700</v>
      </c>
      <c r="K1176">
        <v>28950</v>
      </c>
      <c r="L1176">
        <v>27200</v>
      </c>
      <c r="M1176">
        <v>7121672</v>
      </c>
      <c r="N1176">
        <v>198838253925</v>
      </c>
      <c r="O1176">
        <v>567085734</v>
      </c>
      <c r="P1176">
        <v>15878400552000</v>
      </c>
    </row>
    <row r="1177" spans="1:16">
      <c r="A1177" t="s">
        <v>53</v>
      </c>
      <c r="B1177">
        <v>20260106</v>
      </c>
      <c r="C1177">
        <v>6800</v>
      </c>
      <c r="D1177" t="s">
        <v>54</v>
      </c>
      <c r="E1177" t="s">
        <v>53</v>
      </c>
      <c r="F1177" t="s">
        <v>17</v>
      </c>
      <c r="G1177">
        <v>28700</v>
      </c>
      <c r="H1177">
        <v>3200</v>
      </c>
      <c r="I1177">
        <v>12.55</v>
      </c>
      <c r="J1177">
        <v>25400</v>
      </c>
      <c r="K1177">
        <v>28950</v>
      </c>
      <c r="L1177">
        <v>25300</v>
      </c>
      <c r="M1177">
        <v>17449051</v>
      </c>
      <c r="N1177">
        <v>487870683500</v>
      </c>
      <c r="O1177">
        <v>567085734</v>
      </c>
      <c r="P1177">
        <v>16275360565800</v>
      </c>
    </row>
    <row r="1178" spans="1:16">
      <c r="A1178" t="s">
        <v>53</v>
      </c>
      <c r="B1178">
        <v>20260105</v>
      </c>
      <c r="C1178">
        <v>6800</v>
      </c>
      <c r="D1178" t="s">
        <v>54</v>
      </c>
      <c r="E1178" t="s">
        <v>53</v>
      </c>
      <c r="F1178" t="s">
        <v>17</v>
      </c>
      <c r="G1178">
        <v>25500</v>
      </c>
      <c r="H1178">
        <v>850</v>
      </c>
      <c r="I1178">
        <v>3.45</v>
      </c>
      <c r="J1178">
        <v>25050</v>
      </c>
      <c r="K1178">
        <v>25900</v>
      </c>
      <c r="L1178">
        <v>24700</v>
      </c>
      <c r="M1178">
        <v>4566255</v>
      </c>
      <c r="N1178">
        <v>115898487350</v>
      </c>
      <c r="O1178">
        <v>567085734</v>
      </c>
      <c r="P1178">
        <v>14460686217000</v>
      </c>
    </row>
    <row r="1179" spans="1:16">
      <c r="A1179" t="s">
        <v>53</v>
      </c>
      <c r="B1179">
        <v>20260102</v>
      </c>
      <c r="C1179">
        <v>6800</v>
      </c>
      <c r="D1179" t="s">
        <v>54</v>
      </c>
      <c r="E1179" t="s">
        <v>53</v>
      </c>
      <c r="F1179" t="s">
        <v>17</v>
      </c>
      <c r="G1179">
        <v>24650</v>
      </c>
      <c r="H1179">
        <v>1300</v>
      </c>
      <c r="I1179">
        <v>5.57</v>
      </c>
      <c r="J1179">
        <v>23300</v>
      </c>
      <c r="K1179">
        <v>24750</v>
      </c>
      <c r="L1179">
        <v>22600</v>
      </c>
      <c r="M1179">
        <v>5537189</v>
      </c>
      <c r="N1179">
        <v>132608414575</v>
      </c>
      <c r="O1179">
        <v>567085734</v>
      </c>
      <c r="P1179">
        <v>13978663343100</v>
      </c>
    </row>
    <row r="1180" spans="1:16">
      <c r="A1180" t="s">
        <v>55</v>
      </c>
      <c r="B1180">
        <v>20260403</v>
      </c>
      <c r="C1180">
        <v>9150</v>
      </c>
      <c r="D1180" t="s">
        <v>56</v>
      </c>
      <c r="E1180" t="s">
        <v>55</v>
      </c>
      <c r="F1180" t="s">
        <v>17</v>
      </c>
      <c r="G1180">
        <v>456000</v>
      </c>
      <c r="H1180">
        <v>39000</v>
      </c>
      <c r="I1180">
        <v>9.35</v>
      </c>
      <c r="J1180">
        <v>440000</v>
      </c>
      <c r="K1180">
        <v>462500</v>
      </c>
      <c r="L1180">
        <v>432500</v>
      </c>
      <c r="M1180">
        <v>831535</v>
      </c>
      <c r="N1180">
        <v>376527518000</v>
      </c>
      <c r="O1180">
        <v>74693696</v>
      </c>
      <c r="P1180">
        <v>34060325376000</v>
      </c>
    </row>
    <row r="1181" spans="1:16">
      <c r="A1181" t="s">
        <v>55</v>
      </c>
      <c r="B1181">
        <v>20260402</v>
      </c>
      <c r="C1181">
        <v>9150</v>
      </c>
      <c r="D1181" t="s">
        <v>56</v>
      </c>
      <c r="E1181" t="s">
        <v>55</v>
      </c>
      <c r="F1181" t="s">
        <v>17</v>
      </c>
      <c r="G1181">
        <v>417000</v>
      </c>
      <c r="H1181">
        <v>-27500</v>
      </c>
      <c r="I1181">
        <v>-6.19</v>
      </c>
      <c r="J1181">
        <v>444000</v>
      </c>
      <c r="K1181">
        <v>450500</v>
      </c>
      <c r="L1181">
        <v>410000</v>
      </c>
      <c r="M1181">
        <v>707703</v>
      </c>
      <c r="N1181">
        <v>300121034250</v>
      </c>
      <c r="O1181">
        <v>74693696</v>
      </c>
      <c r="P1181">
        <v>31147271232000</v>
      </c>
    </row>
    <row r="1182" spans="1:16">
      <c r="A1182" t="s">
        <v>55</v>
      </c>
      <c r="B1182">
        <v>20260401</v>
      </c>
      <c r="C1182">
        <v>9150</v>
      </c>
      <c r="D1182" t="s">
        <v>56</v>
      </c>
      <c r="E1182" t="s">
        <v>55</v>
      </c>
      <c r="F1182" t="s">
        <v>17</v>
      </c>
      <c r="G1182">
        <v>444500</v>
      </c>
      <c r="H1182">
        <v>37000</v>
      </c>
      <c r="I1182">
        <v>9.08</v>
      </c>
      <c r="J1182">
        <v>435000</v>
      </c>
      <c r="K1182">
        <v>451000</v>
      </c>
      <c r="L1182">
        <v>430000</v>
      </c>
      <c r="M1182">
        <v>581173</v>
      </c>
      <c r="N1182">
        <v>256848161000</v>
      </c>
      <c r="O1182">
        <v>74693696</v>
      </c>
      <c r="P1182">
        <v>33201347872000</v>
      </c>
    </row>
    <row r="1183" spans="1:16">
      <c r="A1183" t="s">
        <v>55</v>
      </c>
      <c r="B1183">
        <v>20260331</v>
      </c>
      <c r="C1183">
        <v>9150</v>
      </c>
      <c r="D1183" t="s">
        <v>56</v>
      </c>
      <c r="E1183" t="s">
        <v>55</v>
      </c>
      <c r="F1183" t="s">
        <v>17</v>
      </c>
      <c r="G1183">
        <v>407500</v>
      </c>
      <c r="H1183">
        <v>-21500</v>
      </c>
      <c r="I1183">
        <v>-5.01</v>
      </c>
      <c r="J1183">
        <v>412500</v>
      </c>
      <c r="K1183">
        <v>426000</v>
      </c>
      <c r="L1183">
        <v>396500</v>
      </c>
      <c r="M1183">
        <v>774995</v>
      </c>
      <c r="N1183">
        <v>318368884500</v>
      </c>
      <c r="O1183">
        <v>74693696</v>
      </c>
      <c r="P1183">
        <v>30437681120000</v>
      </c>
    </row>
    <row r="1184" spans="1:16">
      <c r="A1184" t="s">
        <v>55</v>
      </c>
      <c r="B1184">
        <v>20260330</v>
      </c>
      <c r="C1184">
        <v>9150</v>
      </c>
      <c r="D1184" t="s">
        <v>56</v>
      </c>
      <c r="E1184" t="s">
        <v>55</v>
      </c>
      <c r="F1184" t="s">
        <v>17</v>
      </c>
      <c r="G1184">
        <v>429000</v>
      </c>
      <c r="H1184">
        <v>-5000</v>
      </c>
      <c r="I1184">
        <v>-1.1499999999999999</v>
      </c>
      <c r="J1184">
        <v>406000</v>
      </c>
      <c r="K1184">
        <v>436500</v>
      </c>
      <c r="L1184">
        <v>401000</v>
      </c>
      <c r="M1184">
        <v>541825</v>
      </c>
      <c r="N1184">
        <v>227692450000</v>
      </c>
      <c r="O1184">
        <v>74693696</v>
      </c>
      <c r="P1184">
        <v>32043595584000</v>
      </c>
    </row>
    <row r="1185" spans="1:16">
      <c r="A1185" t="s">
        <v>55</v>
      </c>
      <c r="B1185">
        <v>20260327</v>
      </c>
      <c r="C1185">
        <v>9150</v>
      </c>
      <c r="D1185" t="s">
        <v>56</v>
      </c>
      <c r="E1185" t="s">
        <v>55</v>
      </c>
      <c r="F1185" t="s">
        <v>17</v>
      </c>
      <c r="G1185">
        <v>434000</v>
      </c>
      <c r="H1185">
        <v>-23000</v>
      </c>
      <c r="I1185">
        <v>-5.03</v>
      </c>
      <c r="J1185">
        <v>436500</v>
      </c>
      <c r="K1185">
        <v>438500</v>
      </c>
      <c r="L1185">
        <v>418000</v>
      </c>
      <c r="M1185">
        <v>700060</v>
      </c>
      <c r="N1185">
        <v>299397337000</v>
      </c>
      <c r="O1185">
        <v>74693696</v>
      </c>
      <c r="P1185">
        <v>32417064064000</v>
      </c>
    </row>
    <row r="1186" spans="1:16">
      <c r="A1186" t="s">
        <v>55</v>
      </c>
      <c r="B1186">
        <v>20260326</v>
      </c>
      <c r="C1186">
        <v>9150</v>
      </c>
      <c r="D1186" t="s">
        <v>56</v>
      </c>
      <c r="E1186" t="s">
        <v>55</v>
      </c>
      <c r="F1186" t="s">
        <v>17</v>
      </c>
      <c r="G1186">
        <v>457000</v>
      </c>
      <c r="H1186">
        <v>2500</v>
      </c>
      <c r="I1186">
        <v>0.55000000000000004</v>
      </c>
      <c r="J1186">
        <v>450500</v>
      </c>
      <c r="K1186">
        <v>466000</v>
      </c>
      <c r="L1186">
        <v>448000</v>
      </c>
      <c r="M1186">
        <v>486564</v>
      </c>
      <c r="N1186">
        <v>222352765000</v>
      </c>
      <c r="O1186">
        <v>74693696</v>
      </c>
      <c r="P1186">
        <v>34135019072000</v>
      </c>
    </row>
    <row r="1187" spans="1:16">
      <c r="A1187" t="s">
        <v>55</v>
      </c>
      <c r="B1187">
        <v>20260325</v>
      </c>
      <c r="C1187">
        <v>9150</v>
      </c>
      <c r="D1187" t="s">
        <v>56</v>
      </c>
      <c r="E1187" t="s">
        <v>55</v>
      </c>
      <c r="F1187" t="s">
        <v>17</v>
      </c>
      <c r="G1187">
        <v>454500</v>
      </c>
      <c r="H1187">
        <v>17500</v>
      </c>
      <c r="I1187">
        <v>4</v>
      </c>
      <c r="J1187">
        <v>456000</v>
      </c>
      <c r="K1187">
        <v>466500</v>
      </c>
      <c r="L1187">
        <v>450000</v>
      </c>
      <c r="M1187">
        <v>465963</v>
      </c>
      <c r="N1187">
        <v>212651534500</v>
      </c>
      <c r="O1187">
        <v>74693696</v>
      </c>
      <c r="P1187">
        <v>33948284832000</v>
      </c>
    </row>
    <row r="1188" spans="1:16">
      <c r="A1188" t="s">
        <v>55</v>
      </c>
      <c r="B1188">
        <v>20260324</v>
      </c>
      <c r="C1188">
        <v>9150</v>
      </c>
      <c r="D1188" t="s">
        <v>56</v>
      </c>
      <c r="E1188" t="s">
        <v>55</v>
      </c>
      <c r="F1188" t="s">
        <v>17</v>
      </c>
      <c r="G1188">
        <v>437000</v>
      </c>
      <c r="H1188">
        <v>9500</v>
      </c>
      <c r="I1188">
        <v>2.2200000000000002</v>
      </c>
      <c r="J1188">
        <v>452000</v>
      </c>
      <c r="K1188">
        <v>457000</v>
      </c>
      <c r="L1188">
        <v>422000</v>
      </c>
      <c r="M1188">
        <v>541705</v>
      </c>
      <c r="N1188">
        <v>237372677000</v>
      </c>
      <c r="O1188">
        <v>74693696</v>
      </c>
      <c r="P1188">
        <v>32641145152000</v>
      </c>
    </row>
    <row r="1189" spans="1:16">
      <c r="A1189" t="s">
        <v>55</v>
      </c>
      <c r="B1189">
        <v>20260323</v>
      </c>
      <c r="C1189">
        <v>9150</v>
      </c>
      <c r="D1189" t="s">
        <v>56</v>
      </c>
      <c r="E1189" t="s">
        <v>55</v>
      </c>
      <c r="F1189" t="s">
        <v>17</v>
      </c>
      <c r="G1189">
        <v>427500</v>
      </c>
      <c r="H1189">
        <v>-37000</v>
      </c>
      <c r="I1189">
        <v>-7.97</v>
      </c>
      <c r="J1189">
        <v>440500</v>
      </c>
      <c r="K1189">
        <v>444500</v>
      </c>
      <c r="L1189">
        <v>425500</v>
      </c>
      <c r="M1189">
        <v>602142</v>
      </c>
      <c r="N1189">
        <v>260658873000</v>
      </c>
      <c r="O1189">
        <v>74693696</v>
      </c>
      <c r="P1189">
        <v>31931555040000</v>
      </c>
    </row>
    <row r="1190" spans="1:16">
      <c r="A1190" t="s">
        <v>55</v>
      </c>
      <c r="B1190">
        <v>20260320</v>
      </c>
      <c r="C1190">
        <v>9150</v>
      </c>
      <c r="D1190" t="s">
        <v>56</v>
      </c>
      <c r="E1190" t="s">
        <v>55</v>
      </c>
      <c r="F1190" t="s">
        <v>17</v>
      </c>
      <c r="G1190">
        <v>464500</v>
      </c>
      <c r="H1190">
        <v>-15000</v>
      </c>
      <c r="I1190">
        <v>-3.13</v>
      </c>
      <c r="J1190">
        <v>487500</v>
      </c>
      <c r="K1190">
        <v>488500</v>
      </c>
      <c r="L1190">
        <v>455500</v>
      </c>
      <c r="M1190">
        <v>659890</v>
      </c>
      <c r="N1190">
        <v>308537728500</v>
      </c>
      <c r="O1190">
        <v>74693696</v>
      </c>
      <c r="P1190">
        <v>34695221792000</v>
      </c>
    </row>
    <row r="1191" spans="1:16">
      <c r="A1191" t="s">
        <v>55</v>
      </c>
      <c r="B1191">
        <v>20260319</v>
      </c>
      <c r="C1191">
        <v>9150</v>
      </c>
      <c r="D1191" t="s">
        <v>56</v>
      </c>
      <c r="E1191" t="s">
        <v>55</v>
      </c>
      <c r="F1191" t="s">
        <v>17</v>
      </c>
      <c r="G1191">
        <v>479500</v>
      </c>
      <c r="H1191">
        <v>15500</v>
      </c>
      <c r="I1191">
        <v>3.34</v>
      </c>
      <c r="J1191">
        <v>448000</v>
      </c>
      <c r="K1191">
        <v>485500</v>
      </c>
      <c r="L1191">
        <v>445000</v>
      </c>
      <c r="M1191">
        <v>923071</v>
      </c>
      <c r="N1191">
        <v>435833541500</v>
      </c>
      <c r="O1191">
        <v>74693696</v>
      </c>
      <c r="P1191">
        <v>35815627232000</v>
      </c>
    </row>
    <row r="1192" spans="1:16">
      <c r="A1192" t="s">
        <v>55</v>
      </c>
      <c r="B1192">
        <v>20260318</v>
      </c>
      <c r="C1192">
        <v>9150</v>
      </c>
      <c r="D1192" t="s">
        <v>56</v>
      </c>
      <c r="E1192" t="s">
        <v>55</v>
      </c>
      <c r="F1192" t="s">
        <v>17</v>
      </c>
      <c r="G1192">
        <v>464000</v>
      </c>
      <c r="H1192">
        <v>17500</v>
      </c>
      <c r="I1192">
        <v>3.92</v>
      </c>
      <c r="J1192">
        <v>462500</v>
      </c>
      <c r="K1192">
        <v>465000</v>
      </c>
      <c r="L1192">
        <v>450000</v>
      </c>
      <c r="M1192">
        <v>856316</v>
      </c>
      <c r="N1192">
        <v>391228021500</v>
      </c>
      <c r="O1192">
        <v>74693696</v>
      </c>
      <c r="P1192">
        <v>34657874944000</v>
      </c>
    </row>
    <row r="1193" spans="1:16">
      <c r="A1193" t="s">
        <v>55</v>
      </c>
      <c r="B1193">
        <v>20260317</v>
      </c>
      <c r="C1193">
        <v>9150</v>
      </c>
      <c r="D1193" t="s">
        <v>56</v>
      </c>
      <c r="E1193" t="s">
        <v>55</v>
      </c>
      <c r="F1193" t="s">
        <v>17</v>
      </c>
      <c r="G1193">
        <v>446500</v>
      </c>
      <c r="H1193">
        <v>33500</v>
      </c>
      <c r="I1193">
        <v>8.11</v>
      </c>
      <c r="J1193">
        <v>428500</v>
      </c>
      <c r="K1193">
        <v>453500</v>
      </c>
      <c r="L1193">
        <v>422000</v>
      </c>
      <c r="M1193">
        <v>1036393</v>
      </c>
      <c r="N1193">
        <v>454602549950</v>
      </c>
      <c r="O1193">
        <v>74693696</v>
      </c>
      <c r="P1193">
        <v>33350735264000</v>
      </c>
    </row>
    <row r="1194" spans="1:16">
      <c r="A1194" t="s">
        <v>55</v>
      </c>
      <c r="B1194">
        <v>20260316</v>
      </c>
      <c r="C1194">
        <v>9150</v>
      </c>
      <c r="D1194" t="s">
        <v>56</v>
      </c>
      <c r="E1194" t="s">
        <v>55</v>
      </c>
      <c r="F1194" t="s">
        <v>17</v>
      </c>
      <c r="G1194">
        <v>413000</v>
      </c>
      <c r="H1194">
        <v>12500</v>
      </c>
      <c r="I1194">
        <v>3.12</v>
      </c>
      <c r="J1194">
        <v>402000</v>
      </c>
      <c r="K1194">
        <v>424000</v>
      </c>
      <c r="L1194">
        <v>402000</v>
      </c>
      <c r="M1194">
        <v>703241</v>
      </c>
      <c r="N1194">
        <v>290723878750</v>
      </c>
      <c r="O1194">
        <v>74693696</v>
      </c>
      <c r="P1194">
        <v>30848496448000</v>
      </c>
    </row>
    <row r="1195" spans="1:16">
      <c r="A1195" t="s">
        <v>55</v>
      </c>
      <c r="B1195">
        <v>20260313</v>
      </c>
      <c r="C1195">
        <v>9150</v>
      </c>
      <c r="D1195" t="s">
        <v>56</v>
      </c>
      <c r="E1195" t="s">
        <v>55</v>
      </c>
      <c r="F1195" t="s">
        <v>17</v>
      </c>
      <c r="G1195">
        <v>400500</v>
      </c>
      <c r="H1195">
        <v>1000</v>
      </c>
      <c r="I1195">
        <v>0.25</v>
      </c>
      <c r="J1195">
        <v>385000</v>
      </c>
      <c r="K1195">
        <v>405000</v>
      </c>
      <c r="L1195">
        <v>384000</v>
      </c>
      <c r="M1195">
        <v>374842</v>
      </c>
      <c r="N1195">
        <v>149282700750</v>
      </c>
      <c r="O1195">
        <v>74693696</v>
      </c>
      <c r="P1195">
        <v>29914825248000</v>
      </c>
    </row>
    <row r="1196" spans="1:16">
      <c r="A1196" t="s">
        <v>55</v>
      </c>
      <c r="B1196">
        <v>20260312</v>
      </c>
      <c r="C1196">
        <v>9150</v>
      </c>
      <c r="D1196" t="s">
        <v>56</v>
      </c>
      <c r="E1196" t="s">
        <v>55</v>
      </c>
      <c r="F1196" t="s">
        <v>17</v>
      </c>
      <c r="G1196">
        <v>399500</v>
      </c>
      <c r="H1196">
        <v>-6500</v>
      </c>
      <c r="I1196">
        <v>-1.6</v>
      </c>
      <c r="J1196">
        <v>403000</v>
      </c>
      <c r="K1196">
        <v>411000</v>
      </c>
      <c r="L1196">
        <v>397000</v>
      </c>
      <c r="M1196">
        <v>480216</v>
      </c>
      <c r="N1196">
        <v>193123846750</v>
      </c>
      <c r="O1196">
        <v>74693696</v>
      </c>
      <c r="P1196">
        <v>29840131552000</v>
      </c>
    </row>
    <row r="1197" spans="1:16">
      <c r="A1197" t="s">
        <v>55</v>
      </c>
      <c r="B1197">
        <v>20260311</v>
      </c>
      <c r="C1197">
        <v>9150</v>
      </c>
      <c r="D1197" t="s">
        <v>56</v>
      </c>
      <c r="E1197" t="s">
        <v>55</v>
      </c>
      <c r="F1197" t="s">
        <v>17</v>
      </c>
      <c r="G1197">
        <v>406000</v>
      </c>
      <c r="H1197">
        <v>4000</v>
      </c>
      <c r="I1197">
        <v>1</v>
      </c>
      <c r="J1197">
        <v>415000</v>
      </c>
      <c r="K1197">
        <v>427500</v>
      </c>
      <c r="L1197">
        <v>400500</v>
      </c>
      <c r="M1197">
        <v>603440</v>
      </c>
      <c r="N1197">
        <v>251503545500</v>
      </c>
      <c r="O1197">
        <v>74693696</v>
      </c>
      <c r="P1197">
        <v>30325640576000</v>
      </c>
    </row>
    <row r="1198" spans="1:16">
      <c r="A1198" t="s">
        <v>55</v>
      </c>
      <c r="B1198">
        <v>20260310</v>
      </c>
      <c r="C1198">
        <v>9150</v>
      </c>
      <c r="D1198" t="s">
        <v>56</v>
      </c>
      <c r="E1198" t="s">
        <v>55</v>
      </c>
      <c r="F1198" t="s">
        <v>17</v>
      </c>
      <c r="G1198">
        <v>402000</v>
      </c>
      <c r="H1198">
        <v>20000</v>
      </c>
      <c r="I1198">
        <v>5.24</v>
      </c>
      <c r="J1198">
        <v>403000</v>
      </c>
      <c r="K1198">
        <v>409000</v>
      </c>
      <c r="L1198">
        <v>390000</v>
      </c>
      <c r="M1198">
        <v>979618</v>
      </c>
      <c r="N1198">
        <v>392201187900</v>
      </c>
      <c r="O1198">
        <v>74693696</v>
      </c>
      <c r="P1198">
        <v>30026865792000</v>
      </c>
    </row>
    <row r="1199" spans="1:16">
      <c r="A1199" t="s">
        <v>55</v>
      </c>
      <c r="B1199">
        <v>20260309</v>
      </c>
      <c r="C1199">
        <v>9150</v>
      </c>
      <c r="D1199" t="s">
        <v>56</v>
      </c>
      <c r="E1199" t="s">
        <v>55</v>
      </c>
      <c r="F1199" t="s">
        <v>17</v>
      </c>
      <c r="G1199">
        <v>382000</v>
      </c>
      <c r="H1199">
        <v>-22500</v>
      </c>
      <c r="I1199">
        <v>-5.56</v>
      </c>
      <c r="J1199">
        <v>373500</v>
      </c>
      <c r="K1199">
        <v>387000</v>
      </c>
      <c r="L1199">
        <v>360000</v>
      </c>
      <c r="M1199">
        <v>689302</v>
      </c>
      <c r="N1199">
        <v>256383023250</v>
      </c>
      <c r="O1199">
        <v>74693696</v>
      </c>
      <c r="P1199">
        <v>28532991872000</v>
      </c>
    </row>
    <row r="1200" spans="1:16">
      <c r="A1200" t="s">
        <v>55</v>
      </c>
      <c r="B1200">
        <v>20260306</v>
      </c>
      <c r="C1200">
        <v>9150</v>
      </c>
      <c r="D1200" t="s">
        <v>56</v>
      </c>
      <c r="E1200" t="s">
        <v>55</v>
      </c>
      <c r="F1200" t="s">
        <v>17</v>
      </c>
      <c r="G1200">
        <v>404500</v>
      </c>
      <c r="H1200">
        <v>3000</v>
      </c>
      <c r="I1200">
        <v>0.75</v>
      </c>
      <c r="J1200">
        <v>405000</v>
      </c>
      <c r="K1200">
        <v>415000</v>
      </c>
      <c r="L1200">
        <v>389000</v>
      </c>
      <c r="M1200">
        <v>611215</v>
      </c>
      <c r="N1200">
        <v>245554491750</v>
      </c>
      <c r="O1200">
        <v>74693696</v>
      </c>
      <c r="P1200">
        <v>30213600032000</v>
      </c>
    </row>
    <row r="1201" spans="1:16">
      <c r="A1201" t="s">
        <v>55</v>
      </c>
      <c r="B1201">
        <v>20260305</v>
      </c>
      <c r="C1201">
        <v>9150</v>
      </c>
      <c r="D1201" t="s">
        <v>56</v>
      </c>
      <c r="E1201" t="s">
        <v>55</v>
      </c>
      <c r="F1201" t="s">
        <v>17</v>
      </c>
      <c r="G1201">
        <v>401500</v>
      </c>
      <c r="H1201">
        <v>39000</v>
      </c>
      <c r="I1201">
        <v>10.76</v>
      </c>
      <c r="J1201">
        <v>430000</v>
      </c>
      <c r="K1201">
        <v>436000</v>
      </c>
      <c r="L1201">
        <v>396500</v>
      </c>
      <c r="M1201">
        <v>1220260</v>
      </c>
      <c r="N1201">
        <v>506776622250</v>
      </c>
      <c r="O1201">
        <v>74693696</v>
      </c>
      <c r="P1201">
        <v>29989518944000</v>
      </c>
    </row>
    <row r="1202" spans="1:16">
      <c r="A1202" t="s">
        <v>55</v>
      </c>
      <c r="B1202">
        <v>20260304</v>
      </c>
      <c r="C1202">
        <v>9150</v>
      </c>
      <c r="D1202" t="s">
        <v>56</v>
      </c>
      <c r="E1202" t="s">
        <v>55</v>
      </c>
      <c r="F1202" t="s">
        <v>17</v>
      </c>
      <c r="G1202">
        <v>362500</v>
      </c>
      <c r="H1202">
        <v>-46500</v>
      </c>
      <c r="I1202">
        <v>-11.37</v>
      </c>
      <c r="J1202">
        <v>387000</v>
      </c>
      <c r="K1202">
        <v>404000</v>
      </c>
      <c r="L1202">
        <v>350500</v>
      </c>
      <c r="M1202">
        <v>1314788</v>
      </c>
      <c r="N1202">
        <v>493577182000</v>
      </c>
      <c r="O1202">
        <v>74693696</v>
      </c>
      <c r="P1202">
        <v>27076464800000</v>
      </c>
    </row>
    <row r="1203" spans="1:16">
      <c r="A1203" t="s">
        <v>55</v>
      </c>
      <c r="B1203">
        <v>20260303</v>
      </c>
      <c r="C1203">
        <v>9150</v>
      </c>
      <c r="D1203" t="s">
        <v>56</v>
      </c>
      <c r="E1203" t="s">
        <v>55</v>
      </c>
      <c r="F1203" t="s">
        <v>17</v>
      </c>
      <c r="G1203">
        <v>409000</v>
      </c>
      <c r="H1203">
        <v>-39500</v>
      </c>
      <c r="I1203">
        <v>-8.81</v>
      </c>
      <c r="J1203">
        <v>430000</v>
      </c>
      <c r="K1203">
        <v>443500</v>
      </c>
      <c r="L1203">
        <v>408000</v>
      </c>
      <c r="M1203">
        <v>1221152</v>
      </c>
      <c r="N1203">
        <v>518739905250</v>
      </c>
      <c r="O1203">
        <v>74693696</v>
      </c>
      <c r="P1203">
        <v>30549721664000</v>
      </c>
    </row>
    <row r="1204" spans="1:16">
      <c r="A1204" t="s">
        <v>55</v>
      </c>
      <c r="B1204">
        <v>20260227</v>
      </c>
      <c r="C1204">
        <v>9150</v>
      </c>
      <c r="D1204" t="s">
        <v>56</v>
      </c>
      <c r="E1204" t="s">
        <v>55</v>
      </c>
      <c r="F1204" t="s">
        <v>17</v>
      </c>
      <c r="G1204">
        <v>448500</v>
      </c>
      <c r="H1204">
        <v>-18000</v>
      </c>
      <c r="I1204">
        <v>-3.86</v>
      </c>
      <c r="J1204">
        <v>455500</v>
      </c>
      <c r="K1204">
        <v>466000</v>
      </c>
      <c r="L1204">
        <v>444000</v>
      </c>
      <c r="M1204">
        <v>1072933</v>
      </c>
      <c r="N1204">
        <v>485728611984</v>
      </c>
      <c r="O1204">
        <v>74693696</v>
      </c>
      <c r="P1204">
        <v>33500122656000</v>
      </c>
    </row>
    <row r="1205" spans="1:16">
      <c r="A1205" t="s">
        <v>55</v>
      </c>
      <c r="B1205">
        <v>20260226</v>
      </c>
      <c r="C1205">
        <v>9150</v>
      </c>
      <c r="D1205" t="s">
        <v>56</v>
      </c>
      <c r="E1205" t="s">
        <v>55</v>
      </c>
      <c r="F1205" t="s">
        <v>17</v>
      </c>
      <c r="G1205">
        <v>466500</v>
      </c>
      <c r="H1205">
        <v>1500</v>
      </c>
      <c r="I1205">
        <v>0.32</v>
      </c>
      <c r="J1205">
        <v>461000</v>
      </c>
      <c r="K1205">
        <v>474000</v>
      </c>
      <c r="L1205">
        <v>458500</v>
      </c>
      <c r="M1205">
        <v>836633</v>
      </c>
      <c r="N1205">
        <v>390343498750</v>
      </c>
      <c r="O1205">
        <v>74693696</v>
      </c>
      <c r="P1205">
        <v>34844609184000</v>
      </c>
    </row>
    <row r="1206" spans="1:16">
      <c r="A1206" t="s">
        <v>55</v>
      </c>
      <c r="B1206">
        <v>20260225</v>
      </c>
      <c r="C1206">
        <v>9150</v>
      </c>
      <c r="D1206" t="s">
        <v>56</v>
      </c>
      <c r="E1206" t="s">
        <v>55</v>
      </c>
      <c r="F1206" t="s">
        <v>17</v>
      </c>
      <c r="G1206">
        <v>465000</v>
      </c>
      <c r="H1206">
        <v>19000</v>
      </c>
      <c r="I1206">
        <v>4.26</v>
      </c>
      <c r="J1206">
        <v>469000</v>
      </c>
      <c r="K1206">
        <v>471500</v>
      </c>
      <c r="L1206">
        <v>452000</v>
      </c>
      <c r="M1206">
        <v>1024495</v>
      </c>
      <c r="N1206">
        <v>473107759350</v>
      </c>
      <c r="O1206">
        <v>74693696</v>
      </c>
      <c r="P1206">
        <v>34732568640000</v>
      </c>
    </row>
    <row r="1207" spans="1:16">
      <c r="A1207" t="s">
        <v>55</v>
      </c>
      <c r="B1207">
        <v>20260224</v>
      </c>
      <c r="C1207">
        <v>9150</v>
      </c>
      <c r="D1207" t="s">
        <v>56</v>
      </c>
      <c r="E1207" t="s">
        <v>55</v>
      </c>
      <c r="F1207" t="s">
        <v>17</v>
      </c>
      <c r="G1207">
        <v>446000</v>
      </c>
      <c r="H1207">
        <v>19500</v>
      </c>
      <c r="I1207">
        <v>4.57</v>
      </c>
      <c r="J1207">
        <v>425500</v>
      </c>
      <c r="K1207">
        <v>449000</v>
      </c>
      <c r="L1207">
        <v>410000</v>
      </c>
      <c r="M1207">
        <v>1410621</v>
      </c>
      <c r="N1207">
        <v>609951399250</v>
      </c>
      <c r="O1207">
        <v>74693696</v>
      </c>
      <c r="P1207">
        <v>33313388416000</v>
      </c>
    </row>
    <row r="1208" spans="1:16">
      <c r="A1208" t="s">
        <v>55</v>
      </c>
      <c r="B1208">
        <v>20260223</v>
      </c>
      <c r="C1208">
        <v>9150</v>
      </c>
      <c r="D1208" t="s">
        <v>56</v>
      </c>
      <c r="E1208" t="s">
        <v>55</v>
      </c>
      <c r="F1208" t="s">
        <v>17</v>
      </c>
      <c r="G1208">
        <v>426500</v>
      </c>
      <c r="H1208">
        <v>49500</v>
      </c>
      <c r="I1208">
        <v>13.13</v>
      </c>
      <c r="J1208">
        <v>396500</v>
      </c>
      <c r="K1208">
        <v>436500</v>
      </c>
      <c r="L1208">
        <v>392000</v>
      </c>
      <c r="M1208">
        <v>1645328</v>
      </c>
      <c r="N1208">
        <v>692692459750</v>
      </c>
      <c r="O1208">
        <v>74693696</v>
      </c>
      <c r="P1208">
        <v>31856861344000</v>
      </c>
    </row>
    <row r="1209" spans="1:16">
      <c r="A1209" t="s">
        <v>55</v>
      </c>
      <c r="B1209">
        <v>20260220</v>
      </c>
      <c r="C1209">
        <v>9150</v>
      </c>
      <c r="D1209" t="s">
        <v>56</v>
      </c>
      <c r="E1209" t="s">
        <v>55</v>
      </c>
      <c r="F1209" t="s">
        <v>17</v>
      </c>
      <c r="G1209">
        <v>377000</v>
      </c>
      <c r="H1209">
        <v>19000</v>
      </c>
      <c r="I1209">
        <v>5.31</v>
      </c>
      <c r="J1209">
        <v>357000</v>
      </c>
      <c r="K1209">
        <v>386000</v>
      </c>
      <c r="L1209">
        <v>354000</v>
      </c>
      <c r="M1209">
        <v>1178359</v>
      </c>
      <c r="N1209">
        <v>442427592500</v>
      </c>
      <c r="O1209">
        <v>74693696</v>
      </c>
      <c r="P1209">
        <v>28159523392000</v>
      </c>
    </row>
    <row r="1210" spans="1:16">
      <c r="A1210" t="s">
        <v>55</v>
      </c>
      <c r="B1210">
        <v>20260219</v>
      </c>
      <c r="C1210">
        <v>9150</v>
      </c>
      <c r="D1210" t="s">
        <v>56</v>
      </c>
      <c r="E1210" t="s">
        <v>55</v>
      </c>
      <c r="F1210" t="s">
        <v>17</v>
      </c>
      <c r="G1210">
        <v>358000</v>
      </c>
      <c r="H1210">
        <v>48500</v>
      </c>
      <c r="I1210">
        <v>15.67</v>
      </c>
      <c r="J1210">
        <v>328000</v>
      </c>
      <c r="K1210">
        <v>363000</v>
      </c>
      <c r="L1210">
        <v>321000</v>
      </c>
      <c r="M1210">
        <v>1471530</v>
      </c>
      <c r="N1210">
        <v>516265932500</v>
      </c>
      <c r="O1210">
        <v>74693696</v>
      </c>
      <c r="P1210">
        <v>26740343168000</v>
      </c>
    </row>
    <row r="1211" spans="1:16">
      <c r="A1211" t="s">
        <v>55</v>
      </c>
      <c r="B1211">
        <v>20260213</v>
      </c>
      <c r="C1211">
        <v>9150</v>
      </c>
      <c r="D1211" t="s">
        <v>56</v>
      </c>
      <c r="E1211" t="s">
        <v>55</v>
      </c>
      <c r="F1211" t="s">
        <v>17</v>
      </c>
      <c r="G1211">
        <v>309500</v>
      </c>
      <c r="H1211">
        <v>-10000</v>
      </c>
      <c r="I1211">
        <v>-3.13</v>
      </c>
      <c r="J1211">
        <v>314000</v>
      </c>
      <c r="K1211">
        <v>319500</v>
      </c>
      <c r="L1211">
        <v>309000</v>
      </c>
      <c r="M1211">
        <v>368404</v>
      </c>
      <c r="N1211">
        <v>115604158500</v>
      </c>
      <c r="O1211">
        <v>74693696</v>
      </c>
      <c r="P1211">
        <v>23117698912000</v>
      </c>
    </row>
    <row r="1212" spans="1:16">
      <c r="A1212" t="s">
        <v>55</v>
      </c>
      <c r="B1212">
        <v>20260212</v>
      </c>
      <c r="C1212">
        <v>9150</v>
      </c>
      <c r="D1212" t="s">
        <v>56</v>
      </c>
      <c r="E1212" t="s">
        <v>55</v>
      </c>
      <c r="F1212" t="s">
        <v>17</v>
      </c>
      <c r="G1212">
        <v>319500</v>
      </c>
      <c r="H1212">
        <v>10000</v>
      </c>
      <c r="I1212">
        <v>3.23</v>
      </c>
      <c r="J1212">
        <v>316000</v>
      </c>
      <c r="K1212">
        <v>322000</v>
      </c>
      <c r="L1212">
        <v>314000</v>
      </c>
      <c r="M1212">
        <v>513056</v>
      </c>
      <c r="N1212">
        <v>163370459750</v>
      </c>
      <c r="O1212">
        <v>74693696</v>
      </c>
      <c r="P1212">
        <v>23864635872000</v>
      </c>
    </row>
    <row r="1213" spans="1:16">
      <c r="A1213" t="s">
        <v>55</v>
      </c>
      <c r="B1213">
        <v>20260211</v>
      </c>
      <c r="C1213">
        <v>9150</v>
      </c>
      <c r="D1213" t="s">
        <v>56</v>
      </c>
      <c r="E1213" t="s">
        <v>55</v>
      </c>
      <c r="F1213" t="s">
        <v>17</v>
      </c>
      <c r="G1213">
        <v>309500</v>
      </c>
      <c r="H1213">
        <v>-4000</v>
      </c>
      <c r="I1213">
        <v>-1.28</v>
      </c>
      <c r="J1213">
        <v>311000</v>
      </c>
      <c r="K1213">
        <v>312500</v>
      </c>
      <c r="L1213">
        <v>301750</v>
      </c>
      <c r="M1213">
        <v>431768</v>
      </c>
      <c r="N1213">
        <v>132903853750</v>
      </c>
      <c r="O1213">
        <v>74693696</v>
      </c>
      <c r="P1213">
        <v>23117698912000</v>
      </c>
    </row>
    <row r="1214" spans="1:16">
      <c r="A1214" t="s">
        <v>55</v>
      </c>
      <c r="B1214">
        <v>20260210</v>
      </c>
      <c r="C1214">
        <v>9150</v>
      </c>
      <c r="D1214" t="s">
        <v>56</v>
      </c>
      <c r="E1214" t="s">
        <v>55</v>
      </c>
      <c r="F1214" t="s">
        <v>17</v>
      </c>
      <c r="G1214">
        <v>313500</v>
      </c>
      <c r="H1214">
        <v>9500</v>
      </c>
      <c r="I1214">
        <v>3.13</v>
      </c>
      <c r="J1214">
        <v>306500</v>
      </c>
      <c r="K1214">
        <v>323000</v>
      </c>
      <c r="L1214">
        <v>304500</v>
      </c>
      <c r="M1214">
        <v>755851</v>
      </c>
      <c r="N1214">
        <v>237923844500</v>
      </c>
      <c r="O1214">
        <v>74693696</v>
      </c>
      <c r="P1214">
        <v>23416473696000</v>
      </c>
    </row>
    <row r="1215" spans="1:16">
      <c r="A1215" t="s">
        <v>55</v>
      </c>
      <c r="B1215">
        <v>20260209</v>
      </c>
      <c r="C1215">
        <v>9150</v>
      </c>
      <c r="D1215" t="s">
        <v>56</v>
      </c>
      <c r="E1215" t="s">
        <v>55</v>
      </c>
      <c r="F1215" t="s">
        <v>17</v>
      </c>
      <c r="G1215">
        <v>304000</v>
      </c>
      <c r="H1215">
        <v>20000</v>
      </c>
      <c r="I1215">
        <v>7.04</v>
      </c>
      <c r="J1215">
        <v>296000</v>
      </c>
      <c r="K1215">
        <v>305500</v>
      </c>
      <c r="L1215">
        <v>291000</v>
      </c>
      <c r="M1215">
        <v>685190</v>
      </c>
      <c r="N1215">
        <v>205546766500</v>
      </c>
      <c r="O1215">
        <v>74693696</v>
      </c>
      <c r="P1215">
        <v>22706883584000</v>
      </c>
    </row>
    <row r="1216" spans="1:16">
      <c r="A1216" t="s">
        <v>55</v>
      </c>
      <c r="B1216">
        <v>20260206</v>
      </c>
      <c r="C1216">
        <v>9150</v>
      </c>
      <c r="D1216" t="s">
        <v>56</v>
      </c>
      <c r="E1216" t="s">
        <v>55</v>
      </c>
      <c r="F1216" t="s">
        <v>17</v>
      </c>
      <c r="G1216">
        <v>284000</v>
      </c>
      <c r="H1216">
        <v>-6000</v>
      </c>
      <c r="I1216">
        <v>-2.0699999999999998</v>
      </c>
      <c r="J1216">
        <v>279500</v>
      </c>
      <c r="K1216">
        <v>290000</v>
      </c>
      <c r="L1216">
        <v>274000</v>
      </c>
      <c r="M1216">
        <v>545238</v>
      </c>
      <c r="N1216">
        <v>153238686250</v>
      </c>
      <c r="O1216">
        <v>74693696</v>
      </c>
      <c r="P1216">
        <v>21213009664000</v>
      </c>
    </row>
    <row r="1217" spans="1:16">
      <c r="A1217" t="s">
        <v>55</v>
      </c>
      <c r="B1217">
        <v>20260205</v>
      </c>
      <c r="C1217">
        <v>9150</v>
      </c>
      <c r="D1217" t="s">
        <v>56</v>
      </c>
      <c r="E1217" t="s">
        <v>55</v>
      </c>
      <c r="F1217" t="s">
        <v>17</v>
      </c>
      <c r="G1217">
        <v>290000</v>
      </c>
      <c r="H1217">
        <v>-15000</v>
      </c>
      <c r="I1217">
        <v>-4.92</v>
      </c>
      <c r="J1217">
        <v>298000</v>
      </c>
      <c r="K1217">
        <v>300500</v>
      </c>
      <c r="L1217">
        <v>285500</v>
      </c>
      <c r="M1217">
        <v>587435</v>
      </c>
      <c r="N1217">
        <v>171703810500</v>
      </c>
      <c r="O1217">
        <v>74693696</v>
      </c>
      <c r="P1217">
        <v>21661171840000</v>
      </c>
    </row>
    <row r="1218" spans="1:16">
      <c r="A1218" t="s">
        <v>55</v>
      </c>
      <c r="B1218">
        <v>20260204</v>
      </c>
      <c r="C1218">
        <v>9150</v>
      </c>
      <c r="D1218" t="s">
        <v>56</v>
      </c>
      <c r="E1218" t="s">
        <v>55</v>
      </c>
      <c r="F1218" t="s">
        <v>17</v>
      </c>
      <c r="G1218">
        <v>305000</v>
      </c>
      <c r="H1218">
        <v>-2500</v>
      </c>
      <c r="I1218">
        <v>-0.81</v>
      </c>
      <c r="J1218">
        <v>303000</v>
      </c>
      <c r="K1218">
        <v>305500</v>
      </c>
      <c r="L1218">
        <v>295500</v>
      </c>
      <c r="M1218">
        <v>735734</v>
      </c>
      <c r="N1218">
        <v>220457917500</v>
      </c>
      <c r="O1218">
        <v>74693696</v>
      </c>
      <c r="P1218">
        <v>22781577280000</v>
      </c>
    </row>
    <row r="1219" spans="1:16">
      <c r="A1219" t="s">
        <v>55</v>
      </c>
      <c r="B1219">
        <v>20260203</v>
      </c>
      <c r="C1219">
        <v>9150</v>
      </c>
      <c r="D1219" t="s">
        <v>56</v>
      </c>
      <c r="E1219" t="s">
        <v>55</v>
      </c>
      <c r="F1219" t="s">
        <v>17</v>
      </c>
      <c r="G1219">
        <v>307500</v>
      </c>
      <c r="H1219">
        <v>24500</v>
      </c>
      <c r="I1219">
        <v>8.66</v>
      </c>
      <c r="J1219">
        <v>294000</v>
      </c>
      <c r="K1219">
        <v>309500</v>
      </c>
      <c r="L1219">
        <v>292000</v>
      </c>
      <c r="M1219">
        <v>1354513</v>
      </c>
      <c r="N1219">
        <v>410776672500</v>
      </c>
      <c r="O1219">
        <v>74693696</v>
      </c>
      <c r="P1219">
        <v>22968311520000</v>
      </c>
    </row>
    <row r="1220" spans="1:16">
      <c r="A1220" t="s">
        <v>55</v>
      </c>
      <c r="B1220">
        <v>20260202</v>
      </c>
      <c r="C1220">
        <v>9150</v>
      </c>
      <c r="D1220" t="s">
        <v>56</v>
      </c>
      <c r="E1220" t="s">
        <v>55</v>
      </c>
      <c r="F1220" t="s">
        <v>17</v>
      </c>
      <c r="G1220">
        <v>283000</v>
      </c>
      <c r="H1220">
        <v>4000</v>
      </c>
      <c r="I1220">
        <v>1.43</v>
      </c>
      <c r="J1220">
        <v>289000</v>
      </c>
      <c r="K1220">
        <v>300000</v>
      </c>
      <c r="L1220">
        <v>280000</v>
      </c>
      <c r="M1220">
        <v>1476234</v>
      </c>
      <c r="N1220">
        <v>427780354500</v>
      </c>
      <c r="O1220">
        <v>74693696</v>
      </c>
      <c r="P1220">
        <v>21138315968000</v>
      </c>
    </row>
    <row r="1221" spans="1:16">
      <c r="A1221" t="s">
        <v>55</v>
      </c>
      <c r="B1221">
        <v>20260130</v>
      </c>
      <c r="C1221">
        <v>9150</v>
      </c>
      <c r="D1221" t="s">
        <v>56</v>
      </c>
      <c r="E1221" t="s">
        <v>55</v>
      </c>
      <c r="F1221" t="s">
        <v>17</v>
      </c>
      <c r="G1221">
        <v>279000</v>
      </c>
      <c r="H1221">
        <v>-500</v>
      </c>
      <c r="I1221">
        <v>-0.18</v>
      </c>
      <c r="J1221">
        <v>277000</v>
      </c>
      <c r="K1221">
        <v>288000</v>
      </c>
      <c r="L1221">
        <v>272500</v>
      </c>
      <c r="M1221">
        <v>711202</v>
      </c>
      <c r="N1221">
        <v>199060997750</v>
      </c>
      <c r="O1221">
        <v>74693696</v>
      </c>
      <c r="P1221">
        <v>20839541184000</v>
      </c>
    </row>
    <row r="1222" spans="1:16">
      <c r="A1222" t="s">
        <v>55</v>
      </c>
      <c r="B1222">
        <v>20260129</v>
      </c>
      <c r="C1222">
        <v>9150</v>
      </c>
      <c r="D1222" t="s">
        <v>56</v>
      </c>
      <c r="E1222" t="s">
        <v>55</v>
      </c>
      <c r="F1222" t="s">
        <v>17</v>
      </c>
      <c r="G1222">
        <v>279500</v>
      </c>
      <c r="H1222">
        <v>-500</v>
      </c>
      <c r="I1222">
        <v>-0.18</v>
      </c>
      <c r="J1222">
        <v>280000</v>
      </c>
      <c r="K1222">
        <v>281000</v>
      </c>
      <c r="L1222">
        <v>273500</v>
      </c>
      <c r="M1222">
        <v>613112</v>
      </c>
      <c r="N1222">
        <v>170298980250</v>
      </c>
      <c r="O1222">
        <v>74693696</v>
      </c>
      <c r="P1222">
        <v>20876888032000</v>
      </c>
    </row>
    <row r="1223" spans="1:16">
      <c r="A1223" t="s">
        <v>55</v>
      </c>
      <c r="B1223">
        <v>20260128</v>
      </c>
      <c r="C1223">
        <v>9150</v>
      </c>
      <c r="D1223" t="s">
        <v>56</v>
      </c>
      <c r="E1223" t="s">
        <v>55</v>
      </c>
      <c r="F1223" t="s">
        <v>17</v>
      </c>
      <c r="G1223">
        <v>280000</v>
      </c>
      <c r="H1223">
        <v>3000</v>
      </c>
      <c r="I1223">
        <v>1.08</v>
      </c>
      <c r="J1223">
        <v>280000</v>
      </c>
      <c r="K1223">
        <v>284000</v>
      </c>
      <c r="L1223">
        <v>276000</v>
      </c>
      <c r="M1223">
        <v>678513</v>
      </c>
      <c r="N1223">
        <v>189153975750</v>
      </c>
      <c r="O1223">
        <v>74693696</v>
      </c>
      <c r="P1223">
        <v>20914234880000</v>
      </c>
    </row>
    <row r="1224" spans="1:16">
      <c r="A1224" t="s">
        <v>55</v>
      </c>
      <c r="B1224">
        <v>20260127</v>
      </c>
      <c r="C1224">
        <v>9150</v>
      </c>
      <c r="D1224" t="s">
        <v>56</v>
      </c>
      <c r="E1224" t="s">
        <v>55</v>
      </c>
      <c r="F1224" t="s">
        <v>17</v>
      </c>
      <c r="G1224">
        <v>277000</v>
      </c>
      <c r="H1224">
        <v>2000</v>
      </c>
      <c r="I1224">
        <v>0.73</v>
      </c>
      <c r="J1224">
        <v>275500</v>
      </c>
      <c r="K1224">
        <v>277000</v>
      </c>
      <c r="L1224">
        <v>266000</v>
      </c>
      <c r="M1224">
        <v>676611</v>
      </c>
      <c r="N1224">
        <v>185331787000</v>
      </c>
      <c r="O1224">
        <v>74693696</v>
      </c>
      <c r="P1224">
        <v>20690153792000</v>
      </c>
    </row>
    <row r="1225" spans="1:16">
      <c r="A1225" t="s">
        <v>55</v>
      </c>
      <c r="B1225">
        <v>20260126</v>
      </c>
      <c r="C1225">
        <v>9150</v>
      </c>
      <c r="D1225" t="s">
        <v>56</v>
      </c>
      <c r="E1225" t="s">
        <v>55</v>
      </c>
      <c r="F1225" t="s">
        <v>17</v>
      </c>
      <c r="G1225">
        <v>275000</v>
      </c>
      <c r="H1225">
        <v>3000</v>
      </c>
      <c r="I1225">
        <v>1.1000000000000001</v>
      </c>
      <c r="J1225">
        <v>274000</v>
      </c>
      <c r="K1225">
        <v>276000</v>
      </c>
      <c r="L1225">
        <v>268500</v>
      </c>
      <c r="M1225">
        <v>698696</v>
      </c>
      <c r="N1225">
        <v>190665528750</v>
      </c>
      <c r="O1225">
        <v>74693696</v>
      </c>
      <c r="P1225">
        <v>20540766400000</v>
      </c>
    </row>
    <row r="1226" spans="1:16">
      <c r="A1226" t="s">
        <v>55</v>
      </c>
      <c r="B1226">
        <v>20260123</v>
      </c>
      <c r="C1226">
        <v>9150</v>
      </c>
      <c r="D1226" t="s">
        <v>56</v>
      </c>
      <c r="E1226" t="s">
        <v>55</v>
      </c>
      <c r="F1226" t="s">
        <v>17</v>
      </c>
      <c r="G1226">
        <v>272000</v>
      </c>
      <c r="H1226">
        <v>-11000</v>
      </c>
      <c r="I1226">
        <v>-3.89</v>
      </c>
      <c r="J1226">
        <v>288500</v>
      </c>
      <c r="K1226">
        <v>291500</v>
      </c>
      <c r="L1226">
        <v>267500</v>
      </c>
      <c r="M1226">
        <v>1221617</v>
      </c>
      <c r="N1226">
        <v>339446587250</v>
      </c>
      <c r="O1226">
        <v>74693696</v>
      </c>
      <c r="P1226">
        <v>20316685312000</v>
      </c>
    </row>
    <row r="1227" spans="1:16">
      <c r="A1227" t="s">
        <v>55</v>
      </c>
      <c r="B1227">
        <v>20260122</v>
      </c>
      <c r="C1227">
        <v>9150</v>
      </c>
      <c r="D1227" t="s">
        <v>56</v>
      </c>
      <c r="E1227" t="s">
        <v>55</v>
      </c>
      <c r="F1227" t="s">
        <v>17</v>
      </c>
      <c r="G1227">
        <v>283000</v>
      </c>
      <c r="H1227">
        <v>3000</v>
      </c>
      <c r="I1227">
        <v>1.07</v>
      </c>
      <c r="J1227">
        <v>286000</v>
      </c>
      <c r="K1227">
        <v>286500</v>
      </c>
      <c r="L1227">
        <v>281000</v>
      </c>
      <c r="M1227">
        <v>475584</v>
      </c>
      <c r="N1227">
        <v>135118945750</v>
      </c>
      <c r="O1227">
        <v>74693696</v>
      </c>
      <c r="P1227">
        <v>21138315968000</v>
      </c>
    </row>
    <row r="1228" spans="1:16">
      <c r="A1228" t="s">
        <v>55</v>
      </c>
      <c r="B1228">
        <v>20260121</v>
      </c>
      <c r="C1228">
        <v>9150</v>
      </c>
      <c r="D1228" t="s">
        <v>56</v>
      </c>
      <c r="E1228" t="s">
        <v>55</v>
      </c>
      <c r="F1228" t="s">
        <v>17</v>
      </c>
      <c r="G1228">
        <v>280000</v>
      </c>
      <c r="H1228">
        <v>-2000</v>
      </c>
      <c r="I1228">
        <v>-0.71</v>
      </c>
      <c r="J1228">
        <v>272500</v>
      </c>
      <c r="K1228">
        <v>283500</v>
      </c>
      <c r="L1228">
        <v>272000</v>
      </c>
      <c r="M1228">
        <v>581814</v>
      </c>
      <c r="N1228">
        <v>161977527000</v>
      </c>
      <c r="O1228">
        <v>74693696</v>
      </c>
      <c r="P1228">
        <v>20914234880000</v>
      </c>
    </row>
    <row r="1229" spans="1:16">
      <c r="A1229" t="s">
        <v>55</v>
      </c>
      <c r="B1229">
        <v>20260120</v>
      </c>
      <c r="C1229">
        <v>9150</v>
      </c>
      <c r="D1229" t="s">
        <v>56</v>
      </c>
      <c r="E1229" t="s">
        <v>55</v>
      </c>
      <c r="F1229" t="s">
        <v>17</v>
      </c>
      <c r="G1229">
        <v>282000</v>
      </c>
      <c r="H1229">
        <v>-10000</v>
      </c>
      <c r="I1229">
        <v>-3.42</v>
      </c>
      <c r="J1229">
        <v>289000</v>
      </c>
      <c r="K1229">
        <v>289000</v>
      </c>
      <c r="L1229">
        <v>276000</v>
      </c>
      <c r="M1229">
        <v>565656</v>
      </c>
      <c r="N1229">
        <v>159429064500</v>
      </c>
      <c r="O1229">
        <v>74693696</v>
      </c>
      <c r="P1229">
        <v>21063622272000</v>
      </c>
    </row>
    <row r="1230" spans="1:16">
      <c r="A1230" t="s">
        <v>55</v>
      </c>
      <c r="B1230">
        <v>20260119</v>
      </c>
      <c r="C1230">
        <v>9150</v>
      </c>
      <c r="D1230" t="s">
        <v>56</v>
      </c>
      <c r="E1230" t="s">
        <v>55</v>
      </c>
      <c r="F1230" t="s">
        <v>17</v>
      </c>
      <c r="G1230">
        <v>292000</v>
      </c>
      <c r="H1230">
        <v>2500</v>
      </c>
      <c r="I1230">
        <v>0.86</v>
      </c>
      <c r="J1230">
        <v>288000</v>
      </c>
      <c r="K1230">
        <v>295500</v>
      </c>
      <c r="L1230">
        <v>286000</v>
      </c>
      <c r="M1230">
        <v>454162</v>
      </c>
      <c r="N1230">
        <v>131803708500</v>
      </c>
      <c r="O1230">
        <v>74693696</v>
      </c>
      <c r="P1230">
        <v>21810559232000</v>
      </c>
    </row>
    <row r="1231" spans="1:16">
      <c r="A1231" t="s">
        <v>55</v>
      </c>
      <c r="B1231">
        <v>20260116</v>
      </c>
      <c r="C1231">
        <v>9150</v>
      </c>
      <c r="D1231" t="s">
        <v>56</v>
      </c>
      <c r="E1231" t="s">
        <v>55</v>
      </c>
      <c r="F1231" t="s">
        <v>17</v>
      </c>
      <c r="G1231">
        <v>289500</v>
      </c>
      <c r="H1231">
        <v>0</v>
      </c>
      <c r="I1231">
        <v>0</v>
      </c>
      <c r="J1231">
        <v>291500</v>
      </c>
      <c r="K1231">
        <v>291500</v>
      </c>
      <c r="L1231">
        <v>279500</v>
      </c>
      <c r="M1231">
        <v>609718</v>
      </c>
      <c r="N1231">
        <v>173953519220</v>
      </c>
      <c r="O1231">
        <v>74693696</v>
      </c>
      <c r="P1231">
        <v>21623824992000</v>
      </c>
    </row>
    <row r="1232" spans="1:16">
      <c r="A1232" t="s">
        <v>55</v>
      </c>
      <c r="B1232">
        <v>20260115</v>
      </c>
      <c r="C1232">
        <v>9150</v>
      </c>
      <c r="D1232" t="s">
        <v>56</v>
      </c>
      <c r="E1232" t="s">
        <v>55</v>
      </c>
      <c r="F1232" t="s">
        <v>17</v>
      </c>
      <c r="G1232">
        <v>289500</v>
      </c>
      <c r="H1232">
        <v>5000</v>
      </c>
      <c r="I1232">
        <v>1.76</v>
      </c>
      <c r="J1232">
        <v>282000</v>
      </c>
      <c r="K1232">
        <v>290000</v>
      </c>
      <c r="L1232">
        <v>280000</v>
      </c>
      <c r="M1232">
        <v>450431</v>
      </c>
      <c r="N1232">
        <v>128603845250</v>
      </c>
      <c r="O1232">
        <v>74693696</v>
      </c>
      <c r="P1232">
        <v>21623824992000</v>
      </c>
    </row>
    <row r="1233" spans="1:16">
      <c r="A1233" t="s">
        <v>55</v>
      </c>
      <c r="B1233">
        <v>20260114</v>
      </c>
      <c r="C1233">
        <v>9150</v>
      </c>
      <c r="D1233" t="s">
        <v>56</v>
      </c>
      <c r="E1233" t="s">
        <v>55</v>
      </c>
      <c r="F1233" t="s">
        <v>17</v>
      </c>
      <c r="G1233">
        <v>284500</v>
      </c>
      <c r="H1233">
        <v>-4500</v>
      </c>
      <c r="I1233">
        <v>-1.56</v>
      </c>
      <c r="J1233">
        <v>289000</v>
      </c>
      <c r="K1233">
        <v>292000</v>
      </c>
      <c r="L1233">
        <v>280500</v>
      </c>
      <c r="M1233">
        <v>440111</v>
      </c>
      <c r="N1233">
        <v>125081925500</v>
      </c>
      <c r="O1233">
        <v>74693696</v>
      </c>
      <c r="P1233">
        <v>21250356512000</v>
      </c>
    </row>
    <row r="1234" spans="1:16">
      <c r="A1234" t="s">
        <v>55</v>
      </c>
      <c r="B1234">
        <v>20260113</v>
      </c>
      <c r="C1234">
        <v>9150</v>
      </c>
      <c r="D1234" t="s">
        <v>56</v>
      </c>
      <c r="E1234" t="s">
        <v>55</v>
      </c>
      <c r="F1234" t="s">
        <v>17</v>
      </c>
      <c r="G1234">
        <v>289000</v>
      </c>
      <c r="H1234">
        <v>10000</v>
      </c>
      <c r="I1234">
        <v>3.58</v>
      </c>
      <c r="J1234">
        <v>284000</v>
      </c>
      <c r="K1234">
        <v>290000</v>
      </c>
      <c r="L1234">
        <v>277500</v>
      </c>
      <c r="M1234">
        <v>658840</v>
      </c>
      <c r="N1234">
        <v>188223200500</v>
      </c>
      <c r="O1234">
        <v>74693696</v>
      </c>
      <c r="P1234">
        <v>21586478144000</v>
      </c>
    </row>
    <row r="1235" spans="1:16">
      <c r="A1235" t="s">
        <v>55</v>
      </c>
      <c r="B1235">
        <v>20260112</v>
      </c>
      <c r="C1235">
        <v>9150</v>
      </c>
      <c r="D1235" t="s">
        <v>56</v>
      </c>
      <c r="E1235" t="s">
        <v>55</v>
      </c>
      <c r="F1235" t="s">
        <v>17</v>
      </c>
      <c r="G1235">
        <v>279000</v>
      </c>
      <c r="H1235">
        <v>13000</v>
      </c>
      <c r="I1235">
        <v>4.8899999999999997</v>
      </c>
      <c r="J1235">
        <v>270500</v>
      </c>
      <c r="K1235">
        <v>282000</v>
      </c>
      <c r="L1235">
        <v>268000</v>
      </c>
      <c r="M1235">
        <v>768166</v>
      </c>
      <c r="N1235">
        <v>213116852250</v>
      </c>
      <c r="O1235">
        <v>74693696</v>
      </c>
      <c r="P1235">
        <v>20839541184000</v>
      </c>
    </row>
    <row r="1236" spans="1:16">
      <c r="A1236" t="s">
        <v>55</v>
      </c>
      <c r="B1236">
        <v>20260109</v>
      </c>
      <c r="C1236">
        <v>9150</v>
      </c>
      <c r="D1236" t="s">
        <v>56</v>
      </c>
      <c r="E1236" t="s">
        <v>55</v>
      </c>
      <c r="F1236" t="s">
        <v>17</v>
      </c>
      <c r="G1236">
        <v>266000</v>
      </c>
      <c r="H1236">
        <v>-6000</v>
      </c>
      <c r="I1236">
        <v>-2.21</v>
      </c>
      <c r="J1236">
        <v>275000</v>
      </c>
      <c r="K1236">
        <v>275500</v>
      </c>
      <c r="L1236">
        <v>264000</v>
      </c>
      <c r="M1236">
        <v>632342</v>
      </c>
      <c r="N1236">
        <v>169692479750</v>
      </c>
      <c r="O1236">
        <v>74693696</v>
      </c>
      <c r="P1236">
        <v>19868523136000</v>
      </c>
    </row>
    <row r="1237" spans="1:16">
      <c r="A1237" t="s">
        <v>55</v>
      </c>
      <c r="B1237">
        <v>20260108</v>
      </c>
      <c r="C1237">
        <v>9150</v>
      </c>
      <c r="D1237" t="s">
        <v>56</v>
      </c>
      <c r="E1237" t="s">
        <v>55</v>
      </c>
      <c r="F1237" t="s">
        <v>17</v>
      </c>
      <c r="G1237">
        <v>272000</v>
      </c>
      <c r="H1237">
        <v>4500</v>
      </c>
      <c r="I1237">
        <v>1.68</v>
      </c>
      <c r="J1237">
        <v>265500</v>
      </c>
      <c r="K1237">
        <v>289000</v>
      </c>
      <c r="L1237">
        <v>263500</v>
      </c>
      <c r="M1237">
        <v>1301057</v>
      </c>
      <c r="N1237">
        <v>363186073500</v>
      </c>
      <c r="O1237">
        <v>74693696</v>
      </c>
      <c r="P1237">
        <v>20316685312000</v>
      </c>
    </row>
    <row r="1238" spans="1:16">
      <c r="A1238" t="s">
        <v>55</v>
      </c>
      <c r="B1238">
        <v>20260107</v>
      </c>
      <c r="C1238">
        <v>9150</v>
      </c>
      <c r="D1238" t="s">
        <v>56</v>
      </c>
      <c r="E1238" t="s">
        <v>55</v>
      </c>
      <c r="F1238" t="s">
        <v>17</v>
      </c>
      <c r="G1238">
        <v>267500</v>
      </c>
      <c r="H1238">
        <v>-500</v>
      </c>
      <c r="I1238">
        <v>-0.19</v>
      </c>
      <c r="J1238">
        <v>270000</v>
      </c>
      <c r="K1238">
        <v>273000</v>
      </c>
      <c r="L1238">
        <v>261500</v>
      </c>
      <c r="M1238">
        <v>699885</v>
      </c>
      <c r="N1238">
        <v>187777892750</v>
      </c>
      <c r="O1238">
        <v>74693696</v>
      </c>
      <c r="P1238">
        <v>19980563680000</v>
      </c>
    </row>
    <row r="1239" spans="1:16">
      <c r="A1239" t="s">
        <v>55</v>
      </c>
      <c r="B1239">
        <v>20260106</v>
      </c>
      <c r="C1239">
        <v>9150</v>
      </c>
      <c r="D1239" t="s">
        <v>56</v>
      </c>
      <c r="E1239" t="s">
        <v>55</v>
      </c>
      <c r="F1239" t="s">
        <v>17</v>
      </c>
      <c r="G1239">
        <v>268000</v>
      </c>
      <c r="H1239">
        <v>-2000</v>
      </c>
      <c r="I1239">
        <v>-0.74</v>
      </c>
      <c r="J1239">
        <v>267000</v>
      </c>
      <c r="K1239">
        <v>268000</v>
      </c>
      <c r="L1239">
        <v>257500</v>
      </c>
      <c r="M1239">
        <v>641565</v>
      </c>
      <c r="N1239">
        <v>168933657008</v>
      </c>
      <c r="O1239">
        <v>74693696</v>
      </c>
      <c r="P1239">
        <v>20017910528000</v>
      </c>
    </row>
    <row r="1240" spans="1:16">
      <c r="A1240" t="s">
        <v>55</v>
      </c>
      <c r="B1240">
        <v>20260105</v>
      </c>
      <c r="C1240">
        <v>9150</v>
      </c>
      <c r="D1240" t="s">
        <v>56</v>
      </c>
      <c r="E1240" t="s">
        <v>55</v>
      </c>
      <c r="F1240" t="s">
        <v>17</v>
      </c>
      <c r="G1240">
        <v>270000</v>
      </c>
      <c r="H1240">
        <v>0</v>
      </c>
      <c r="I1240">
        <v>0</v>
      </c>
      <c r="J1240">
        <v>274000</v>
      </c>
      <c r="K1240">
        <v>274500</v>
      </c>
      <c r="L1240">
        <v>264000</v>
      </c>
      <c r="M1240">
        <v>650319</v>
      </c>
      <c r="N1240">
        <v>174419437500</v>
      </c>
      <c r="O1240">
        <v>74693696</v>
      </c>
      <c r="P1240">
        <v>20167297920000</v>
      </c>
    </row>
    <row r="1241" spans="1:16">
      <c r="A1241" t="s">
        <v>55</v>
      </c>
      <c r="B1241">
        <v>20260102</v>
      </c>
      <c r="C1241">
        <v>9150</v>
      </c>
      <c r="D1241" t="s">
        <v>56</v>
      </c>
      <c r="E1241" t="s">
        <v>55</v>
      </c>
      <c r="F1241" t="s">
        <v>17</v>
      </c>
      <c r="G1241">
        <v>270000</v>
      </c>
      <c r="H1241">
        <v>15000</v>
      </c>
      <c r="I1241">
        <v>5.88</v>
      </c>
      <c r="J1241">
        <v>256500</v>
      </c>
      <c r="K1241">
        <v>273000</v>
      </c>
      <c r="L1241">
        <v>253000</v>
      </c>
      <c r="M1241">
        <v>714957</v>
      </c>
      <c r="N1241">
        <v>188238414500</v>
      </c>
      <c r="O1241">
        <v>74693696</v>
      </c>
      <c r="P1241">
        <v>20167297920000</v>
      </c>
    </row>
    <row r="1242" spans="1:16">
      <c r="A1242" t="s">
        <v>57</v>
      </c>
      <c r="B1242">
        <v>20260403</v>
      </c>
      <c r="C1242">
        <v>267260</v>
      </c>
      <c r="D1242" t="s">
        <v>58</v>
      </c>
      <c r="E1242" t="s">
        <v>57</v>
      </c>
      <c r="F1242" t="s">
        <v>17</v>
      </c>
      <c r="G1242">
        <v>883000</v>
      </c>
      <c r="H1242">
        <v>1000</v>
      </c>
      <c r="I1242">
        <v>0.11</v>
      </c>
      <c r="J1242">
        <v>904000</v>
      </c>
      <c r="K1242">
        <v>907000</v>
      </c>
      <c r="L1242">
        <v>879000</v>
      </c>
      <c r="M1242">
        <v>82110</v>
      </c>
      <c r="N1242">
        <v>73070600500</v>
      </c>
      <c r="O1242">
        <v>36047135</v>
      </c>
      <c r="P1242">
        <v>31829620205000</v>
      </c>
    </row>
    <row r="1243" spans="1:16">
      <c r="A1243" t="s">
        <v>57</v>
      </c>
      <c r="B1243">
        <v>20260402</v>
      </c>
      <c r="C1243">
        <v>267260</v>
      </c>
      <c r="D1243" t="s">
        <v>58</v>
      </c>
      <c r="E1243" t="s">
        <v>57</v>
      </c>
      <c r="F1243" t="s">
        <v>17</v>
      </c>
      <c r="G1243">
        <v>882000</v>
      </c>
      <c r="H1243">
        <v>-20000</v>
      </c>
      <c r="I1243">
        <v>-2.2200000000000002</v>
      </c>
      <c r="J1243">
        <v>935000</v>
      </c>
      <c r="K1243">
        <v>943000</v>
      </c>
      <c r="L1243">
        <v>871000</v>
      </c>
      <c r="M1243">
        <v>189874</v>
      </c>
      <c r="N1243">
        <v>170790504000</v>
      </c>
      <c r="O1243">
        <v>36047135</v>
      </c>
      <c r="P1243">
        <v>31793573070000</v>
      </c>
    </row>
    <row r="1244" spans="1:16">
      <c r="A1244" t="s">
        <v>57</v>
      </c>
      <c r="B1244">
        <v>20260401</v>
      </c>
      <c r="C1244">
        <v>267260</v>
      </c>
      <c r="D1244" t="s">
        <v>58</v>
      </c>
      <c r="E1244" t="s">
        <v>57</v>
      </c>
      <c r="F1244" t="s">
        <v>17</v>
      </c>
      <c r="G1244">
        <v>902000</v>
      </c>
      <c r="H1244">
        <v>70000</v>
      </c>
      <c r="I1244">
        <v>8.41</v>
      </c>
      <c r="J1244">
        <v>898000</v>
      </c>
      <c r="K1244">
        <v>915000</v>
      </c>
      <c r="L1244">
        <v>881000</v>
      </c>
      <c r="M1244">
        <v>138793</v>
      </c>
      <c r="N1244">
        <v>125286274000</v>
      </c>
      <c r="O1244">
        <v>36047135</v>
      </c>
      <c r="P1244">
        <v>32514515770000</v>
      </c>
    </row>
    <row r="1245" spans="1:16">
      <c r="A1245" t="s">
        <v>57</v>
      </c>
      <c r="B1245">
        <v>20260331</v>
      </c>
      <c r="C1245">
        <v>267260</v>
      </c>
      <c r="D1245" t="s">
        <v>58</v>
      </c>
      <c r="E1245" t="s">
        <v>57</v>
      </c>
      <c r="F1245" t="s">
        <v>17</v>
      </c>
      <c r="G1245">
        <v>832000</v>
      </c>
      <c r="H1245">
        <v>-40000</v>
      </c>
      <c r="I1245">
        <v>-4.59</v>
      </c>
      <c r="J1245">
        <v>853000</v>
      </c>
      <c r="K1245">
        <v>870000</v>
      </c>
      <c r="L1245">
        <v>830000</v>
      </c>
      <c r="M1245">
        <v>194755</v>
      </c>
      <c r="N1245">
        <v>163788875500</v>
      </c>
      <c r="O1245">
        <v>36047135</v>
      </c>
      <c r="P1245">
        <v>29991216320000</v>
      </c>
    </row>
    <row r="1246" spans="1:16">
      <c r="A1246" t="s">
        <v>57</v>
      </c>
      <c r="B1246">
        <v>20260330</v>
      </c>
      <c r="C1246">
        <v>267260</v>
      </c>
      <c r="D1246" t="s">
        <v>58</v>
      </c>
      <c r="E1246" t="s">
        <v>57</v>
      </c>
      <c r="F1246" t="s">
        <v>17</v>
      </c>
      <c r="G1246">
        <v>872000</v>
      </c>
      <c r="H1246">
        <v>-43000</v>
      </c>
      <c r="I1246">
        <v>-4.7</v>
      </c>
      <c r="J1246">
        <v>871000</v>
      </c>
      <c r="K1246">
        <v>899000</v>
      </c>
      <c r="L1246">
        <v>863000</v>
      </c>
      <c r="M1246">
        <v>121088</v>
      </c>
      <c r="N1246">
        <v>106374028500</v>
      </c>
      <c r="O1246">
        <v>36047135</v>
      </c>
      <c r="P1246">
        <v>31433101720000</v>
      </c>
    </row>
    <row r="1247" spans="1:16">
      <c r="A1247" t="s">
        <v>57</v>
      </c>
      <c r="B1247">
        <v>20260327</v>
      </c>
      <c r="C1247">
        <v>267260</v>
      </c>
      <c r="D1247" t="s">
        <v>58</v>
      </c>
      <c r="E1247" t="s">
        <v>57</v>
      </c>
      <c r="F1247" t="s">
        <v>17</v>
      </c>
      <c r="G1247">
        <v>915000</v>
      </c>
      <c r="H1247">
        <v>-50000</v>
      </c>
      <c r="I1247">
        <v>-5.18</v>
      </c>
      <c r="J1247">
        <v>933000</v>
      </c>
      <c r="K1247">
        <v>937000</v>
      </c>
      <c r="L1247">
        <v>887000</v>
      </c>
      <c r="M1247">
        <v>164950</v>
      </c>
      <c r="N1247">
        <v>149388811000</v>
      </c>
      <c r="O1247">
        <v>36047135</v>
      </c>
      <c r="P1247">
        <v>32983128525000</v>
      </c>
    </row>
    <row r="1248" spans="1:16">
      <c r="A1248" t="s">
        <v>57</v>
      </c>
      <c r="B1248">
        <v>20260326</v>
      </c>
      <c r="C1248">
        <v>267260</v>
      </c>
      <c r="D1248" t="s">
        <v>58</v>
      </c>
      <c r="E1248" t="s">
        <v>57</v>
      </c>
      <c r="F1248" t="s">
        <v>17</v>
      </c>
      <c r="G1248">
        <v>965000</v>
      </c>
      <c r="H1248">
        <v>-27000</v>
      </c>
      <c r="I1248">
        <v>-2.72</v>
      </c>
      <c r="J1248">
        <v>991000</v>
      </c>
      <c r="K1248">
        <v>1006000</v>
      </c>
      <c r="L1248">
        <v>960000</v>
      </c>
      <c r="M1248">
        <v>82599</v>
      </c>
      <c r="N1248">
        <v>80713985500</v>
      </c>
      <c r="O1248">
        <v>36047135</v>
      </c>
      <c r="P1248">
        <v>34785485275000</v>
      </c>
    </row>
    <row r="1249" spans="1:16">
      <c r="A1249" t="s">
        <v>57</v>
      </c>
      <c r="B1249">
        <v>20260325</v>
      </c>
      <c r="C1249">
        <v>267260</v>
      </c>
      <c r="D1249" t="s">
        <v>58</v>
      </c>
      <c r="E1249" t="s">
        <v>57</v>
      </c>
      <c r="F1249" t="s">
        <v>17</v>
      </c>
      <c r="G1249">
        <v>992000</v>
      </c>
      <c r="H1249">
        <v>67000</v>
      </c>
      <c r="I1249">
        <v>7.24</v>
      </c>
      <c r="J1249">
        <v>960000</v>
      </c>
      <c r="K1249">
        <v>997000</v>
      </c>
      <c r="L1249">
        <v>950000</v>
      </c>
      <c r="M1249">
        <v>145733</v>
      </c>
      <c r="N1249">
        <v>143133599500</v>
      </c>
      <c r="O1249">
        <v>36047135</v>
      </c>
      <c r="P1249">
        <v>35758757920000</v>
      </c>
    </row>
    <row r="1250" spans="1:16">
      <c r="A1250" t="s">
        <v>57</v>
      </c>
      <c r="B1250">
        <v>20260324</v>
      </c>
      <c r="C1250">
        <v>267260</v>
      </c>
      <c r="D1250" t="s">
        <v>58</v>
      </c>
      <c r="E1250" t="s">
        <v>57</v>
      </c>
      <c r="F1250" t="s">
        <v>17</v>
      </c>
      <c r="G1250">
        <v>925000</v>
      </c>
      <c r="H1250">
        <v>12000</v>
      </c>
      <c r="I1250">
        <v>1.31</v>
      </c>
      <c r="J1250">
        <v>949000</v>
      </c>
      <c r="K1250">
        <v>954000</v>
      </c>
      <c r="L1250">
        <v>896000</v>
      </c>
      <c r="M1250">
        <v>135896</v>
      </c>
      <c r="N1250">
        <v>125675753048</v>
      </c>
      <c r="O1250">
        <v>36047135</v>
      </c>
      <c r="P1250">
        <v>33343599875000</v>
      </c>
    </row>
    <row r="1251" spans="1:16">
      <c r="A1251" t="s">
        <v>57</v>
      </c>
      <c r="B1251">
        <v>20260323</v>
      </c>
      <c r="C1251">
        <v>267260</v>
      </c>
      <c r="D1251" t="s">
        <v>58</v>
      </c>
      <c r="E1251" t="s">
        <v>57</v>
      </c>
      <c r="F1251" t="s">
        <v>17</v>
      </c>
      <c r="G1251">
        <v>913000</v>
      </c>
      <c r="H1251">
        <v>-46000</v>
      </c>
      <c r="I1251">
        <v>-4.8</v>
      </c>
      <c r="J1251">
        <v>925000</v>
      </c>
      <c r="K1251">
        <v>935000</v>
      </c>
      <c r="L1251">
        <v>900000</v>
      </c>
      <c r="M1251">
        <v>112092</v>
      </c>
      <c r="N1251">
        <v>102606844500</v>
      </c>
      <c r="O1251">
        <v>36047135</v>
      </c>
      <c r="P1251">
        <v>32911034255000</v>
      </c>
    </row>
    <row r="1252" spans="1:16">
      <c r="A1252" t="s">
        <v>57</v>
      </c>
      <c r="B1252">
        <v>20260320</v>
      </c>
      <c r="C1252">
        <v>267260</v>
      </c>
      <c r="D1252" t="s">
        <v>58</v>
      </c>
      <c r="E1252" t="s">
        <v>57</v>
      </c>
      <c r="F1252" t="s">
        <v>17</v>
      </c>
      <c r="G1252">
        <v>959000</v>
      </c>
      <c r="H1252">
        <v>1000</v>
      </c>
      <c r="I1252">
        <v>0.1</v>
      </c>
      <c r="J1252">
        <v>971000</v>
      </c>
      <c r="K1252">
        <v>974000</v>
      </c>
      <c r="L1252">
        <v>952000</v>
      </c>
      <c r="M1252">
        <v>107776</v>
      </c>
      <c r="N1252">
        <v>103421889500</v>
      </c>
      <c r="O1252">
        <v>36047135</v>
      </c>
      <c r="P1252">
        <v>34569202465000</v>
      </c>
    </row>
    <row r="1253" spans="1:16">
      <c r="A1253" t="s">
        <v>57</v>
      </c>
      <c r="B1253">
        <v>20260319</v>
      </c>
      <c r="C1253">
        <v>267260</v>
      </c>
      <c r="D1253" t="s">
        <v>58</v>
      </c>
      <c r="E1253" t="s">
        <v>57</v>
      </c>
      <c r="F1253" t="s">
        <v>17</v>
      </c>
      <c r="G1253">
        <v>958000</v>
      </c>
      <c r="H1253">
        <v>-16000</v>
      </c>
      <c r="I1253">
        <v>-1.64</v>
      </c>
      <c r="J1253">
        <v>950000</v>
      </c>
      <c r="K1253">
        <v>986000</v>
      </c>
      <c r="L1253">
        <v>948000</v>
      </c>
      <c r="M1253">
        <v>112178</v>
      </c>
      <c r="N1253">
        <v>108385416500</v>
      </c>
      <c r="O1253">
        <v>36047135</v>
      </c>
      <c r="P1253">
        <v>34533155330000</v>
      </c>
    </row>
    <row r="1254" spans="1:16">
      <c r="A1254" t="s">
        <v>57</v>
      </c>
      <c r="B1254">
        <v>20260318</v>
      </c>
      <c r="C1254">
        <v>267260</v>
      </c>
      <c r="D1254" t="s">
        <v>58</v>
      </c>
      <c r="E1254" t="s">
        <v>57</v>
      </c>
      <c r="F1254" t="s">
        <v>17</v>
      </c>
      <c r="G1254">
        <v>974000</v>
      </c>
      <c r="H1254">
        <v>43000</v>
      </c>
      <c r="I1254">
        <v>4.62</v>
      </c>
      <c r="J1254">
        <v>959000</v>
      </c>
      <c r="K1254">
        <v>976000</v>
      </c>
      <c r="L1254">
        <v>954000</v>
      </c>
      <c r="M1254">
        <v>103612</v>
      </c>
      <c r="N1254">
        <v>100282756000</v>
      </c>
      <c r="O1254">
        <v>36047135</v>
      </c>
      <c r="P1254">
        <v>35109909490000</v>
      </c>
    </row>
    <row r="1255" spans="1:16">
      <c r="A1255" t="s">
        <v>57</v>
      </c>
      <c r="B1255">
        <v>20260317</v>
      </c>
      <c r="C1255">
        <v>267260</v>
      </c>
      <c r="D1255" t="s">
        <v>58</v>
      </c>
      <c r="E1255" t="s">
        <v>57</v>
      </c>
      <c r="F1255" t="s">
        <v>17</v>
      </c>
      <c r="G1255">
        <v>931000</v>
      </c>
      <c r="H1255">
        <v>26000</v>
      </c>
      <c r="I1255">
        <v>2.87</v>
      </c>
      <c r="J1255">
        <v>926000</v>
      </c>
      <c r="K1255">
        <v>950000</v>
      </c>
      <c r="L1255">
        <v>925000</v>
      </c>
      <c r="M1255">
        <v>86102</v>
      </c>
      <c r="N1255">
        <v>80894089000</v>
      </c>
      <c r="O1255">
        <v>36047135</v>
      </c>
      <c r="P1255">
        <v>33559882685000</v>
      </c>
    </row>
    <row r="1256" spans="1:16">
      <c r="A1256" t="s">
        <v>57</v>
      </c>
      <c r="B1256">
        <v>20260316</v>
      </c>
      <c r="C1256">
        <v>267260</v>
      </c>
      <c r="D1256" t="s">
        <v>58</v>
      </c>
      <c r="E1256" t="s">
        <v>57</v>
      </c>
      <c r="F1256" t="s">
        <v>17</v>
      </c>
      <c r="G1256">
        <v>905000</v>
      </c>
      <c r="H1256">
        <v>-24000</v>
      </c>
      <c r="I1256">
        <v>-2.58</v>
      </c>
      <c r="J1256">
        <v>920000</v>
      </c>
      <c r="K1256">
        <v>930000</v>
      </c>
      <c r="L1256">
        <v>890000</v>
      </c>
      <c r="M1256">
        <v>108390</v>
      </c>
      <c r="N1256">
        <v>97969055000</v>
      </c>
      <c r="O1256">
        <v>36047135</v>
      </c>
      <c r="P1256">
        <v>32622657175000</v>
      </c>
    </row>
    <row r="1257" spans="1:16">
      <c r="A1257" t="s">
        <v>57</v>
      </c>
      <c r="B1257">
        <v>20260313</v>
      </c>
      <c r="C1257">
        <v>267260</v>
      </c>
      <c r="D1257" t="s">
        <v>58</v>
      </c>
      <c r="E1257" t="s">
        <v>57</v>
      </c>
      <c r="F1257" t="s">
        <v>17</v>
      </c>
      <c r="G1257">
        <v>929000</v>
      </c>
      <c r="H1257">
        <v>-15000</v>
      </c>
      <c r="I1257">
        <v>-1.59</v>
      </c>
      <c r="J1257">
        <v>911000</v>
      </c>
      <c r="K1257">
        <v>949000</v>
      </c>
      <c r="L1257">
        <v>908000</v>
      </c>
      <c r="M1257">
        <v>147873</v>
      </c>
      <c r="N1257">
        <v>137228424000</v>
      </c>
      <c r="O1257">
        <v>36047135</v>
      </c>
      <c r="P1257">
        <v>33487788415000</v>
      </c>
    </row>
    <row r="1258" spans="1:16">
      <c r="A1258" t="s">
        <v>57</v>
      </c>
      <c r="B1258">
        <v>20260312</v>
      </c>
      <c r="C1258">
        <v>267260</v>
      </c>
      <c r="D1258" t="s">
        <v>58</v>
      </c>
      <c r="E1258" t="s">
        <v>57</v>
      </c>
      <c r="F1258" t="s">
        <v>17</v>
      </c>
      <c r="G1258">
        <v>944000</v>
      </c>
      <c r="H1258">
        <v>5000</v>
      </c>
      <c r="I1258">
        <v>0.53</v>
      </c>
      <c r="J1258">
        <v>925000</v>
      </c>
      <c r="K1258">
        <v>962000</v>
      </c>
      <c r="L1258">
        <v>922000</v>
      </c>
      <c r="M1258">
        <v>106954</v>
      </c>
      <c r="N1258">
        <v>100967785500</v>
      </c>
      <c r="O1258">
        <v>36047135</v>
      </c>
      <c r="P1258">
        <v>34028495440000</v>
      </c>
    </row>
    <row r="1259" spans="1:16">
      <c r="A1259" t="s">
        <v>57</v>
      </c>
      <c r="B1259">
        <v>20260311</v>
      </c>
      <c r="C1259">
        <v>267260</v>
      </c>
      <c r="D1259" t="s">
        <v>58</v>
      </c>
      <c r="E1259" t="s">
        <v>57</v>
      </c>
      <c r="F1259" t="s">
        <v>17</v>
      </c>
      <c r="G1259">
        <v>939000</v>
      </c>
      <c r="H1259">
        <v>-2000</v>
      </c>
      <c r="I1259">
        <v>-0.21</v>
      </c>
      <c r="J1259">
        <v>962000</v>
      </c>
      <c r="K1259">
        <v>975000</v>
      </c>
      <c r="L1259">
        <v>930000</v>
      </c>
      <c r="M1259">
        <v>123719</v>
      </c>
      <c r="N1259">
        <v>118729332000</v>
      </c>
      <c r="O1259">
        <v>36047135</v>
      </c>
      <c r="P1259">
        <v>33848259765000</v>
      </c>
    </row>
    <row r="1260" spans="1:16">
      <c r="A1260" t="s">
        <v>57</v>
      </c>
      <c r="B1260">
        <v>20260310</v>
      </c>
      <c r="C1260">
        <v>267260</v>
      </c>
      <c r="D1260" t="s">
        <v>58</v>
      </c>
      <c r="E1260" t="s">
        <v>57</v>
      </c>
      <c r="F1260" t="s">
        <v>17</v>
      </c>
      <c r="G1260">
        <v>941000</v>
      </c>
      <c r="H1260">
        <v>34000</v>
      </c>
      <c r="I1260">
        <v>3.75</v>
      </c>
      <c r="J1260">
        <v>963000</v>
      </c>
      <c r="K1260">
        <v>970000</v>
      </c>
      <c r="L1260">
        <v>919000</v>
      </c>
      <c r="M1260">
        <v>141252</v>
      </c>
      <c r="N1260">
        <v>133659805500</v>
      </c>
      <c r="O1260">
        <v>36047135</v>
      </c>
      <c r="P1260">
        <v>33920354035000</v>
      </c>
    </row>
    <row r="1261" spans="1:16">
      <c r="A1261" t="s">
        <v>57</v>
      </c>
      <c r="B1261">
        <v>20260309</v>
      </c>
      <c r="C1261">
        <v>267260</v>
      </c>
      <c r="D1261" t="s">
        <v>58</v>
      </c>
      <c r="E1261" t="s">
        <v>57</v>
      </c>
      <c r="F1261" t="s">
        <v>17</v>
      </c>
      <c r="G1261">
        <v>907000</v>
      </c>
      <c r="H1261">
        <v>-61000</v>
      </c>
      <c r="I1261">
        <v>-6.3</v>
      </c>
      <c r="J1261">
        <v>910000</v>
      </c>
      <c r="K1261">
        <v>935000</v>
      </c>
      <c r="L1261">
        <v>877000</v>
      </c>
      <c r="M1261">
        <v>199628</v>
      </c>
      <c r="N1261">
        <v>179007214000</v>
      </c>
      <c r="O1261">
        <v>36047135</v>
      </c>
      <c r="P1261">
        <v>32694751445000</v>
      </c>
    </row>
    <row r="1262" spans="1:16">
      <c r="A1262" t="s">
        <v>57</v>
      </c>
      <c r="B1262">
        <v>20260306</v>
      </c>
      <c r="C1262">
        <v>267260</v>
      </c>
      <c r="D1262" t="s">
        <v>58</v>
      </c>
      <c r="E1262" t="s">
        <v>57</v>
      </c>
      <c r="F1262" t="s">
        <v>17</v>
      </c>
      <c r="G1262">
        <v>968000</v>
      </c>
      <c r="H1262">
        <v>-16000</v>
      </c>
      <c r="I1262">
        <v>-1.63</v>
      </c>
      <c r="J1262">
        <v>957000</v>
      </c>
      <c r="K1262">
        <v>990000</v>
      </c>
      <c r="L1262">
        <v>941000</v>
      </c>
      <c r="M1262">
        <v>208388</v>
      </c>
      <c r="N1262">
        <v>200515480500</v>
      </c>
      <c r="O1262">
        <v>36047135</v>
      </c>
      <c r="P1262">
        <v>34893626680000</v>
      </c>
    </row>
    <row r="1263" spans="1:16">
      <c r="A1263" t="s">
        <v>57</v>
      </c>
      <c r="B1263">
        <v>20260305</v>
      </c>
      <c r="C1263">
        <v>267260</v>
      </c>
      <c r="D1263" t="s">
        <v>58</v>
      </c>
      <c r="E1263" t="s">
        <v>57</v>
      </c>
      <c r="F1263" t="s">
        <v>17</v>
      </c>
      <c r="G1263">
        <v>984000</v>
      </c>
      <c r="H1263">
        <v>113000</v>
      </c>
      <c r="I1263">
        <v>12.97</v>
      </c>
      <c r="J1263">
        <v>985000</v>
      </c>
      <c r="K1263">
        <v>1007000</v>
      </c>
      <c r="L1263">
        <v>962000</v>
      </c>
      <c r="M1263">
        <v>220416</v>
      </c>
      <c r="N1263">
        <v>217940188600</v>
      </c>
      <c r="O1263">
        <v>36047135</v>
      </c>
      <c r="P1263">
        <v>35470380840000</v>
      </c>
    </row>
    <row r="1264" spans="1:16">
      <c r="A1264" t="s">
        <v>57</v>
      </c>
      <c r="B1264">
        <v>20260304</v>
      </c>
      <c r="C1264">
        <v>267260</v>
      </c>
      <c r="D1264" t="s">
        <v>58</v>
      </c>
      <c r="E1264" t="s">
        <v>57</v>
      </c>
      <c r="F1264" t="s">
        <v>17</v>
      </c>
      <c r="G1264">
        <v>871000</v>
      </c>
      <c r="H1264">
        <v>-116000</v>
      </c>
      <c r="I1264">
        <v>-11.75</v>
      </c>
      <c r="J1264">
        <v>920000</v>
      </c>
      <c r="K1264">
        <v>959000</v>
      </c>
      <c r="L1264">
        <v>853000</v>
      </c>
      <c r="M1264">
        <v>273582</v>
      </c>
      <c r="N1264">
        <v>247708524500</v>
      </c>
      <c r="O1264">
        <v>36047135</v>
      </c>
      <c r="P1264">
        <v>31397054585000</v>
      </c>
    </row>
    <row r="1265" spans="1:16">
      <c r="A1265" t="s">
        <v>57</v>
      </c>
      <c r="B1265">
        <v>20260303</v>
      </c>
      <c r="C1265">
        <v>267260</v>
      </c>
      <c r="D1265" t="s">
        <v>58</v>
      </c>
      <c r="E1265" t="s">
        <v>57</v>
      </c>
      <c r="F1265" t="s">
        <v>17</v>
      </c>
      <c r="G1265">
        <v>987000</v>
      </c>
      <c r="H1265">
        <v>-63000</v>
      </c>
      <c r="I1265">
        <v>-6</v>
      </c>
      <c r="J1265">
        <v>1006000</v>
      </c>
      <c r="K1265">
        <v>1048000</v>
      </c>
      <c r="L1265">
        <v>983000</v>
      </c>
      <c r="M1265">
        <v>192638</v>
      </c>
      <c r="N1265">
        <v>195144549000</v>
      </c>
      <c r="O1265">
        <v>36047135</v>
      </c>
      <c r="P1265">
        <v>35578522245000</v>
      </c>
    </row>
    <row r="1266" spans="1:16">
      <c r="A1266" t="s">
        <v>57</v>
      </c>
      <c r="B1266">
        <v>20260227</v>
      </c>
      <c r="C1266">
        <v>267260</v>
      </c>
      <c r="D1266" t="s">
        <v>58</v>
      </c>
      <c r="E1266" t="s">
        <v>57</v>
      </c>
      <c r="F1266" t="s">
        <v>17</v>
      </c>
      <c r="G1266">
        <v>1050000</v>
      </c>
      <c r="H1266">
        <v>-61000</v>
      </c>
      <c r="I1266">
        <v>-5.49</v>
      </c>
      <c r="J1266">
        <v>1088000</v>
      </c>
      <c r="K1266">
        <v>1109000</v>
      </c>
      <c r="L1266">
        <v>1041000</v>
      </c>
      <c r="M1266">
        <v>340891</v>
      </c>
      <c r="N1266">
        <v>360846596500</v>
      </c>
      <c r="O1266">
        <v>36047135</v>
      </c>
      <c r="P1266">
        <v>37849491750000</v>
      </c>
    </row>
    <row r="1267" spans="1:16">
      <c r="A1267" t="s">
        <v>57</v>
      </c>
      <c r="B1267">
        <v>20260226</v>
      </c>
      <c r="C1267">
        <v>267260</v>
      </c>
      <c r="D1267" t="s">
        <v>58</v>
      </c>
      <c r="E1267" t="s">
        <v>57</v>
      </c>
      <c r="F1267" t="s">
        <v>17</v>
      </c>
      <c r="G1267">
        <v>1111000</v>
      </c>
      <c r="H1267">
        <v>46000</v>
      </c>
      <c r="I1267">
        <v>4.32</v>
      </c>
      <c r="J1267">
        <v>1075000</v>
      </c>
      <c r="K1267">
        <v>1116000</v>
      </c>
      <c r="L1267">
        <v>1068000</v>
      </c>
      <c r="M1267">
        <v>253366</v>
      </c>
      <c r="N1267">
        <v>276820361500</v>
      </c>
      <c r="O1267">
        <v>36047135</v>
      </c>
      <c r="P1267">
        <v>40048366985000</v>
      </c>
    </row>
    <row r="1268" spans="1:16">
      <c r="A1268" t="s">
        <v>57</v>
      </c>
      <c r="B1268">
        <v>20260225</v>
      </c>
      <c r="C1268">
        <v>267260</v>
      </c>
      <c r="D1268" t="s">
        <v>58</v>
      </c>
      <c r="E1268" t="s">
        <v>57</v>
      </c>
      <c r="F1268" t="s">
        <v>17</v>
      </c>
      <c r="G1268">
        <v>1065000</v>
      </c>
      <c r="H1268">
        <v>-5000</v>
      </c>
      <c r="I1268">
        <v>-0.47</v>
      </c>
      <c r="J1268">
        <v>1096000</v>
      </c>
      <c r="K1268">
        <v>1097000</v>
      </c>
      <c r="L1268">
        <v>1049000</v>
      </c>
      <c r="M1268">
        <v>157891</v>
      </c>
      <c r="N1268">
        <v>168641300000</v>
      </c>
      <c r="O1268">
        <v>36047135</v>
      </c>
      <c r="P1268">
        <v>38390198775000</v>
      </c>
    </row>
    <row r="1269" spans="1:16">
      <c r="A1269" t="s">
        <v>57</v>
      </c>
      <c r="B1269">
        <v>20260224</v>
      </c>
      <c r="C1269">
        <v>267260</v>
      </c>
      <c r="D1269" t="s">
        <v>58</v>
      </c>
      <c r="E1269" t="s">
        <v>57</v>
      </c>
      <c r="F1269" t="s">
        <v>17</v>
      </c>
      <c r="G1269">
        <v>1070000</v>
      </c>
      <c r="H1269">
        <v>3000</v>
      </c>
      <c r="I1269">
        <v>0.28000000000000003</v>
      </c>
      <c r="J1269">
        <v>1055000</v>
      </c>
      <c r="K1269">
        <v>1076000</v>
      </c>
      <c r="L1269">
        <v>1041000</v>
      </c>
      <c r="M1269">
        <v>138670</v>
      </c>
      <c r="N1269">
        <v>147501391000</v>
      </c>
      <c r="O1269">
        <v>36047135</v>
      </c>
      <c r="P1269">
        <v>38570434450000</v>
      </c>
    </row>
    <row r="1270" spans="1:16">
      <c r="A1270" t="s">
        <v>57</v>
      </c>
      <c r="B1270">
        <v>20260223</v>
      </c>
      <c r="C1270">
        <v>267260</v>
      </c>
      <c r="D1270" t="s">
        <v>58</v>
      </c>
      <c r="E1270" t="s">
        <v>57</v>
      </c>
      <c r="F1270" t="s">
        <v>17</v>
      </c>
      <c r="G1270">
        <v>1067000</v>
      </c>
      <c r="H1270">
        <v>56000</v>
      </c>
      <c r="I1270">
        <v>5.54</v>
      </c>
      <c r="J1270">
        <v>1030000</v>
      </c>
      <c r="K1270">
        <v>1080000</v>
      </c>
      <c r="L1270">
        <v>1020000</v>
      </c>
      <c r="M1270">
        <v>183729</v>
      </c>
      <c r="N1270">
        <v>194032057000</v>
      </c>
      <c r="O1270">
        <v>36047135</v>
      </c>
      <c r="P1270">
        <v>38462293045000</v>
      </c>
    </row>
    <row r="1271" spans="1:16">
      <c r="A1271" t="s">
        <v>57</v>
      </c>
      <c r="B1271">
        <v>20260220</v>
      </c>
      <c r="C1271">
        <v>267260</v>
      </c>
      <c r="D1271" t="s">
        <v>58</v>
      </c>
      <c r="E1271" t="s">
        <v>57</v>
      </c>
      <c r="F1271" t="s">
        <v>17</v>
      </c>
      <c r="G1271">
        <v>1011000</v>
      </c>
      <c r="H1271">
        <v>44000</v>
      </c>
      <c r="I1271">
        <v>4.55</v>
      </c>
      <c r="J1271">
        <v>967000</v>
      </c>
      <c r="K1271">
        <v>1012000</v>
      </c>
      <c r="L1271">
        <v>966000</v>
      </c>
      <c r="M1271">
        <v>167876</v>
      </c>
      <c r="N1271">
        <v>167009394000</v>
      </c>
      <c r="O1271">
        <v>36047135</v>
      </c>
      <c r="P1271">
        <v>36443653485000</v>
      </c>
    </row>
    <row r="1272" spans="1:16">
      <c r="A1272" t="s">
        <v>57</v>
      </c>
      <c r="B1272">
        <v>20260219</v>
      </c>
      <c r="C1272">
        <v>267260</v>
      </c>
      <c r="D1272" t="s">
        <v>58</v>
      </c>
      <c r="E1272" t="s">
        <v>57</v>
      </c>
      <c r="F1272" t="s">
        <v>17</v>
      </c>
      <c r="G1272">
        <v>967000</v>
      </c>
      <c r="H1272">
        <v>18000</v>
      </c>
      <c r="I1272">
        <v>1.9</v>
      </c>
      <c r="J1272">
        <v>970000</v>
      </c>
      <c r="K1272">
        <v>975000</v>
      </c>
      <c r="L1272">
        <v>950000</v>
      </c>
      <c r="M1272">
        <v>116109</v>
      </c>
      <c r="N1272">
        <v>112038247000</v>
      </c>
      <c r="O1272">
        <v>36047135</v>
      </c>
      <c r="P1272">
        <v>34857579545000</v>
      </c>
    </row>
    <row r="1273" spans="1:16">
      <c r="A1273" t="s">
        <v>57</v>
      </c>
      <c r="B1273">
        <v>20260213</v>
      </c>
      <c r="C1273">
        <v>267260</v>
      </c>
      <c r="D1273" t="s">
        <v>58</v>
      </c>
      <c r="E1273" t="s">
        <v>57</v>
      </c>
      <c r="F1273" t="s">
        <v>17</v>
      </c>
      <c r="G1273">
        <v>949000</v>
      </c>
      <c r="H1273">
        <v>-17000</v>
      </c>
      <c r="I1273">
        <v>-1.76</v>
      </c>
      <c r="J1273">
        <v>950000</v>
      </c>
      <c r="K1273">
        <v>973000</v>
      </c>
      <c r="L1273">
        <v>946000</v>
      </c>
      <c r="M1273">
        <v>112113</v>
      </c>
      <c r="N1273">
        <v>107427258500</v>
      </c>
      <c r="O1273">
        <v>36047135</v>
      </c>
      <c r="P1273">
        <v>34208731115000</v>
      </c>
    </row>
    <row r="1274" spans="1:16">
      <c r="A1274" t="s">
        <v>57</v>
      </c>
      <c r="B1274">
        <v>20260212</v>
      </c>
      <c r="C1274">
        <v>267260</v>
      </c>
      <c r="D1274" t="s">
        <v>58</v>
      </c>
      <c r="E1274" t="s">
        <v>57</v>
      </c>
      <c r="F1274" t="s">
        <v>17</v>
      </c>
      <c r="G1274">
        <v>966000</v>
      </c>
      <c r="H1274">
        <v>-29000</v>
      </c>
      <c r="I1274">
        <v>-2.91</v>
      </c>
      <c r="J1274">
        <v>997000</v>
      </c>
      <c r="K1274">
        <v>1000000</v>
      </c>
      <c r="L1274">
        <v>958000</v>
      </c>
      <c r="M1274">
        <v>182379</v>
      </c>
      <c r="N1274">
        <v>176685915000</v>
      </c>
      <c r="O1274">
        <v>36047135</v>
      </c>
      <c r="P1274">
        <v>34821532410000</v>
      </c>
    </row>
    <row r="1275" spans="1:16">
      <c r="A1275" t="s">
        <v>57</v>
      </c>
      <c r="B1275">
        <v>20260211</v>
      </c>
      <c r="C1275">
        <v>267260</v>
      </c>
      <c r="D1275" t="s">
        <v>58</v>
      </c>
      <c r="E1275" t="s">
        <v>57</v>
      </c>
      <c r="F1275" t="s">
        <v>17</v>
      </c>
      <c r="G1275">
        <v>995000</v>
      </c>
      <c r="H1275">
        <v>56000</v>
      </c>
      <c r="I1275">
        <v>5.96</v>
      </c>
      <c r="J1275">
        <v>945000</v>
      </c>
      <c r="K1275">
        <v>998000</v>
      </c>
      <c r="L1275">
        <v>933000</v>
      </c>
      <c r="M1275">
        <v>222963</v>
      </c>
      <c r="N1275">
        <v>219039061500</v>
      </c>
      <c r="O1275">
        <v>36047135</v>
      </c>
      <c r="P1275">
        <v>35866899325000</v>
      </c>
    </row>
    <row r="1276" spans="1:16">
      <c r="A1276" t="s">
        <v>57</v>
      </c>
      <c r="B1276">
        <v>20260210</v>
      </c>
      <c r="C1276">
        <v>267260</v>
      </c>
      <c r="D1276" t="s">
        <v>58</v>
      </c>
      <c r="E1276" t="s">
        <v>57</v>
      </c>
      <c r="F1276" t="s">
        <v>17</v>
      </c>
      <c r="G1276">
        <v>939000</v>
      </c>
      <c r="H1276">
        <v>6000</v>
      </c>
      <c r="I1276">
        <v>0.64</v>
      </c>
      <c r="J1276">
        <v>944000</v>
      </c>
      <c r="K1276">
        <v>980000</v>
      </c>
      <c r="L1276">
        <v>934000</v>
      </c>
      <c r="M1276">
        <v>218860</v>
      </c>
      <c r="N1276">
        <v>208669238000</v>
      </c>
      <c r="O1276">
        <v>36047135</v>
      </c>
      <c r="P1276">
        <v>33848259765000</v>
      </c>
    </row>
    <row r="1277" spans="1:16">
      <c r="A1277" t="s">
        <v>57</v>
      </c>
      <c r="B1277">
        <v>20260209</v>
      </c>
      <c r="C1277">
        <v>267260</v>
      </c>
      <c r="D1277" t="s">
        <v>58</v>
      </c>
      <c r="E1277" t="s">
        <v>57</v>
      </c>
      <c r="F1277" t="s">
        <v>17</v>
      </c>
      <c r="G1277">
        <v>933000</v>
      </c>
      <c r="H1277">
        <v>93000</v>
      </c>
      <c r="I1277">
        <v>11.07</v>
      </c>
      <c r="J1277">
        <v>892000</v>
      </c>
      <c r="K1277">
        <v>943000</v>
      </c>
      <c r="L1277">
        <v>885000</v>
      </c>
      <c r="M1277">
        <v>305359</v>
      </c>
      <c r="N1277">
        <v>281352431000</v>
      </c>
      <c r="O1277">
        <v>36047135</v>
      </c>
      <c r="P1277">
        <v>33631976955000</v>
      </c>
    </row>
    <row r="1278" spans="1:16">
      <c r="A1278" t="s">
        <v>57</v>
      </c>
      <c r="B1278">
        <v>20260206</v>
      </c>
      <c r="C1278">
        <v>267260</v>
      </c>
      <c r="D1278" t="s">
        <v>58</v>
      </c>
      <c r="E1278" t="s">
        <v>57</v>
      </c>
      <c r="F1278" t="s">
        <v>17</v>
      </c>
      <c r="G1278">
        <v>840000</v>
      </c>
      <c r="H1278">
        <v>-33000</v>
      </c>
      <c r="I1278">
        <v>-3.78</v>
      </c>
      <c r="J1278">
        <v>845000</v>
      </c>
      <c r="K1278">
        <v>849000</v>
      </c>
      <c r="L1278">
        <v>806000</v>
      </c>
      <c r="M1278">
        <v>151989</v>
      </c>
      <c r="N1278">
        <v>125779336000</v>
      </c>
      <c r="O1278">
        <v>36047135</v>
      </c>
      <c r="P1278">
        <v>30279593400000</v>
      </c>
    </row>
    <row r="1279" spans="1:16">
      <c r="A1279" t="s">
        <v>57</v>
      </c>
      <c r="B1279">
        <v>20260205</v>
      </c>
      <c r="C1279">
        <v>267260</v>
      </c>
      <c r="D1279" t="s">
        <v>58</v>
      </c>
      <c r="E1279" t="s">
        <v>57</v>
      </c>
      <c r="F1279" t="s">
        <v>17</v>
      </c>
      <c r="G1279">
        <v>873000</v>
      </c>
      <c r="H1279">
        <v>-51000</v>
      </c>
      <c r="I1279">
        <v>-5.52</v>
      </c>
      <c r="J1279">
        <v>894000</v>
      </c>
      <c r="K1279">
        <v>899000</v>
      </c>
      <c r="L1279">
        <v>855000</v>
      </c>
      <c r="M1279">
        <v>190097</v>
      </c>
      <c r="N1279">
        <v>166173583500</v>
      </c>
      <c r="O1279">
        <v>36047135</v>
      </c>
      <c r="P1279">
        <v>31469148855000</v>
      </c>
    </row>
    <row r="1280" spans="1:16">
      <c r="A1280" t="s">
        <v>57</v>
      </c>
      <c r="B1280">
        <v>20260204</v>
      </c>
      <c r="C1280">
        <v>267260</v>
      </c>
      <c r="D1280" t="s">
        <v>58</v>
      </c>
      <c r="E1280" t="s">
        <v>57</v>
      </c>
      <c r="F1280" t="s">
        <v>17</v>
      </c>
      <c r="G1280">
        <v>924000</v>
      </c>
      <c r="H1280">
        <v>35000</v>
      </c>
      <c r="I1280">
        <v>3.94</v>
      </c>
      <c r="J1280">
        <v>896000</v>
      </c>
      <c r="K1280">
        <v>929000</v>
      </c>
      <c r="L1280">
        <v>892000</v>
      </c>
      <c r="M1280">
        <v>146082</v>
      </c>
      <c r="N1280">
        <v>133529351500</v>
      </c>
      <c r="O1280">
        <v>36047135</v>
      </c>
      <c r="P1280">
        <v>33307552740000</v>
      </c>
    </row>
    <row r="1281" spans="1:16">
      <c r="A1281" t="s">
        <v>57</v>
      </c>
      <c r="B1281">
        <v>20260203</v>
      </c>
      <c r="C1281">
        <v>267260</v>
      </c>
      <c r="D1281" t="s">
        <v>58</v>
      </c>
      <c r="E1281" t="s">
        <v>57</v>
      </c>
      <c r="F1281" t="s">
        <v>17</v>
      </c>
      <c r="G1281">
        <v>889000</v>
      </c>
      <c r="H1281">
        <v>53000</v>
      </c>
      <c r="I1281">
        <v>6.34</v>
      </c>
      <c r="J1281">
        <v>866000</v>
      </c>
      <c r="K1281">
        <v>900000</v>
      </c>
      <c r="L1281">
        <v>864000</v>
      </c>
      <c r="M1281">
        <v>174695</v>
      </c>
      <c r="N1281">
        <v>154704242000</v>
      </c>
      <c r="O1281">
        <v>36047135</v>
      </c>
      <c r="P1281">
        <v>32045903015000</v>
      </c>
    </row>
    <row r="1282" spans="1:16">
      <c r="A1282" t="s">
        <v>57</v>
      </c>
      <c r="B1282">
        <v>20260202</v>
      </c>
      <c r="C1282">
        <v>267260</v>
      </c>
      <c r="D1282" t="s">
        <v>58</v>
      </c>
      <c r="E1282" t="s">
        <v>57</v>
      </c>
      <c r="F1282" t="s">
        <v>17</v>
      </c>
      <c r="G1282">
        <v>836000</v>
      </c>
      <c r="H1282">
        <v>-53000</v>
      </c>
      <c r="I1282">
        <v>-5.96</v>
      </c>
      <c r="J1282">
        <v>882000</v>
      </c>
      <c r="K1282">
        <v>883000</v>
      </c>
      <c r="L1282">
        <v>821000</v>
      </c>
      <c r="M1282">
        <v>183359</v>
      </c>
      <c r="N1282">
        <v>155992244000</v>
      </c>
      <c r="O1282">
        <v>36047135</v>
      </c>
      <c r="P1282">
        <v>30135404860000</v>
      </c>
    </row>
    <row r="1283" spans="1:16">
      <c r="A1283" t="s">
        <v>57</v>
      </c>
      <c r="B1283">
        <v>20260130</v>
      </c>
      <c r="C1283">
        <v>267260</v>
      </c>
      <c r="D1283" t="s">
        <v>58</v>
      </c>
      <c r="E1283" t="s">
        <v>57</v>
      </c>
      <c r="F1283" t="s">
        <v>17</v>
      </c>
      <c r="G1283">
        <v>889000</v>
      </c>
      <c r="H1283">
        <v>-8000</v>
      </c>
      <c r="I1283">
        <v>-0.89</v>
      </c>
      <c r="J1283">
        <v>893000</v>
      </c>
      <c r="K1283">
        <v>918000</v>
      </c>
      <c r="L1283">
        <v>885000</v>
      </c>
      <c r="M1283">
        <v>173328</v>
      </c>
      <c r="N1283">
        <v>155819856000</v>
      </c>
      <c r="O1283">
        <v>36047135</v>
      </c>
      <c r="P1283">
        <v>32045903015000</v>
      </c>
    </row>
    <row r="1284" spans="1:16">
      <c r="A1284" t="s">
        <v>57</v>
      </c>
      <c r="B1284">
        <v>20260129</v>
      </c>
      <c r="C1284">
        <v>267260</v>
      </c>
      <c r="D1284" t="s">
        <v>58</v>
      </c>
      <c r="E1284" t="s">
        <v>57</v>
      </c>
      <c r="F1284" t="s">
        <v>17</v>
      </c>
      <c r="G1284">
        <v>897000</v>
      </c>
      <c r="H1284">
        <v>-5000</v>
      </c>
      <c r="I1284">
        <v>-0.55000000000000004</v>
      </c>
      <c r="J1284">
        <v>914000</v>
      </c>
      <c r="K1284">
        <v>926000</v>
      </c>
      <c r="L1284">
        <v>876000</v>
      </c>
      <c r="M1284">
        <v>159821</v>
      </c>
      <c r="N1284">
        <v>143058937500</v>
      </c>
      <c r="O1284">
        <v>36047135</v>
      </c>
      <c r="P1284">
        <v>32334280095000</v>
      </c>
    </row>
    <row r="1285" spans="1:16">
      <c r="A1285" t="s">
        <v>57</v>
      </c>
      <c r="B1285">
        <v>20260128</v>
      </c>
      <c r="C1285">
        <v>267260</v>
      </c>
      <c r="D1285" t="s">
        <v>58</v>
      </c>
      <c r="E1285" t="s">
        <v>57</v>
      </c>
      <c r="F1285" t="s">
        <v>17</v>
      </c>
      <c r="G1285">
        <v>902000</v>
      </c>
      <c r="H1285">
        <v>1000</v>
      </c>
      <c r="I1285">
        <v>0.11</v>
      </c>
      <c r="J1285">
        <v>912000</v>
      </c>
      <c r="K1285">
        <v>927000</v>
      </c>
      <c r="L1285">
        <v>895000</v>
      </c>
      <c r="M1285">
        <v>203258</v>
      </c>
      <c r="N1285">
        <v>184368725000</v>
      </c>
      <c r="O1285">
        <v>36047135</v>
      </c>
      <c r="P1285">
        <v>32514515770000</v>
      </c>
    </row>
    <row r="1286" spans="1:16">
      <c r="A1286" t="s">
        <v>57</v>
      </c>
      <c r="B1286">
        <v>20260127</v>
      </c>
      <c r="C1286">
        <v>267260</v>
      </c>
      <c r="D1286" t="s">
        <v>58</v>
      </c>
      <c r="E1286" t="s">
        <v>57</v>
      </c>
      <c r="F1286" t="s">
        <v>17</v>
      </c>
      <c r="G1286">
        <v>901000</v>
      </c>
      <c r="H1286">
        <v>29000</v>
      </c>
      <c r="I1286">
        <v>3.33</v>
      </c>
      <c r="J1286">
        <v>871000</v>
      </c>
      <c r="K1286">
        <v>913000</v>
      </c>
      <c r="L1286">
        <v>850000</v>
      </c>
      <c r="M1286">
        <v>171752</v>
      </c>
      <c r="N1286">
        <v>153625974000</v>
      </c>
      <c r="O1286">
        <v>36047135</v>
      </c>
      <c r="P1286">
        <v>32478468635000</v>
      </c>
    </row>
    <row r="1287" spans="1:16">
      <c r="A1287" t="s">
        <v>57</v>
      </c>
      <c r="B1287">
        <v>20260126</v>
      </c>
      <c r="C1287">
        <v>267260</v>
      </c>
      <c r="D1287" t="s">
        <v>58</v>
      </c>
      <c r="E1287" t="s">
        <v>57</v>
      </c>
      <c r="F1287" t="s">
        <v>17</v>
      </c>
      <c r="G1287">
        <v>872000</v>
      </c>
      <c r="H1287">
        <v>-12000</v>
      </c>
      <c r="I1287">
        <v>-1.36</v>
      </c>
      <c r="J1287">
        <v>879000</v>
      </c>
      <c r="K1287">
        <v>891000</v>
      </c>
      <c r="L1287">
        <v>845000</v>
      </c>
      <c r="M1287">
        <v>239517</v>
      </c>
      <c r="N1287">
        <v>207333976500</v>
      </c>
      <c r="O1287">
        <v>36047135</v>
      </c>
      <c r="P1287">
        <v>31433101720000</v>
      </c>
    </row>
    <row r="1288" spans="1:16">
      <c r="A1288" t="s">
        <v>57</v>
      </c>
      <c r="B1288">
        <v>20260123</v>
      </c>
      <c r="C1288">
        <v>267260</v>
      </c>
      <c r="D1288" t="s">
        <v>58</v>
      </c>
      <c r="E1288" t="s">
        <v>57</v>
      </c>
      <c r="F1288" t="s">
        <v>17</v>
      </c>
      <c r="G1288">
        <v>884000</v>
      </c>
      <c r="H1288">
        <v>-4000</v>
      </c>
      <c r="I1288">
        <v>-0.45</v>
      </c>
      <c r="J1288">
        <v>880000</v>
      </c>
      <c r="K1288">
        <v>902000</v>
      </c>
      <c r="L1288">
        <v>871000</v>
      </c>
      <c r="M1288">
        <v>158561</v>
      </c>
      <c r="N1288">
        <v>140576264000</v>
      </c>
      <c r="O1288">
        <v>36047135</v>
      </c>
      <c r="P1288">
        <v>31865667340000</v>
      </c>
    </row>
    <row r="1289" spans="1:16">
      <c r="A1289" t="s">
        <v>57</v>
      </c>
      <c r="B1289">
        <v>20260122</v>
      </c>
      <c r="C1289">
        <v>267260</v>
      </c>
      <c r="D1289" t="s">
        <v>58</v>
      </c>
      <c r="E1289" t="s">
        <v>57</v>
      </c>
      <c r="F1289" t="s">
        <v>17</v>
      </c>
      <c r="G1289">
        <v>888000</v>
      </c>
      <c r="H1289">
        <v>-6000</v>
      </c>
      <c r="I1289">
        <v>-0.67</v>
      </c>
      <c r="J1289">
        <v>899000</v>
      </c>
      <c r="K1289">
        <v>909000</v>
      </c>
      <c r="L1289">
        <v>886000</v>
      </c>
      <c r="M1289">
        <v>120807</v>
      </c>
      <c r="N1289">
        <v>108366458000</v>
      </c>
      <c r="O1289">
        <v>36047135</v>
      </c>
      <c r="P1289">
        <v>32009855880000</v>
      </c>
    </row>
    <row r="1290" spans="1:16">
      <c r="A1290" t="s">
        <v>57</v>
      </c>
      <c r="B1290">
        <v>20260121</v>
      </c>
      <c r="C1290">
        <v>267260</v>
      </c>
      <c r="D1290" t="s">
        <v>58</v>
      </c>
      <c r="E1290" t="s">
        <v>57</v>
      </c>
      <c r="F1290" t="s">
        <v>17</v>
      </c>
      <c r="G1290">
        <v>894000</v>
      </c>
      <c r="H1290">
        <v>-21000</v>
      </c>
      <c r="I1290">
        <v>-2.2999999999999998</v>
      </c>
      <c r="J1290">
        <v>891000</v>
      </c>
      <c r="K1290">
        <v>908000</v>
      </c>
      <c r="L1290">
        <v>881000</v>
      </c>
      <c r="M1290">
        <v>121632</v>
      </c>
      <c r="N1290">
        <v>108971606500</v>
      </c>
      <c r="O1290">
        <v>36047135</v>
      </c>
      <c r="P1290">
        <v>32226138690000</v>
      </c>
    </row>
    <row r="1291" spans="1:16">
      <c r="A1291" t="s">
        <v>57</v>
      </c>
      <c r="B1291">
        <v>20260120</v>
      </c>
      <c r="C1291">
        <v>267260</v>
      </c>
      <c r="D1291" t="s">
        <v>58</v>
      </c>
      <c r="E1291" t="s">
        <v>57</v>
      </c>
      <c r="F1291" t="s">
        <v>17</v>
      </c>
      <c r="G1291">
        <v>915000</v>
      </c>
      <c r="H1291">
        <v>-3000</v>
      </c>
      <c r="I1291">
        <v>-0.33</v>
      </c>
      <c r="J1291">
        <v>910000</v>
      </c>
      <c r="K1291">
        <v>928000</v>
      </c>
      <c r="L1291">
        <v>880000</v>
      </c>
      <c r="M1291">
        <v>137308</v>
      </c>
      <c r="N1291">
        <v>124628678500</v>
      </c>
      <c r="O1291">
        <v>36047135</v>
      </c>
      <c r="P1291">
        <v>32983128525000</v>
      </c>
    </row>
    <row r="1292" spans="1:16">
      <c r="A1292" t="s">
        <v>57</v>
      </c>
      <c r="B1292">
        <v>20260119</v>
      </c>
      <c r="C1292">
        <v>267260</v>
      </c>
      <c r="D1292" t="s">
        <v>58</v>
      </c>
      <c r="E1292" t="s">
        <v>57</v>
      </c>
      <c r="F1292" t="s">
        <v>17</v>
      </c>
      <c r="G1292">
        <v>918000</v>
      </c>
      <c r="H1292">
        <v>12000</v>
      </c>
      <c r="I1292">
        <v>1.32</v>
      </c>
      <c r="J1292">
        <v>909000</v>
      </c>
      <c r="K1292">
        <v>934000</v>
      </c>
      <c r="L1292">
        <v>906000</v>
      </c>
      <c r="M1292">
        <v>168381</v>
      </c>
      <c r="N1292">
        <v>154810551456</v>
      </c>
      <c r="O1292">
        <v>36047135</v>
      </c>
      <c r="P1292">
        <v>33091269930000</v>
      </c>
    </row>
    <row r="1293" spans="1:16">
      <c r="A1293" t="s">
        <v>57</v>
      </c>
      <c r="B1293">
        <v>20260116</v>
      </c>
      <c r="C1293">
        <v>267260</v>
      </c>
      <c r="D1293" t="s">
        <v>58</v>
      </c>
      <c r="E1293" t="s">
        <v>57</v>
      </c>
      <c r="F1293" t="s">
        <v>17</v>
      </c>
      <c r="G1293">
        <v>906000</v>
      </c>
      <c r="H1293">
        <v>14000</v>
      </c>
      <c r="I1293">
        <v>1.57</v>
      </c>
      <c r="J1293">
        <v>910000</v>
      </c>
      <c r="K1293">
        <v>915000</v>
      </c>
      <c r="L1293">
        <v>888000</v>
      </c>
      <c r="M1293">
        <v>139572</v>
      </c>
      <c r="N1293">
        <v>125643277000</v>
      </c>
      <c r="O1293">
        <v>36047135</v>
      </c>
      <c r="P1293">
        <v>32658704310000</v>
      </c>
    </row>
    <row r="1294" spans="1:16">
      <c r="A1294" t="s">
        <v>57</v>
      </c>
      <c r="B1294">
        <v>20260115</v>
      </c>
      <c r="C1294">
        <v>267260</v>
      </c>
      <c r="D1294" t="s">
        <v>58</v>
      </c>
      <c r="E1294" t="s">
        <v>57</v>
      </c>
      <c r="F1294" t="s">
        <v>17</v>
      </c>
      <c r="G1294">
        <v>892000</v>
      </c>
      <c r="H1294">
        <v>-30000</v>
      </c>
      <c r="I1294">
        <v>-3.25</v>
      </c>
      <c r="J1294">
        <v>920000</v>
      </c>
      <c r="K1294">
        <v>947000</v>
      </c>
      <c r="L1294">
        <v>888000</v>
      </c>
      <c r="M1294">
        <v>277030</v>
      </c>
      <c r="N1294">
        <v>250470700500</v>
      </c>
      <c r="O1294">
        <v>36047135</v>
      </c>
      <c r="P1294">
        <v>32154044420000</v>
      </c>
    </row>
    <row r="1295" spans="1:16">
      <c r="A1295" t="s">
        <v>57</v>
      </c>
      <c r="B1295">
        <v>20260114</v>
      </c>
      <c r="C1295">
        <v>267260</v>
      </c>
      <c r="D1295" t="s">
        <v>58</v>
      </c>
      <c r="E1295" t="s">
        <v>57</v>
      </c>
      <c r="F1295" t="s">
        <v>17</v>
      </c>
      <c r="G1295">
        <v>922000</v>
      </c>
      <c r="H1295">
        <v>36000</v>
      </c>
      <c r="I1295">
        <v>4.0599999999999996</v>
      </c>
      <c r="J1295">
        <v>887000</v>
      </c>
      <c r="K1295">
        <v>929000</v>
      </c>
      <c r="L1295">
        <v>882000</v>
      </c>
      <c r="M1295">
        <v>203916</v>
      </c>
      <c r="N1295">
        <v>186026654500</v>
      </c>
      <c r="O1295">
        <v>36047135</v>
      </c>
      <c r="P1295">
        <v>33235458470000</v>
      </c>
    </row>
    <row r="1296" spans="1:16">
      <c r="A1296" t="s">
        <v>57</v>
      </c>
      <c r="B1296">
        <v>20260113</v>
      </c>
      <c r="C1296">
        <v>267260</v>
      </c>
      <c r="D1296" t="s">
        <v>58</v>
      </c>
      <c r="E1296" t="s">
        <v>57</v>
      </c>
      <c r="F1296" t="s">
        <v>17</v>
      </c>
      <c r="G1296">
        <v>886000</v>
      </c>
      <c r="H1296">
        <v>10000</v>
      </c>
      <c r="I1296">
        <v>1.1399999999999999</v>
      </c>
      <c r="J1296">
        <v>896000</v>
      </c>
      <c r="K1296">
        <v>897000</v>
      </c>
      <c r="L1296">
        <v>857000</v>
      </c>
      <c r="M1296">
        <v>155578</v>
      </c>
      <c r="N1296">
        <v>136327324500</v>
      </c>
      <c r="O1296">
        <v>36047135</v>
      </c>
      <c r="P1296">
        <v>31937761610000</v>
      </c>
    </row>
    <row r="1297" spans="1:16">
      <c r="A1297" t="s">
        <v>57</v>
      </c>
      <c r="B1297">
        <v>20260112</v>
      </c>
      <c r="C1297">
        <v>267260</v>
      </c>
      <c r="D1297" t="s">
        <v>58</v>
      </c>
      <c r="E1297" t="s">
        <v>57</v>
      </c>
      <c r="F1297" t="s">
        <v>17</v>
      </c>
      <c r="G1297">
        <v>876000</v>
      </c>
      <c r="H1297">
        <v>28000</v>
      </c>
      <c r="I1297">
        <v>3.3</v>
      </c>
      <c r="J1297">
        <v>866000</v>
      </c>
      <c r="K1297">
        <v>898000</v>
      </c>
      <c r="L1297">
        <v>860000</v>
      </c>
      <c r="M1297">
        <v>189898</v>
      </c>
      <c r="N1297">
        <v>167246624500</v>
      </c>
      <c r="O1297">
        <v>36047135</v>
      </c>
      <c r="P1297">
        <v>31577290260000</v>
      </c>
    </row>
    <row r="1298" spans="1:16">
      <c r="A1298" t="s">
        <v>57</v>
      </c>
      <c r="B1298">
        <v>20260109</v>
      </c>
      <c r="C1298">
        <v>267260</v>
      </c>
      <c r="D1298" t="s">
        <v>58</v>
      </c>
      <c r="E1298" t="s">
        <v>57</v>
      </c>
      <c r="F1298" t="s">
        <v>17</v>
      </c>
      <c r="G1298">
        <v>848000</v>
      </c>
      <c r="H1298">
        <v>-14000</v>
      </c>
      <c r="I1298">
        <v>-1.62</v>
      </c>
      <c r="J1298">
        <v>855000</v>
      </c>
      <c r="K1298">
        <v>855000</v>
      </c>
      <c r="L1298">
        <v>825000</v>
      </c>
      <c r="M1298">
        <v>140739</v>
      </c>
      <c r="N1298">
        <v>118230474500</v>
      </c>
      <c r="O1298">
        <v>36047135</v>
      </c>
      <c r="P1298">
        <v>30567970480000</v>
      </c>
    </row>
    <row r="1299" spans="1:16">
      <c r="A1299" t="s">
        <v>57</v>
      </c>
      <c r="B1299">
        <v>20260108</v>
      </c>
      <c r="C1299">
        <v>267260</v>
      </c>
      <c r="D1299" t="s">
        <v>58</v>
      </c>
      <c r="E1299" t="s">
        <v>57</v>
      </c>
      <c r="F1299" t="s">
        <v>17</v>
      </c>
      <c r="G1299">
        <v>862000</v>
      </c>
      <c r="H1299">
        <v>41000</v>
      </c>
      <c r="I1299">
        <v>4.99</v>
      </c>
      <c r="J1299">
        <v>812000</v>
      </c>
      <c r="K1299">
        <v>868000</v>
      </c>
      <c r="L1299">
        <v>812000</v>
      </c>
      <c r="M1299">
        <v>219304</v>
      </c>
      <c r="N1299">
        <v>186037637000</v>
      </c>
      <c r="O1299">
        <v>36047135</v>
      </c>
      <c r="P1299">
        <v>31072630370000</v>
      </c>
    </row>
    <row r="1300" spans="1:16">
      <c r="A1300" t="s">
        <v>57</v>
      </c>
      <c r="B1300">
        <v>20260107</v>
      </c>
      <c r="C1300">
        <v>267260</v>
      </c>
      <c r="D1300" t="s">
        <v>58</v>
      </c>
      <c r="E1300" t="s">
        <v>57</v>
      </c>
      <c r="F1300" t="s">
        <v>17</v>
      </c>
      <c r="G1300">
        <v>821000</v>
      </c>
      <c r="H1300">
        <v>-13000</v>
      </c>
      <c r="I1300">
        <v>-1.56</v>
      </c>
      <c r="J1300">
        <v>825000</v>
      </c>
      <c r="K1300">
        <v>830000</v>
      </c>
      <c r="L1300">
        <v>814000</v>
      </c>
      <c r="M1300">
        <v>233958</v>
      </c>
      <c r="N1300">
        <v>192073296860</v>
      </c>
      <c r="O1300">
        <v>36047135</v>
      </c>
      <c r="P1300">
        <v>29594697835000</v>
      </c>
    </row>
    <row r="1301" spans="1:16">
      <c r="A1301" t="s">
        <v>57</v>
      </c>
      <c r="B1301">
        <v>20260106</v>
      </c>
      <c r="C1301">
        <v>267260</v>
      </c>
      <c r="D1301" t="s">
        <v>58</v>
      </c>
      <c r="E1301" t="s">
        <v>57</v>
      </c>
      <c r="F1301" t="s">
        <v>17</v>
      </c>
      <c r="G1301">
        <v>834000</v>
      </c>
      <c r="H1301">
        <v>-34000</v>
      </c>
      <c r="I1301">
        <v>-3.92</v>
      </c>
      <c r="J1301">
        <v>826000</v>
      </c>
      <c r="K1301">
        <v>855000</v>
      </c>
      <c r="L1301">
        <v>790000</v>
      </c>
      <c r="M1301">
        <v>428669</v>
      </c>
      <c r="N1301">
        <v>349452096500</v>
      </c>
      <c r="O1301">
        <v>36047135</v>
      </c>
      <c r="P1301">
        <v>30063310590000</v>
      </c>
    </row>
    <row r="1302" spans="1:16">
      <c r="A1302" t="s">
        <v>57</v>
      </c>
      <c r="B1302">
        <v>20260105</v>
      </c>
      <c r="C1302">
        <v>267260</v>
      </c>
      <c r="D1302" t="s">
        <v>58</v>
      </c>
      <c r="E1302" t="s">
        <v>57</v>
      </c>
      <c r="F1302" t="s">
        <v>17</v>
      </c>
      <c r="G1302">
        <v>868000</v>
      </c>
      <c r="H1302">
        <v>49000</v>
      </c>
      <c r="I1302">
        <v>5.98</v>
      </c>
      <c r="J1302">
        <v>819000</v>
      </c>
      <c r="K1302">
        <v>869000</v>
      </c>
      <c r="L1302">
        <v>811000</v>
      </c>
      <c r="M1302">
        <v>165187</v>
      </c>
      <c r="N1302">
        <v>140094754000</v>
      </c>
      <c r="O1302">
        <v>36047135</v>
      </c>
      <c r="P1302">
        <v>31288913180000</v>
      </c>
    </row>
    <row r="1303" spans="1:16">
      <c r="A1303" t="s">
        <v>57</v>
      </c>
      <c r="B1303">
        <v>20260102</v>
      </c>
      <c r="C1303">
        <v>267260</v>
      </c>
      <c r="D1303" t="s">
        <v>58</v>
      </c>
      <c r="E1303" t="s">
        <v>57</v>
      </c>
      <c r="F1303" t="s">
        <v>17</v>
      </c>
      <c r="G1303">
        <v>819000</v>
      </c>
      <c r="H1303">
        <v>45000</v>
      </c>
      <c r="I1303">
        <v>5.81</v>
      </c>
      <c r="J1303">
        <v>774000</v>
      </c>
      <c r="K1303">
        <v>822000</v>
      </c>
      <c r="L1303">
        <v>763000</v>
      </c>
      <c r="M1303">
        <v>132745</v>
      </c>
      <c r="N1303">
        <v>106714942000</v>
      </c>
      <c r="O1303">
        <v>36047135</v>
      </c>
      <c r="P1303">
        <v>29522603565000</v>
      </c>
    </row>
    <row r="1304" spans="1:16">
      <c r="A1304" t="s">
        <v>59</v>
      </c>
      <c r="B1304">
        <v>20260403</v>
      </c>
      <c r="C1304">
        <v>35420</v>
      </c>
      <c r="D1304" t="s">
        <v>60</v>
      </c>
      <c r="E1304" t="s">
        <v>59</v>
      </c>
      <c r="F1304" t="s">
        <v>17</v>
      </c>
      <c r="G1304">
        <v>197500</v>
      </c>
      <c r="H1304">
        <v>1700</v>
      </c>
      <c r="I1304">
        <v>0.87</v>
      </c>
      <c r="J1304">
        <v>198900</v>
      </c>
      <c r="K1304">
        <v>200000</v>
      </c>
      <c r="L1304">
        <v>196600</v>
      </c>
      <c r="M1304">
        <v>659137</v>
      </c>
      <c r="N1304">
        <v>130487290300</v>
      </c>
      <c r="O1304">
        <v>156852638</v>
      </c>
      <c r="P1304">
        <v>30978396005000</v>
      </c>
    </row>
    <row r="1305" spans="1:16">
      <c r="A1305" t="s">
        <v>59</v>
      </c>
      <c r="B1305">
        <v>20260402</v>
      </c>
      <c r="C1305">
        <v>35420</v>
      </c>
      <c r="D1305" t="s">
        <v>60</v>
      </c>
      <c r="E1305" t="s">
        <v>59</v>
      </c>
      <c r="F1305" t="s">
        <v>17</v>
      </c>
      <c r="G1305">
        <v>195800</v>
      </c>
      <c r="H1305">
        <v>-14200</v>
      </c>
      <c r="I1305">
        <v>-6.76</v>
      </c>
      <c r="J1305">
        <v>211500</v>
      </c>
      <c r="K1305">
        <v>212000</v>
      </c>
      <c r="L1305">
        <v>194600</v>
      </c>
      <c r="M1305">
        <v>1464904</v>
      </c>
      <c r="N1305">
        <v>293098994200</v>
      </c>
      <c r="O1305">
        <v>156852638</v>
      </c>
      <c r="P1305">
        <v>30711746520400</v>
      </c>
    </row>
    <row r="1306" spans="1:16">
      <c r="A1306" t="s">
        <v>59</v>
      </c>
      <c r="B1306">
        <v>20260401</v>
      </c>
      <c r="C1306">
        <v>35420</v>
      </c>
      <c r="D1306" t="s">
        <v>60</v>
      </c>
      <c r="E1306" t="s">
        <v>59</v>
      </c>
      <c r="F1306" t="s">
        <v>17</v>
      </c>
      <c r="G1306">
        <v>210000</v>
      </c>
      <c r="H1306">
        <v>8500</v>
      </c>
      <c r="I1306">
        <v>4.22</v>
      </c>
      <c r="J1306">
        <v>208500</v>
      </c>
      <c r="K1306">
        <v>212000</v>
      </c>
      <c r="L1306">
        <v>205500</v>
      </c>
      <c r="M1306">
        <v>575814</v>
      </c>
      <c r="N1306">
        <v>120378465250</v>
      </c>
      <c r="O1306">
        <v>156852638</v>
      </c>
      <c r="P1306">
        <v>32939053980000</v>
      </c>
    </row>
    <row r="1307" spans="1:16">
      <c r="A1307" t="s">
        <v>59</v>
      </c>
      <c r="B1307">
        <v>20260331</v>
      </c>
      <c r="C1307">
        <v>35420</v>
      </c>
      <c r="D1307" t="s">
        <v>60</v>
      </c>
      <c r="E1307" t="s">
        <v>59</v>
      </c>
      <c r="F1307" t="s">
        <v>17</v>
      </c>
      <c r="G1307">
        <v>201500</v>
      </c>
      <c r="H1307">
        <v>-5500</v>
      </c>
      <c r="I1307">
        <v>-2.66</v>
      </c>
      <c r="J1307">
        <v>202500</v>
      </c>
      <c r="K1307">
        <v>205500</v>
      </c>
      <c r="L1307">
        <v>200000</v>
      </c>
      <c r="M1307">
        <v>890860</v>
      </c>
      <c r="N1307">
        <v>179847073500</v>
      </c>
      <c r="O1307">
        <v>156852638</v>
      </c>
      <c r="P1307">
        <v>31605806557000</v>
      </c>
    </row>
    <row r="1308" spans="1:16">
      <c r="A1308" t="s">
        <v>59</v>
      </c>
      <c r="B1308">
        <v>20260330</v>
      </c>
      <c r="C1308">
        <v>35420</v>
      </c>
      <c r="D1308" t="s">
        <v>60</v>
      </c>
      <c r="E1308" t="s">
        <v>59</v>
      </c>
      <c r="F1308" t="s">
        <v>17</v>
      </c>
      <c r="G1308">
        <v>207000</v>
      </c>
      <c r="H1308">
        <v>-5500</v>
      </c>
      <c r="I1308">
        <v>-2.59</v>
      </c>
      <c r="J1308">
        <v>205500</v>
      </c>
      <c r="K1308">
        <v>208500</v>
      </c>
      <c r="L1308">
        <v>204000</v>
      </c>
      <c r="M1308">
        <v>379513</v>
      </c>
      <c r="N1308">
        <v>78270171500</v>
      </c>
      <c r="O1308">
        <v>156852638</v>
      </c>
      <c r="P1308">
        <v>32468496066000</v>
      </c>
    </row>
    <row r="1309" spans="1:16">
      <c r="A1309" t="s">
        <v>59</v>
      </c>
      <c r="B1309">
        <v>20260327</v>
      </c>
      <c r="C1309">
        <v>35420</v>
      </c>
      <c r="D1309" t="s">
        <v>60</v>
      </c>
      <c r="E1309" t="s">
        <v>59</v>
      </c>
      <c r="F1309" t="s">
        <v>17</v>
      </c>
      <c r="G1309">
        <v>212500</v>
      </c>
      <c r="H1309">
        <v>1000</v>
      </c>
      <c r="I1309">
        <v>0.47</v>
      </c>
      <c r="J1309">
        <v>208000</v>
      </c>
      <c r="K1309">
        <v>213000</v>
      </c>
      <c r="L1309">
        <v>206000</v>
      </c>
      <c r="M1309">
        <v>439328</v>
      </c>
      <c r="N1309">
        <v>92204026500</v>
      </c>
      <c r="O1309">
        <v>156852638</v>
      </c>
      <c r="P1309">
        <v>33331185575000</v>
      </c>
    </row>
    <row r="1310" spans="1:16">
      <c r="A1310" t="s">
        <v>59</v>
      </c>
      <c r="B1310">
        <v>20260326</v>
      </c>
      <c r="C1310">
        <v>35420</v>
      </c>
      <c r="D1310" t="s">
        <v>60</v>
      </c>
      <c r="E1310" t="s">
        <v>59</v>
      </c>
      <c r="F1310" t="s">
        <v>17</v>
      </c>
      <c r="G1310">
        <v>211500</v>
      </c>
      <c r="H1310">
        <v>-4000</v>
      </c>
      <c r="I1310">
        <v>-1.86</v>
      </c>
      <c r="J1310">
        <v>216500</v>
      </c>
      <c r="K1310">
        <v>218500</v>
      </c>
      <c r="L1310">
        <v>211000</v>
      </c>
      <c r="M1310">
        <v>414907</v>
      </c>
      <c r="N1310">
        <v>88610190000</v>
      </c>
      <c r="O1310">
        <v>156852638</v>
      </c>
      <c r="P1310">
        <v>33174332937000</v>
      </c>
    </row>
    <row r="1311" spans="1:16">
      <c r="A1311" t="s">
        <v>59</v>
      </c>
      <c r="B1311">
        <v>20260325</v>
      </c>
      <c r="C1311">
        <v>35420</v>
      </c>
      <c r="D1311" t="s">
        <v>60</v>
      </c>
      <c r="E1311" t="s">
        <v>59</v>
      </c>
      <c r="F1311" t="s">
        <v>17</v>
      </c>
      <c r="G1311">
        <v>215500</v>
      </c>
      <c r="H1311">
        <v>2000</v>
      </c>
      <c r="I1311">
        <v>0.94</v>
      </c>
      <c r="J1311">
        <v>216500</v>
      </c>
      <c r="K1311">
        <v>218000</v>
      </c>
      <c r="L1311">
        <v>214000</v>
      </c>
      <c r="M1311">
        <v>465850</v>
      </c>
      <c r="N1311">
        <v>100644506000</v>
      </c>
      <c r="O1311">
        <v>156852638</v>
      </c>
      <c r="P1311">
        <v>33801743489000</v>
      </c>
    </row>
    <row r="1312" spans="1:16">
      <c r="A1312" t="s">
        <v>59</v>
      </c>
      <c r="B1312">
        <v>20260324</v>
      </c>
      <c r="C1312">
        <v>35420</v>
      </c>
      <c r="D1312" t="s">
        <v>60</v>
      </c>
      <c r="E1312" t="s">
        <v>59</v>
      </c>
      <c r="F1312" t="s">
        <v>17</v>
      </c>
      <c r="G1312">
        <v>213500</v>
      </c>
      <c r="H1312">
        <v>4500</v>
      </c>
      <c r="I1312">
        <v>2.15</v>
      </c>
      <c r="J1312">
        <v>215500</v>
      </c>
      <c r="K1312">
        <v>217000</v>
      </c>
      <c r="L1312">
        <v>209000</v>
      </c>
      <c r="M1312">
        <v>468548</v>
      </c>
      <c r="N1312">
        <v>99778021750</v>
      </c>
      <c r="O1312">
        <v>156852638</v>
      </c>
      <c r="P1312">
        <v>33488038213000</v>
      </c>
    </row>
    <row r="1313" spans="1:16">
      <c r="A1313" t="s">
        <v>59</v>
      </c>
      <c r="B1313">
        <v>20260323</v>
      </c>
      <c r="C1313">
        <v>35420</v>
      </c>
      <c r="D1313" t="s">
        <v>60</v>
      </c>
      <c r="E1313" t="s">
        <v>59</v>
      </c>
      <c r="F1313" t="s">
        <v>17</v>
      </c>
      <c r="G1313">
        <v>209000</v>
      </c>
      <c r="H1313">
        <v>-12500</v>
      </c>
      <c r="I1313">
        <v>-5.64</v>
      </c>
      <c r="J1313">
        <v>215500</v>
      </c>
      <c r="K1313">
        <v>215500</v>
      </c>
      <c r="L1313">
        <v>208500</v>
      </c>
      <c r="M1313">
        <v>692498</v>
      </c>
      <c r="N1313">
        <v>146143324250</v>
      </c>
      <c r="O1313">
        <v>156852638</v>
      </c>
      <c r="P1313">
        <v>32782201342000</v>
      </c>
    </row>
    <row r="1314" spans="1:16">
      <c r="A1314" t="s">
        <v>59</v>
      </c>
      <c r="B1314">
        <v>20260320</v>
      </c>
      <c r="C1314">
        <v>35420</v>
      </c>
      <c r="D1314" t="s">
        <v>60</v>
      </c>
      <c r="E1314" t="s">
        <v>59</v>
      </c>
      <c r="F1314" t="s">
        <v>17</v>
      </c>
      <c r="G1314">
        <v>221500</v>
      </c>
      <c r="H1314">
        <v>1000</v>
      </c>
      <c r="I1314">
        <v>0.45</v>
      </c>
      <c r="J1314">
        <v>222000</v>
      </c>
      <c r="K1314">
        <v>224500</v>
      </c>
      <c r="L1314">
        <v>220000</v>
      </c>
      <c r="M1314">
        <v>673277</v>
      </c>
      <c r="N1314">
        <v>149194180750</v>
      </c>
      <c r="O1314">
        <v>156852638</v>
      </c>
      <c r="P1314">
        <v>34742859317000</v>
      </c>
    </row>
    <row r="1315" spans="1:16">
      <c r="A1315" t="s">
        <v>59</v>
      </c>
      <c r="B1315">
        <v>20260319</v>
      </c>
      <c r="C1315">
        <v>35420</v>
      </c>
      <c r="D1315" t="s">
        <v>60</v>
      </c>
      <c r="E1315" t="s">
        <v>59</v>
      </c>
      <c r="F1315" t="s">
        <v>17</v>
      </c>
      <c r="G1315">
        <v>220500</v>
      </c>
      <c r="H1315">
        <v>-6000</v>
      </c>
      <c r="I1315">
        <v>-2.65</v>
      </c>
      <c r="J1315">
        <v>221500</v>
      </c>
      <c r="K1315">
        <v>222500</v>
      </c>
      <c r="L1315">
        <v>220000</v>
      </c>
      <c r="M1315">
        <v>474188</v>
      </c>
      <c r="N1315">
        <v>104731193500</v>
      </c>
      <c r="O1315">
        <v>156852638</v>
      </c>
      <c r="P1315">
        <v>34586006679000</v>
      </c>
    </row>
    <row r="1316" spans="1:16">
      <c r="A1316" t="s">
        <v>59</v>
      </c>
      <c r="B1316">
        <v>20260318</v>
      </c>
      <c r="C1316">
        <v>35420</v>
      </c>
      <c r="D1316" t="s">
        <v>60</v>
      </c>
      <c r="E1316" t="s">
        <v>59</v>
      </c>
      <c r="F1316" t="s">
        <v>17</v>
      </c>
      <c r="G1316">
        <v>226500</v>
      </c>
      <c r="H1316">
        <v>2500</v>
      </c>
      <c r="I1316">
        <v>1.1200000000000001</v>
      </c>
      <c r="J1316">
        <v>228500</v>
      </c>
      <c r="K1316">
        <v>228500</v>
      </c>
      <c r="L1316">
        <v>225000</v>
      </c>
      <c r="M1316">
        <v>687521</v>
      </c>
      <c r="N1316">
        <v>155662271000</v>
      </c>
      <c r="O1316">
        <v>156852638</v>
      </c>
      <c r="P1316">
        <v>35527122507000</v>
      </c>
    </row>
    <row r="1317" spans="1:16">
      <c r="A1317" t="s">
        <v>59</v>
      </c>
      <c r="B1317">
        <v>20260317</v>
      </c>
      <c r="C1317">
        <v>35420</v>
      </c>
      <c r="D1317" t="s">
        <v>60</v>
      </c>
      <c r="E1317" t="s">
        <v>59</v>
      </c>
      <c r="F1317" t="s">
        <v>17</v>
      </c>
      <c r="G1317">
        <v>224000</v>
      </c>
      <c r="H1317">
        <v>6000</v>
      </c>
      <c r="I1317">
        <v>2.75</v>
      </c>
      <c r="J1317">
        <v>221500</v>
      </c>
      <c r="K1317">
        <v>227500</v>
      </c>
      <c r="L1317">
        <v>220500</v>
      </c>
      <c r="M1317">
        <v>614390</v>
      </c>
      <c r="N1317">
        <v>137794043250</v>
      </c>
      <c r="O1317">
        <v>156852638</v>
      </c>
      <c r="P1317">
        <v>35134990912000</v>
      </c>
    </row>
    <row r="1318" spans="1:16">
      <c r="A1318" t="s">
        <v>59</v>
      </c>
      <c r="B1318">
        <v>20260316</v>
      </c>
      <c r="C1318">
        <v>35420</v>
      </c>
      <c r="D1318" t="s">
        <v>60</v>
      </c>
      <c r="E1318" t="s">
        <v>59</v>
      </c>
      <c r="F1318" t="s">
        <v>17</v>
      </c>
      <c r="G1318">
        <v>218000</v>
      </c>
      <c r="H1318">
        <v>-5000</v>
      </c>
      <c r="I1318">
        <v>-2.2400000000000002</v>
      </c>
      <c r="J1318">
        <v>222000</v>
      </c>
      <c r="K1318">
        <v>222500</v>
      </c>
      <c r="L1318">
        <v>216000</v>
      </c>
      <c r="M1318">
        <v>531797</v>
      </c>
      <c r="N1318">
        <v>116168292500</v>
      </c>
      <c r="O1318">
        <v>156852638</v>
      </c>
      <c r="P1318">
        <v>34193875084000</v>
      </c>
    </row>
    <row r="1319" spans="1:16">
      <c r="A1319" t="s">
        <v>59</v>
      </c>
      <c r="B1319">
        <v>20260313</v>
      </c>
      <c r="C1319">
        <v>35420</v>
      </c>
      <c r="D1319" t="s">
        <v>60</v>
      </c>
      <c r="E1319" t="s">
        <v>59</v>
      </c>
      <c r="F1319" t="s">
        <v>17</v>
      </c>
      <c r="G1319">
        <v>223000</v>
      </c>
      <c r="H1319">
        <v>1000</v>
      </c>
      <c r="I1319">
        <v>0.45</v>
      </c>
      <c r="J1319">
        <v>216500</v>
      </c>
      <c r="K1319">
        <v>224000</v>
      </c>
      <c r="L1319">
        <v>216000</v>
      </c>
      <c r="M1319">
        <v>706127</v>
      </c>
      <c r="N1319">
        <v>156771597500</v>
      </c>
      <c r="O1319">
        <v>156852638</v>
      </c>
      <c r="P1319">
        <v>34978138274000</v>
      </c>
    </row>
    <row r="1320" spans="1:16">
      <c r="A1320" t="s">
        <v>59</v>
      </c>
      <c r="B1320">
        <v>20260312</v>
      </c>
      <c r="C1320">
        <v>35420</v>
      </c>
      <c r="D1320" t="s">
        <v>60</v>
      </c>
      <c r="E1320" t="s">
        <v>59</v>
      </c>
      <c r="F1320" t="s">
        <v>17</v>
      </c>
      <c r="G1320">
        <v>222000</v>
      </c>
      <c r="H1320">
        <v>0</v>
      </c>
      <c r="I1320">
        <v>0</v>
      </c>
      <c r="J1320">
        <v>223500</v>
      </c>
      <c r="K1320">
        <v>225500</v>
      </c>
      <c r="L1320">
        <v>220500</v>
      </c>
      <c r="M1320">
        <v>700973</v>
      </c>
      <c r="N1320">
        <v>155784989250</v>
      </c>
      <c r="O1320">
        <v>156852638</v>
      </c>
      <c r="P1320">
        <v>34821285636000</v>
      </c>
    </row>
    <row r="1321" spans="1:16">
      <c r="A1321" t="s">
        <v>59</v>
      </c>
      <c r="B1321">
        <v>20260311</v>
      </c>
      <c r="C1321">
        <v>35420</v>
      </c>
      <c r="D1321" t="s">
        <v>60</v>
      </c>
      <c r="E1321" t="s">
        <v>59</v>
      </c>
      <c r="F1321" t="s">
        <v>17</v>
      </c>
      <c r="G1321">
        <v>222000</v>
      </c>
      <c r="H1321">
        <v>1500</v>
      </c>
      <c r="I1321">
        <v>0.68</v>
      </c>
      <c r="J1321">
        <v>227000</v>
      </c>
      <c r="K1321">
        <v>230000</v>
      </c>
      <c r="L1321">
        <v>221000</v>
      </c>
      <c r="M1321">
        <v>757145</v>
      </c>
      <c r="N1321">
        <v>171227486019</v>
      </c>
      <c r="O1321">
        <v>156852638</v>
      </c>
      <c r="P1321">
        <v>34821285636000</v>
      </c>
    </row>
    <row r="1322" spans="1:16">
      <c r="A1322" t="s">
        <v>59</v>
      </c>
      <c r="B1322">
        <v>20260310</v>
      </c>
      <c r="C1322">
        <v>35420</v>
      </c>
      <c r="D1322" t="s">
        <v>60</v>
      </c>
      <c r="E1322" t="s">
        <v>59</v>
      </c>
      <c r="F1322" t="s">
        <v>17</v>
      </c>
      <c r="G1322">
        <v>220500</v>
      </c>
      <c r="H1322">
        <v>2000</v>
      </c>
      <c r="I1322">
        <v>0.92</v>
      </c>
      <c r="J1322">
        <v>226500</v>
      </c>
      <c r="K1322">
        <v>227000</v>
      </c>
      <c r="L1322">
        <v>218000</v>
      </c>
      <c r="M1322">
        <v>935756</v>
      </c>
      <c r="N1322">
        <v>206811417000</v>
      </c>
      <c r="O1322">
        <v>156852638</v>
      </c>
      <c r="P1322">
        <v>34586006679000</v>
      </c>
    </row>
    <row r="1323" spans="1:16">
      <c r="A1323" t="s">
        <v>59</v>
      </c>
      <c r="B1323">
        <v>20260309</v>
      </c>
      <c r="C1323">
        <v>35420</v>
      </c>
      <c r="D1323" t="s">
        <v>60</v>
      </c>
      <c r="E1323" t="s">
        <v>59</v>
      </c>
      <c r="F1323" t="s">
        <v>17</v>
      </c>
      <c r="G1323">
        <v>218500</v>
      </c>
      <c r="H1323">
        <v>-4000</v>
      </c>
      <c r="I1323">
        <v>-1.8</v>
      </c>
      <c r="J1323">
        <v>209500</v>
      </c>
      <c r="K1323">
        <v>218500</v>
      </c>
      <c r="L1323">
        <v>207000</v>
      </c>
      <c r="M1323">
        <v>940462</v>
      </c>
      <c r="N1323">
        <v>200834309500</v>
      </c>
      <c r="O1323">
        <v>156852638</v>
      </c>
      <c r="P1323">
        <v>34272301403000</v>
      </c>
    </row>
    <row r="1324" spans="1:16">
      <c r="A1324" t="s">
        <v>59</v>
      </c>
      <c r="B1324">
        <v>20260306</v>
      </c>
      <c r="C1324">
        <v>35420</v>
      </c>
      <c r="D1324" t="s">
        <v>60</v>
      </c>
      <c r="E1324" t="s">
        <v>59</v>
      </c>
      <c r="F1324" t="s">
        <v>17</v>
      </c>
      <c r="G1324">
        <v>222500</v>
      </c>
      <c r="H1324">
        <v>2500</v>
      </c>
      <c r="I1324">
        <v>1.1399999999999999</v>
      </c>
      <c r="J1324">
        <v>216000</v>
      </c>
      <c r="K1324">
        <v>225500</v>
      </c>
      <c r="L1324">
        <v>216000</v>
      </c>
      <c r="M1324">
        <v>1042652</v>
      </c>
      <c r="N1324">
        <v>230759286250</v>
      </c>
      <c r="O1324">
        <v>156852638</v>
      </c>
      <c r="P1324">
        <v>34899711955000</v>
      </c>
    </row>
    <row r="1325" spans="1:16">
      <c r="A1325" t="s">
        <v>59</v>
      </c>
      <c r="B1325">
        <v>20260305</v>
      </c>
      <c r="C1325">
        <v>35420</v>
      </c>
      <c r="D1325" t="s">
        <v>60</v>
      </c>
      <c r="E1325" t="s">
        <v>59</v>
      </c>
      <c r="F1325" t="s">
        <v>17</v>
      </c>
      <c r="G1325">
        <v>220000</v>
      </c>
      <c r="H1325">
        <v>12000</v>
      </c>
      <c r="I1325">
        <v>5.77</v>
      </c>
      <c r="J1325">
        <v>224000</v>
      </c>
      <c r="K1325">
        <v>227500</v>
      </c>
      <c r="L1325">
        <v>218000</v>
      </c>
      <c r="M1325">
        <v>1671549</v>
      </c>
      <c r="N1325">
        <v>370724847500</v>
      </c>
      <c r="O1325">
        <v>156852638</v>
      </c>
      <c r="P1325">
        <v>34507580360000</v>
      </c>
    </row>
    <row r="1326" spans="1:16">
      <c r="A1326" t="s">
        <v>59</v>
      </c>
      <c r="B1326">
        <v>20260304</v>
      </c>
      <c r="C1326">
        <v>35420</v>
      </c>
      <c r="D1326" t="s">
        <v>60</v>
      </c>
      <c r="E1326" t="s">
        <v>59</v>
      </c>
      <c r="F1326" t="s">
        <v>17</v>
      </c>
      <c r="G1326">
        <v>208000</v>
      </c>
      <c r="H1326">
        <v>-28000</v>
      </c>
      <c r="I1326">
        <v>-11.86</v>
      </c>
      <c r="J1326">
        <v>225500</v>
      </c>
      <c r="K1326">
        <v>231000</v>
      </c>
      <c r="L1326">
        <v>207500</v>
      </c>
      <c r="M1326">
        <v>2051989</v>
      </c>
      <c r="N1326">
        <v>445942066500</v>
      </c>
      <c r="O1326">
        <v>156852638</v>
      </c>
      <c r="P1326">
        <v>32625348704000</v>
      </c>
    </row>
    <row r="1327" spans="1:16">
      <c r="A1327" t="s">
        <v>59</v>
      </c>
      <c r="B1327">
        <v>20260303</v>
      </c>
      <c r="C1327">
        <v>35420</v>
      </c>
      <c r="D1327" t="s">
        <v>60</v>
      </c>
      <c r="E1327" t="s">
        <v>59</v>
      </c>
      <c r="F1327" t="s">
        <v>17</v>
      </c>
      <c r="G1327">
        <v>236000</v>
      </c>
      <c r="H1327">
        <v>-18500</v>
      </c>
      <c r="I1327">
        <v>-7.27</v>
      </c>
      <c r="J1327">
        <v>250500</v>
      </c>
      <c r="K1327">
        <v>252000</v>
      </c>
      <c r="L1327">
        <v>236000</v>
      </c>
      <c r="M1327">
        <v>1507045</v>
      </c>
      <c r="N1327">
        <v>366367839000</v>
      </c>
      <c r="O1327">
        <v>156852638</v>
      </c>
      <c r="P1327">
        <v>37017222568000</v>
      </c>
    </row>
    <row r="1328" spans="1:16">
      <c r="A1328" t="s">
        <v>59</v>
      </c>
      <c r="B1328">
        <v>20260227</v>
      </c>
      <c r="C1328">
        <v>35420</v>
      </c>
      <c r="D1328" t="s">
        <v>60</v>
      </c>
      <c r="E1328" t="s">
        <v>59</v>
      </c>
      <c r="F1328" t="s">
        <v>17</v>
      </c>
      <c r="G1328">
        <v>254500</v>
      </c>
      <c r="H1328">
        <v>-6000</v>
      </c>
      <c r="I1328">
        <v>-2.2999999999999998</v>
      </c>
      <c r="J1328">
        <v>261000</v>
      </c>
      <c r="K1328">
        <v>261500</v>
      </c>
      <c r="L1328">
        <v>254500</v>
      </c>
      <c r="M1328">
        <v>1259511</v>
      </c>
      <c r="N1328">
        <v>323263324250</v>
      </c>
      <c r="O1328">
        <v>156852638</v>
      </c>
      <c r="P1328">
        <v>39918996371000</v>
      </c>
    </row>
    <row r="1329" spans="1:16">
      <c r="A1329" t="s">
        <v>59</v>
      </c>
      <c r="B1329">
        <v>20260226</v>
      </c>
      <c r="C1329">
        <v>35420</v>
      </c>
      <c r="D1329" t="s">
        <v>60</v>
      </c>
      <c r="E1329" t="s">
        <v>59</v>
      </c>
      <c r="F1329" t="s">
        <v>17</v>
      </c>
      <c r="G1329">
        <v>260500</v>
      </c>
      <c r="H1329">
        <v>7500</v>
      </c>
      <c r="I1329">
        <v>2.96</v>
      </c>
      <c r="J1329">
        <v>258500</v>
      </c>
      <c r="K1329">
        <v>267000</v>
      </c>
      <c r="L1329">
        <v>258000</v>
      </c>
      <c r="M1329">
        <v>1890166</v>
      </c>
      <c r="N1329">
        <v>495651277000</v>
      </c>
      <c r="O1329">
        <v>156852638</v>
      </c>
      <c r="P1329">
        <v>40860112199000</v>
      </c>
    </row>
    <row r="1330" spans="1:16">
      <c r="A1330" t="s">
        <v>59</v>
      </c>
      <c r="B1330">
        <v>20260225</v>
      </c>
      <c r="C1330">
        <v>35420</v>
      </c>
      <c r="D1330" t="s">
        <v>60</v>
      </c>
      <c r="E1330" t="s">
        <v>59</v>
      </c>
      <c r="F1330" t="s">
        <v>17</v>
      </c>
      <c r="G1330">
        <v>253000</v>
      </c>
      <c r="H1330">
        <v>-2000</v>
      </c>
      <c r="I1330">
        <v>-0.78</v>
      </c>
      <c r="J1330">
        <v>255500</v>
      </c>
      <c r="K1330">
        <v>256000</v>
      </c>
      <c r="L1330">
        <v>251000</v>
      </c>
      <c r="M1330">
        <v>937503</v>
      </c>
      <c r="N1330">
        <v>237242459750</v>
      </c>
      <c r="O1330">
        <v>156852638</v>
      </c>
      <c r="P1330">
        <v>39683717414000</v>
      </c>
    </row>
    <row r="1331" spans="1:16">
      <c r="A1331" t="s">
        <v>59</v>
      </c>
      <c r="B1331">
        <v>20260224</v>
      </c>
      <c r="C1331">
        <v>35420</v>
      </c>
      <c r="D1331" t="s">
        <v>60</v>
      </c>
      <c r="E1331" t="s">
        <v>59</v>
      </c>
      <c r="F1331" t="s">
        <v>17</v>
      </c>
      <c r="G1331">
        <v>255000</v>
      </c>
      <c r="H1331">
        <v>-500</v>
      </c>
      <c r="I1331">
        <v>-0.2</v>
      </c>
      <c r="J1331">
        <v>256500</v>
      </c>
      <c r="K1331">
        <v>256500</v>
      </c>
      <c r="L1331">
        <v>254000</v>
      </c>
      <c r="M1331">
        <v>652490</v>
      </c>
      <c r="N1331">
        <v>166458691500</v>
      </c>
      <c r="O1331">
        <v>156852638</v>
      </c>
      <c r="P1331">
        <v>39997422690000</v>
      </c>
    </row>
    <row r="1332" spans="1:16">
      <c r="A1332" t="s">
        <v>59</v>
      </c>
      <c r="B1332">
        <v>20260223</v>
      </c>
      <c r="C1332">
        <v>35420</v>
      </c>
      <c r="D1332" t="s">
        <v>60</v>
      </c>
      <c r="E1332" t="s">
        <v>59</v>
      </c>
      <c r="F1332" t="s">
        <v>17</v>
      </c>
      <c r="G1332">
        <v>255500</v>
      </c>
      <c r="H1332">
        <v>1000</v>
      </c>
      <c r="I1332">
        <v>0.39</v>
      </c>
      <c r="J1332">
        <v>257500</v>
      </c>
      <c r="K1332">
        <v>262000</v>
      </c>
      <c r="L1332">
        <v>255000</v>
      </c>
      <c r="M1332">
        <v>747019</v>
      </c>
      <c r="N1332">
        <v>192078336000</v>
      </c>
      <c r="O1332">
        <v>156852638</v>
      </c>
      <c r="P1332">
        <v>40075849009000</v>
      </c>
    </row>
    <row r="1333" spans="1:16">
      <c r="A1333" t="s">
        <v>59</v>
      </c>
      <c r="B1333">
        <v>20260220</v>
      </c>
      <c r="C1333">
        <v>35420</v>
      </c>
      <c r="D1333" t="s">
        <v>60</v>
      </c>
      <c r="E1333" t="s">
        <v>59</v>
      </c>
      <c r="F1333" t="s">
        <v>17</v>
      </c>
      <c r="G1333">
        <v>254500</v>
      </c>
      <c r="H1333">
        <v>1500</v>
      </c>
      <c r="I1333">
        <v>0.59</v>
      </c>
      <c r="J1333">
        <v>254500</v>
      </c>
      <c r="K1333">
        <v>260000</v>
      </c>
      <c r="L1333">
        <v>254000</v>
      </c>
      <c r="M1333">
        <v>948594</v>
      </c>
      <c r="N1333">
        <v>243486522250</v>
      </c>
      <c r="O1333">
        <v>156852638</v>
      </c>
      <c r="P1333">
        <v>39918996371000</v>
      </c>
    </row>
    <row r="1334" spans="1:16">
      <c r="A1334" t="s">
        <v>59</v>
      </c>
      <c r="B1334">
        <v>20260219</v>
      </c>
      <c r="C1334">
        <v>35420</v>
      </c>
      <c r="D1334" t="s">
        <v>60</v>
      </c>
      <c r="E1334" t="s">
        <v>59</v>
      </c>
      <c r="F1334" t="s">
        <v>17</v>
      </c>
      <c r="G1334">
        <v>253000</v>
      </c>
      <c r="H1334">
        <v>500</v>
      </c>
      <c r="I1334">
        <v>0.2</v>
      </c>
      <c r="J1334">
        <v>254500</v>
      </c>
      <c r="K1334">
        <v>255000</v>
      </c>
      <c r="L1334">
        <v>252000</v>
      </c>
      <c r="M1334">
        <v>806208</v>
      </c>
      <c r="N1334">
        <v>204013994750</v>
      </c>
      <c r="O1334">
        <v>156852638</v>
      </c>
      <c r="P1334">
        <v>39683717414000</v>
      </c>
    </row>
    <row r="1335" spans="1:16">
      <c r="A1335" t="s">
        <v>59</v>
      </c>
      <c r="B1335">
        <v>20260213</v>
      </c>
      <c r="C1335">
        <v>35420</v>
      </c>
      <c r="D1335" t="s">
        <v>60</v>
      </c>
      <c r="E1335" t="s">
        <v>59</v>
      </c>
      <c r="F1335" t="s">
        <v>17</v>
      </c>
      <c r="G1335">
        <v>252500</v>
      </c>
      <c r="H1335">
        <v>-3000</v>
      </c>
      <c r="I1335">
        <v>-1.17</v>
      </c>
      <c r="J1335">
        <v>254000</v>
      </c>
      <c r="K1335">
        <v>257500</v>
      </c>
      <c r="L1335">
        <v>250000</v>
      </c>
      <c r="M1335">
        <v>820046</v>
      </c>
      <c r="N1335">
        <v>207146109000</v>
      </c>
      <c r="O1335">
        <v>156852638</v>
      </c>
      <c r="P1335">
        <v>39605291095000</v>
      </c>
    </row>
    <row r="1336" spans="1:16">
      <c r="A1336" t="s">
        <v>59</v>
      </c>
      <c r="B1336">
        <v>20260212</v>
      </c>
      <c r="C1336">
        <v>35420</v>
      </c>
      <c r="D1336" t="s">
        <v>60</v>
      </c>
      <c r="E1336" t="s">
        <v>59</v>
      </c>
      <c r="F1336" t="s">
        <v>17</v>
      </c>
      <c r="G1336">
        <v>255500</v>
      </c>
      <c r="H1336">
        <v>-2000</v>
      </c>
      <c r="I1336">
        <v>-0.78</v>
      </c>
      <c r="J1336">
        <v>261500</v>
      </c>
      <c r="K1336">
        <v>262000</v>
      </c>
      <c r="L1336">
        <v>255500</v>
      </c>
      <c r="M1336">
        <v>1404228</v>
      </c>
      <c r="N1336">
        <v>360888324250</v>
      </c>
      <c r="O1336">
        <v>156852638</v>
      </c>
      <c r="P1336">
        <v>40075849009000</v>
      </c>
    </row>
    <row r="1337" spans="1:16">
      <c r="A1337" t="s">
        <v>59</v>
      </c>
      <c r="B1337">
        <v>20260211</v>
      </c>
      <c r="C1337">
        <v>35420</v>
      </c>
      <c r="D1337" t="s">
        <v>60</v>
      </c>
      <c r="E1337" t="s">
        <v>59</v>
      </c>
      <c r="F1337" t="s">
        <v>17</v>
      </c>
      <c r="G1337">
        <v>257500</v>
      </c>
      <c r="H1337">
        <v>3500</v>
      </c>
      <c r="I1337">
        <v>1.38</v>
      </c>
      <c r="J1337">
        <v>258500</v>
      </c>
      <c r="K1337">
        <v>261000</v>
      </c>
      <c r="L1337">
        <v>255000</v>
      </c>
      <c r="M1337">
        <v>1133876</v>
      </c>
      <c r="N1337">
        <v>291914327750</v>
      </c>
      <c r="O1337">
        <v>156852638</v>
      </c>
      <c r="P1337">
        <v>40389554285000</v>
      </c>
    </row>
    <row r="1338" spans="1:16">
      <c r="A1338" t="s">
        <v>59</v>
      </c>
      <c r="B1338">
        <v>20260210</v>
      </c>
      <c r="C1338">
        <v>35420</v>
      </c>
      <c r="D1338" t="s">
        <v>60</v>
      </c>
      <c r="E1338" t="s">
        <v>59</v>
      </c>
      <c r="F1338" t="s">
        <v>17</v>
      </c>
      <c r="G1338">
        <v>254000</v>
      </c>
      <c r="H1338">
        <v>4000</v>
      </c>
      <c r="I1338">
        <v>1.6</v>
      </c>
      <c r="J1338">
        <v>254000</v>
      </c>
      <c r="K1338">
        <v>259000</v>
      </c>
      <c r="L1338">
        <v>252000</v>
      </c>
      <c r="M1338">
        <v>1475536</v>
      </c>
      <c r="N1338">
        <v>377032275250</v>
      </c>
      <c r="O1338">
        <v>156852638</v>
      </c>
      <c r="P1338">
        <v>39840570052000</v>
      </c>
    </row>
    <row r="1339" spans="1:16">
      <c r="A1339" t="s">
        <v>59</v>
      </c>
      <c r="B1339">
        <v>20260209</v>
      </c>
      <c r="C1339">
        <v>35420</v>
      </c>
      <c r="D1339" t="s">
        <v>60</v>
      </c>
      <c r="E1339" t="s">
        <v>59</v>
      </c>
      <c r="F1339" t="s">
        <v>17</v>
      </c>
      <c r="G1339">
        <v>250000</v>
      </c>
      <c r="H1339">
        <v>1000</v>
      </c>
      <c r="I1339">
        <v>0.4</v>
      </c>
      <c r="J1339">
        <v>253500</v>
      </c>
      <c r="K1339">
        <v>254500</v>
      </c>
      <c r="L1339">
        <v>248000</v>
      </c>
      <c r="M1339">
        <v>1426634</v>
      </c>
      <c r="N1339">
        <v>358265634750</v>
      </c>
      <c r="O1339">
        <v>156852638</v>
      </c>
      <c r="P1339">
        <v>39213159500000</v>
      </c>
    </row>
    <row r="1340" spans="1:16">
      <c r="A1340" t="s">
        <v>59</v>
      </c>
      <c r="B1340">
        <v>20260206</v>
      </c>
      <c r="C1340">
        <v>35420</v>
      </c>
      <c r="D1340" t="s">
        <v>60</v>
      </c>
      <c r="E1340" t="s">
        <v>59</v>
      </c>
      <c r="F1340" t="s">
        <v>17</v>
      </c>
      <c r="G1340">
        <v>249000</v>
      </c>
      <c r="H1340">
        <v>-8000</v>
      </c>
      <c r="I1340">
        <v>-3.11</v>
      </c>
      <c r="J1340">
        <v>251000</v>
      </c>
      <c r="K1340">
        <v>254000</v>
      </c>
      <c r="L1340">
        <v>244000</v>
      </c>
      <c r="M1340">
        <v>1919017</v>
      </c>
      <c r="N1340">
        <v>474845029500</v>
      </c>
      <c r="O1340">
        <v>156852638</v>
      </c>
      <c r="P1340">
        <v>39056306862000</v>
      </c>
    </row>
    <row r="1341" spans="1:16">
      <c r="A1341" t="s">
        <v>59</v>
      </c>
      <c r="B1341">
        <v>20260205</v>
      </c>
      <c r="C1341">
        <v>35420</v>
      </c>
      <c r="D1341" t="s">
        <v>60</v>
      </c>
      <c r="E1341" t="s">
        <v>59</v>
      </c>
      <c r="F1341" t="s">
        <v>17</v>
      </c>
      <c r="G1341">
        <v>257000</v>
      </c>
      <c r="H1341">
        <v>-7500</v>
      </c>
      <c r="I1341">
        <v>-2.84</v>
      </c>
      <c r="J1341">
        <v>262500</v>
      </c>
      <c r="K1341">
        <v>264500</v>
      </c>
      <c r="L1341">
        <v>255500</v>
      </c>
      <c r="M1341">
        <v>1551427</v>
      </c>
      <c r="N1341">
        <v>401798639630</v>
      </c>
      <c r="O1341">
        <v>156852638</v>
      </c>
      <c r="P1341">
        <v>40311127966000</v>
      </c>
    </row>
    <row r="1342" spans="1:16">
      <c r="A1342" t="s">
        <v>59</v>
      </c>
      <c r="B1342">
        <v>20260204</v>
      </c>
      <c r="C1342">
        <v>35420</v>
      </c>
      <c r="D1342" t="s">
        <v>60</v>
      </c>
      <c r="E1342" t="s">
        <v>59</v>
      </c>
      <c r="F1342" t="s">
        <v>17</v>
      </c>
      <c r="G1342">
        <v>264500</v>
      </c>
      <c r="H1342">
        <v>-4500</v>
      </c>
      <c r="I1342">
        <v>-1.67</v>
      </c>
      <c r="J1342">
        <v>266000</v>
      </c>
      <c r="K1342">
        <v>267000</v>
      </c>
      <c r="L1342">
        <v>260000</v>
      </c>
      <c r="M1342">
        <v>1700411</v>
      </c>
      <c r="N1342">
        <v>448495333250</v>
      </c>
      <c r="O1342">
        <v>156852638</v>
      </c>
      <c r="P1342">
        <v>41487522751000</v>
      </c>
    </row>
    <row r="1343" spans="1:16">
      <c r="A1343" t="s">
        <v>59</v>
      </c>
      <c r="B1343">
        <v>20260203</v>
      </c>
      <c r="C1343">
        <v>35420</v>
      </c>
      <c r="D1343" t="s">
        <v>60</v>
      </c>
      <c r="E1343" t="s">
        <v>59</v>
      </c>
      <c r="F1343" t="s">
        <v>17</v>
      </c>
      <c r="G1343">
        <v>269000</v>
      </c>
      <c r="H1343">
        <v>1000</v>
      </c>
      <c r="I1343">
        <v>0.37</v>
      </c>
      <c r="J1343">
        <v>274500</v>
      </c>
      <c r="K1343">
        <v>274500</v>
      </c>
      <c r="L1343">
        <v>265000</v>
      </c>
      <c r="M1343">
        <v>1894227</v>
      </c>
      <c r="N1343">
        <v>507696355500</v>
      </c>
      <c r="O1343">
        <v>156852638</v>
      </c>
      <c r="P1343">
        <v>42193359622000</v>
      </c>
    </row>
    <row r="1344" spans="1:16">
      <c r="A1344" t="s">
        <v>59</v>
      </c>
      <c r="B1344">
        <v>20260202</v>
      </c>
      <c r="C1344">
        <v>35420</v>
      </c>
      <c r="D1344" t="s">
        <v>60</v>
      </c>
      <c r="E1344" t="s">
        <v>59</v>
      </c>
      <c r="F1344" t="s">
        <v>17</v>
      </c>
      <c r="G1344">
        <v>268000</v>
      </c>
      <c r="H1344">
        <v>-7000</v>
      </c>
      <c r="I1344">
        <v>-2.5499999999999998</v>
      </c>
      <c r="J1344">
        <v>270000</v>
      </c>
      <c r="K1344">
        <v>278500</v>
      </c>
      <c r="L1344">
        <v>265000</v>
      </c>
      <c r="M1344">
        <v>1862631</v>
      </c>
      <c r="N1344">
        <v>504599181750</v>
      </c>
      <c r="O1344">
        <v>156852638</v>
      </c>
      <c r="P1344">
        <v>42036506984000</v>
      </c>
    </row>
    <row r="1345" spans="1:16">
      <c r="A1345" t="s">
        <v>59</v>
      </c>
      <c r="B1345">
        <v>20260130</v>
      </c>
      <c r="C1345">
        <v>35420</v>
      </c>
      <c r="D1345" t="s">
        <v>60</v>
      </c>
      <c r="E1345" t="s">
        <v>59</v>
      </c>
      <c r="F1345" t="s">
        <v>17</v>
      </c>
      <c r="G1345">
        <v>275000</v>
      </c>
      <c r="H1345">
        <v>-12000</v>
      </c>
      <c r="I1345">
        <v>-4.18</v>
      </c>
      <c r="J1345">
        <v>285500</v>
      </c>
      <c r="K1345">
        <v>285500</v>
      </c>
      <c r="L1345">
        <v>274500</v>
      </c>
      <c r="M1345">
        <v>1819960</v>
      </c>
      <c r="N1345">
        <v>506398458750</v>
      </c>
      <c r="O1345">
        <v>156852638</v>
      </c>
      <c r="P1345">
        <v>43134475450000</v>
      </c>
    </row>
    <row r="1346" spans="1:16">
      <c r="A1346" t="s">
        <v>59</v>
      </c>
      <c r="B1346">
        <v>20260129</v>
      </c>
      <c r="C1346">
        <v>35420</v>
      </c>
      <c r="D1346" t="s">
        <v>60</v>
      </c>
      <c r="E1346" t="s">
        <v>59</v>
      </c>
      <c r="F1346" t="s">
        <v>17</v>
      </c>
      <c r="G1346">
        <v>287000</v>
      </c>
      <c r="H1346">
        <v>9500</v>
      </c>
      <c r="I1346">
        <v>3.42</v>
      </c>
      <c r="J1346">
        <v>276000</v>
      </c>
      <c r="K1346">
        <v>290500</v>
      </c>
      <c r="L1346">
        <v>275000</v>
      </c>
      <c r="M1346">
        <v>2812259</v>
      </c>
      <c r="N1346">
        <v>797449163500</v>
      </c>
      <c r="O1346">
        <v>156852638</v>
      </c>
      <c r="P1346">
        <v>45016707106000</v>
      </c>
    </row>
    <row r="1347" spans="1:16">
      <c r="A1347" t="s">
        <v>59</v>
      </c>
      <c r="B1347">
        <v>20260128</v>
      </c>
      <c r="C1347">
        <v>35420</v>
      </c>
      <c r="D1347" t="s">
        <v>60</v>
      </c>
      <c r="E1347" t="s">
        <v>59</v>
      </c>
      <c r="F1347" t="s">
        <v>17</v>
      </c>
      <c r="G1347">
        <v>277500</v>
      </c>
      <c r="H1347">
        <v>-4000</v>
      </c>
      <c r="I1347">
        <v>-1.42</v>
      </c>
      <c r="J1347">
        <v>285000</v>
      </c>
      <c r="K1347">
        <v>285500</v>
      </c>
      <c r="L1347">
        <v>271000</v>
      </c>
      <c r="M1347">
        <v>2822531</v>
      </c>
      <c r="N1347">
        <v>786064449250</v>
      </c>
      <c r="O1347">
        <v>156852638</v>
      </c>
      <c r="P1347">
        <v>43526607045000</v>
      </c>
    </row>
    <row r="1348" spans="1:16">
      <c r="A1348" t="s">
        <v>59</v>
      </c>
      <c r="B1348">
        <v>20260127</v>
      </c>
      <c r="C1348">
        <v>35420</v>
      </c>
      <c r="D1348" t="s">
        <v>60</v>
      </c>
      <c r="E1348" t="s">
        <v>59</v>
      </c>
      <c r="F1348" t="s">
        <v>17</v>
      </c>
      <c r="G1348">
        <v>281500</v>
      </c>
      <c r="H1348">
        <v>9000</v>
      </c>
      <c r="I1348">
        <v>3.3</v>
      </c>
      <c r="J1348">
        <v>270500</v>
      </c>
      <c r="K1348">
        <v>292000</v>
      </c>
      <c r="L1348">
        <v>270000</v>
      </c>
      <c r="M1348">
        <v>4948006</v>
      </c>
      <c r="N1348">
        <v>1406248732750</v>
      </c>
      <c r="O1348">
        <v>156852638</v>
      </c>
      <c r="P1348">
        <v>44154017597000</v>
      </c>
    </row>
    <row r="1349" spans="1:16">
      <c r="A1349" t="s">
        <v>59</v>
      </c>
      <c r="B1349">
        <v>20260126</v>
      </c>
      <c r="C1349">
        <v>35420</v>
      </c>
      <c r="D1349" t="s">
        <v>60</v>
      </c>
      <c r="E1349" t="s">
        <v>59</v>
      </c>
      <c r="F1349" t="s">
        <v>17</v>
      </c>
      <c r="G1349">
        <v>272500</v>
      </c>
      <c r="H1349">
        <v>6500</v>
      </c>
      <c r="I1349">
        <v>2.44</v>
      </c>
      <c r="J1349">
        <v>274000</v>
      </c>
      <c r="K1349">
        <v>276500</v>
      </c>
      <c r="L1349">
        <v>265000</v>
      </c>
      <c r="M1349">
        <v>2706664</v>
      </c>
      <c r="N1349">
        <v>731103141750</v>
      </c>
      <c r="O1349">
        <v>156852638</v>
      </c>
      <c r="P1349">
        <v>42742343855000</v>
      </c>
    </row>
    <row r="1350" spans="1:16">
      <c r="A1350" t="s">
        <v>59</v>
      </c>
      <c r="B1350">
        <v>20260123</v>
      </c>
      <c r="C1350">
        <v>35420</v>
      </c>
      <c r="D1350" t="s">
        <v>60</v>
      </c>
      <c r="E1350" t="s">
        <v>59</v>
      </c>
      <c r="F1350" t="s">
        <v>17</v>
      </c>
      <c r="G1350">
        <v>266000</v>
      </c>
      <c r="H1350">
        <v>20500</v>
      </c>
      <c r="I1350">
        <v>8.35</v>
      </c>
      <c r="J1350">
        <v>248000</v>
      </c>
      <c r="K1350">
        <v>269500</v>
      </c>
      <c r="L1350">
        <v>246500</v>
      </c>
      <c r="M1350">
        <v>5042292</v>
      </c>
      <c r="N1350">
        <v>1324215574014</v>
      </c>
      <c r="O1350">
        <v>156852638</v>
      </c>
      <c r="P1350">
        <v>41722801708000</v>
      </c>
    </row>
    <row r="1351" spans="1:16">
      <c r="A1351" t="s">
        <v>59</v>
      </c>
      <c r="B1351">
        <v>20260122</v>
      </c>
      <c r="C1351">
        <v>35420</v>
      </c>
      <c r="D1351" t="s">
        <v>60</v>
      </c>
      <c r="E1351" t="s">
        <v>59</v>
      </c>
      <c r="F1351" t="s">
        <v>17</v>
      </c>
      <c r="G1351">
        <v>245500</v>
      </c>
      <c r="H1351">
        <v>7000</v>
      </c>
      <c r="I1351">
        <v>2.94</v>
      </c>
      <c r="J1351">
        <v>242000</v>
      </c>
      <c r="K1351">
        <v>247500</v>
      </c>
      <c r="L1351">
        <v>239500</v>
      </c>
      <c r="M1351">
        <v>1341056</v>
      </c>
      <c r="N1351">
        <v>328676872500</v>
      </c>
      <c r="O1351">
        <v>156852638</v>
      </c>
      <c r="P1351">
        <v>38507322629000</v>
      </c>
    </row>
    <row r="1352" spans="1:16">
      <c r="A1352" t="s">
        <v>59</v>
      </c>
      <c r="B1352">
        <v>20260121</v>
      </c>
      <c r="C1352">
        <v>35420</v>
      </c>
      <c r="D1352" t="s">
        <v>60</v>
      </c>
      <c r="E1352" t="s">
        <v>59</v>
      </c>
      <c r="F1352" t="s">
        <v>17</v>
      </c>
      <c r="G1352">
        <v>238500</v>
      </c>
      <c r="H1352">
        <v>-5500</v>
      </c>
      <c r="I1352">
        <v>-2.25</v>
      </c>
      <c r="J1352">
        <v>239500</v>
      </c>
      <c r="K1352">
        <v>242500</v>
      </c>
      <c r="L1352">
        <v>238000</v>
      </c>
      <c r="M1352">
        <v>1022540</v>
      </c>
      <c r="N1352">
        <v>244822441500</v>
      </c>
      <c r="O1352">
        <v>156852638</v>
      </c>
      <c r="P1352">
        <v>37409354163000</v>
      </c>
    </row>
    <row r="1353" spans="1:16">
      <c r="A1353" t="s">
        <v>59</v>
      </c>
      <c r="B1353">
        <v>20260120</v>
      </c>
      <c r="C1353">
        <v>35420</v>
      </c>
      <c r="D1353" t="s">
        <v>60</v>
      </c>
      <c r="E1353" t="s">
        <v>59</v>
      </c>
      <c r="F1353" t="s">
        <v>17</v>
      </c>
      <c r="G1353">
        <v>244000</v>
      </c>
      <c r="H1353">
        <v>6000</v>
      </c>
      <c r="I1353">
        <v>2.52</v>
      </c>
      <c r="J1353">
        <v>241500</v>
      </c>
      <c r="K1353">
        <v>244500</v>
      </c>
      <c r="L1353">
        <v>240500</v>
      </c>
      <c r="M1353">
        <v>1205903</v>
      </c>
      <c r="N1353">
        <v>292659591250</v>
      </c>
      <c r="O1353">
        <v>156852638</v>
      </c>
      <c r="P1353">
        <v>38272043672000</v>
      </c>
    </row>
    <row r="1354" spans="1:16">
      <c r="A1354" t="s">
        <v>59</v>
      </c>
      <c r="B1354">
        <v>20260119</v>
      </c>
      <c r="C1354">
        <v>35420</v>
      </c>
      <c r="D1354" t="s">
        <v>60</v>
      </c>
      <c r="E1354" t="s">
        <v>59</v>
      </c>
      <c r="F1354" t="s">
        <v>17</v>
      </c>
      <c r="G1354">
        <v>238000</v>
      </c>
      <c r="H1354">
        <v>-7500</v>
      </c>
      <c r="I1354">
        <v>-3.05</v>
      </c>
      <c r="J1354">
        <v>242000</v>
      </c>
      <c r="K1354">
        <v>243500</v>
      </c>
      <c r="L1354">
        <v>237500</v>
      </c>
      <c r="M1354">
        <v>1689244</v>
      </c>
      <c r="N1354">
        <v>403773358750</v>
      </c>
      <c r="O1354">
        <v>156852638</v>
      </c>
      <c r="P1354">
        <v>37330927844000</v>
      </c>
    </row>
    <row r="1355" spans="1:16">
      <c r="A1355" t="s">
        <v>59</v>
      </c>
      <c r="B1355">
        <v>20260116</v>
      </c>
      <c r="C1355">
        <v>35420</v>
      </c>
      <c r="D1355" t="s">
        <v>60</v>
      </c>
      <c r="E1355" t="s">
        <v>59</v>
      </c>
      <c r="F1355" t="s">
        <v>17</v>
      </c>
      <c r="G1355">
        <v>245500</v>
      </c>
      <c r="H1355">
        <v>-2000</v>
      </c>
      <c r="I1355">
        <v>-0.81</v>
      </c>
      <c r="J1355">
        <v>248500</v>
      </c>
      <c r="K1355">
        <v>248500</v>
      </c>
      <c r="L1355">
        <v>243500</v>
      </c>
      <c r="M1355">
        <v>1898586</v>
      </c>
      <c r="N1355">
        <v>465454123500</v>
      </c>
      <c r="O1355">
        <v>156852638</v>
      </c>
      <c r="P1355">
        <v>38507322629000</v>
      </c>
    </row>
    <row r="1356" spans="1:16">
      <c r="A1356" t="s">
        <v>59</v>
      </c>
      <c r="B1356">
        <v>20260115</v>
      </c>
      <c r="C1356">
        <v>35420</v>
      </c>
      <c r="D1356" t="s">
        <v>60</v>
      </c>
      <c r="E1356" t="s">
        <v>59</v>
      </c>
      <c r="F1356" t="s">
        <v>17</v>
      </c>
      <c r="G1356">
        <v>247500</v>
      </c>
      <c r="H1356">
        <v>-12000</v>
      </c>
      <c r="I1356">
        <v>-4.62</v>
      </c>
      <c r="J1356">
        <v>257000</v>
      </c>
      <c r="K1356">
        <v>263500</v>
      </c>
      <c r="L1356">
        <v>244000</v>
      </c>
      <c r="M1356">
        <v>2397110</v>
      </c>
      <c r="N1356">
        <v>605449691000</v>
      </c>
      <c r="O1356">
        <v>156852638</v>
      </c>
      <c r="P1356">
        <v>38821027905000</v>
      </c>
    </row>
    <row r="1357" spans="1:16">
      <c r="A1357" t="s">
        <v>59</v>
      </c>
      <c r="B1357">
        <v>20260114</v>
      </c>
      <c r="C1357">
        <v>35420</v>
      </c>
      <c r="D1357" t="s">
        <v>60</v>
      </c>
      <c r="E1357" t="s">
        <v>59</v>
      </c>
      <c r="F1357" t="s">
        <v>17</v>
      </c>
      <c r="G1357">
        <v>259500</v>
      </c>
      <c r="H1357">
        <v>-5000</v>
      </c>
      <c r="I1357">
        <v>-1.89</v>
      </c>
      <c r="J1357">
        <v>268000</v>
      </c>
      <c r="K1357">
        <v>270000</v>
      </c>
      <c r="L1357">
        <v>255500</v>
      </c>
      <c r="M1357">
        <v>1574617</v>
      </c>
      <c r="N1357">
        <v>409384510500</v>
      </c>
      <c r="O1357">
        <v>156852638</v>
      </c>
      <c r="P1357">
        <v>40703259561000</v>
      </c>
    </row>
    <row r="1358" spans="1:16">
      <c r="A1358" t="s">
        <v>59</v>
      </c>
      <c r="B1358">
        <v>20260113</v>
      </c>
      <c r="C1358">
        <v>35420</v>
      </c>
      <c r="D1358" t="s">
        <v>60</v>
      </c>
      <c r="E1358" t="s">
        <v>59</v>
      </c>
      <c r="F1358" t="s">
        <v>17</v>
      </c>
      <c r="G1358">
        <v>264500</v>
      </c>
      <c r="H1358">
        <v>9000</v>
      </c>
      <c r="I1358">
        <v>3.52</v>
      </c>
      <c r="J1358">
        <v>259000</v>
      </c>
      <c r="K1358">
        <v>264500</v>
      </c>
      <c r="L1358">
        <v>256500</v>
      </c>
      <c r="M1358">
        <v>1671879</v>
      </c>
      <c r="N1358">
        <v>435426279250</v>
      </c>
      <c r="O1358">
        <v>156852638</v>
      </c>
      <c r="P1358">
        <v>41487522751000</v>
      </c>
    </row>
    <row r="1359" spans="1:16">
      <c r="A1359" t="s">
        <v>59</v>
      </c>
      <c r="B1359">
        <v>20260112</v>
      </c>
      <c r="C1359">
        <v>35420</v>
      </c>
      <c r="D1359" t="s">
        <v>60</v>
      </c>
      <c r="E1359" t="s">
        <v>59</v>
      </c>
      <c r="F1359" t="s">
        <v>17</v>
      </c>
      <c r="G1359">
        <v>255500</v>
      </c>
      <c r="H1359">
        <v>1500</v>
      </c>
      <c r="I1359">
        <v>0.59</v>
      </c>
      <c r="J1359">
        <v>256000</v>
      </c>
      <c r="K1359">
        <v>258500</v>
      </c>
      <c r="L1359">
        <v>249000</v>
      </c>
      <c r="M1359">
        <v>1328415</v>
      </c>
      <c r="N1359">
        <v>337372433750</v>
      </c>
      <c r="O1359">
        <v>156852638</v>
      </c>
      <c r="P1359">
        <v>40075849009000</v>
      </c>
    </row>
    <row r="1360" spans="1:16">
      <c r="A1360" t="s">
        <v>59</v>
      </c>
      <c r="B1360">
        <v>20260109</v>
      </c>
      <c r="C1360">
        <v>35420</v>
      </c>
      <c r="D1360" t="s">
        <v>60</v>
      </c>
      <c r="E1360" t="s">
        <v>59</v>
      </c>
      <c r="F1360" t="s">
        <v>17</v>
      </c>
      <c r="G1360">
        <v>254000</v>
      </c>
      <c r="H1360">
        <v>3000</v>
      </c>
      <c r="I1360">
        <v>1.2</v>
      </c>
      <c r="J1360">
        <v>253000</v>
      </c>
      <c r="K1360">
        <v>256500</v>
      </c>
      <c r="L1360">
        <v>250500</v>
      </c>
      <c r="M1360">
        <v>918991</v>
      </c>
      <c r="N1360">
        <v>233353536750</v>
      </c>
      <c r="O1360">
        <v>156852638</v>
      </c>
      <c r="P1360">
        <v>39840570052000</v>
      </c>
    </row>
    <row r="1361" spans="1:16">
      <c r="A1361" t="s">
        <v>59</v>
      </c>
      <c r="B1361">
        <v>20260108</v>
      </c>
      <c r="C1361">
        <v>35420</v>
      </c>
      <c r="D1361" t="s">
        <v>60</v>
      </c>
      <c r="E1361" t="s">
        <v>59</v>
      </c>
      <c r="F1361" t="s">
        <v>17</v>
      </c>
      <c r="G1361">
        <v>251000</v>
      </c>
      <c r="H1361">
        <v>-1500</v>
      </c>
      <c r="I1361">
        <v>-0.59</v>
      </c>
      <c r="J1361">
        <v>249500</v>
      </c>
      <c r="K1361">
        <v>258000</v>
      </c>
      <c r="L1361">
        <v>245000</v>
      </c>
      <c r="M1361">
        <v>1311262</v>
      </c>
      <c r="N1361">
        <v>327427144750</v>
      </c>
      <c r="O1361">
        <v>156852638</v>
      </c>
      <c r="P1361">
        <v>39370012138000</v>
      </c>
    </row>
    <row r="1362" spans="1:16">
      <c r="A1362" t="s">
        <v>59</v>
      </c>
      <c r="B1362">
        <v>20260107</v>
      </c>
      <c r="C1362">
        <v>35420</v>
      </c>
      <c r="D1362" t="s">
        <v>60</v>
      </c>
      <c r="E1362" t="s">
        <v>59</v>
      </c>
      <c r="F1362" t="s">
        <v>17</v>
      </c>
      <c r="G1362">
        <v>252500</v>
      </c>
      <c r="H1362">
        <v>-7500</v>
      </c>
      <c r="I1362">
        <v>-2.88</v>
      </c>
      <c r="J1362">
        <v>258000</v>
      </c>
      <c r="K1362">
        <v>258000</v>
      </c>
      <c r="L1362">
        <v>246500</v>
      </c>
      <c r="M1362">
        <v>1886634</v>
      </c>
      <c r="N1362">
        <v>475411010500</v>
      </c>
      <c r="O1362">
        <v>156852638</v>
      </c>
      <c r="P1362">
        <v>39605291095000</v>
      </c>
    </row>
    <row r="1363" spans="1:16">
      <c r="A1363" t="s">
        <v>59</v>
      </c>
      <c r="B1363">
        <v>20260106</v>
      </c>
      <c r="C1363">
        <v>35420</v>
      </c>
      <c r="D1363" t="s">
        <v>60</v>
      </c>
      <c r="E1363" t="s">
        <v>59</v>
      </c>
      <c r="F1363" t="s">
        <v>17</v>
      </c>
      <c r="G1363">
        <v>260000</v>
      </c>
      <c r="H1363">
        <v>10500</v>
      </c>
      <c r="I1363">
        <v>4.21</v>
      </c>
      <c r="J1363">
        <v>249500</v>
      </c>
      <c r="K1363">
        <v>262500</v>
      </c>
      <c r="L1363">
        <v>248000</v>
      </c>
      <c r="M1363">
        <v>2462129</v>
      </c>
      <c r="N1363">
        <v>636058166250</v>
      </c>
      <c r="O1363">
        <v>156852638</v>
      </c>
      <c r="P1363">
        <v>40781685880000</v>
      </c>
    </row>
    <row r="1364" spans="1:16">
      <c r="A1364" t="s">
        <v>59</v>
      </c>
      <c r="B1364">
        <v>20260105</v>
      </c>
      <c r="C1364">
        <v>35420</v>
      </c>
      <c r="D1364" t="s">
        <v>60</v>
      </c>
      <c r="E1364" t="s">
        <v>59</v>
      </c>
      <c r="F1364" t="s">
        <v>17</v>
      </c>
      <c r="G1364">
        <v>249500</v>
      </c>
      <c r="H1364">
        <v>2500</v>
      </c>
      <c r="I1364">
        <v>1.01</v>
      </c>
      <c r="J1364">
        <v>248500</v>
      </c>
      <c r="K1364">
        <v>251000</v>
      </c>
      <c r="L1364">
        <v>247000</v>
      </c>
      <c r="M1364">
        <v>1011640</v>
      </c>
      <c r="N1364">
        <v>252067459500</v>
      </c>
      <c r="O1364">
        <v>156852638</v>
      </c>
      <c r="P1364">
        <v>39134733181000</v>
      </c>
    </row>
    <row r="1365" spans="1:16">
      <c r="A1365" t="s">
        <v>59</v>
      </c>
      <c r="B1365">
        <v>20260102</v>
      </c>
      <c r="C1365">
        <v>35420</v>
      </c>
      <c r="D1365" t="s">
        <v>60</v>
      </c>
      <c r="E1365" t="s">
        <v>59</v>
      </c>
      <c r="F1365" t="s">
        <v>17</v>
      </c>
      <c r="G1365">
        <v>247000</v>
      </c>
      <c r="H1365">
        <v>4500</v>
      </c>
      <c r="I1365">
        <v>1.86</v>
      </c>
      <c r="J1365">
        <v>243500</v>
      </c>
      <c r="K1365">
        <v>249000</v>
      </c>
      <c r="L1365">
        <v>238000</v>
      </c>
      <c r="M1365">
        <v>1362199</v>
      </c>
      <c r="N1365">
        <v>333866856750</v>
      </c>
      <c r="O1365">
        <v>156852638</v>
      </c>
      <c r="P1365">
        <v>38742601586000</v>
      </c>
    </row>
    <row r="1366" spans="1:16">
      <c r="A1366" t="s">
        <v>61</v>
      </c>
      <c r="B1366">
        <v>20260403</v>
      </c>
      <c r="C1366">
        <v>10130</v>
      </c>
      <c r="D1366" t="s">
        <v>62</v>
      </c>
      <c r="E1366" t="s">
        <v>61</v>
      </c>
      <c r="F1366" t="s">
        <v>17</v>
      </c>
      <c r="G1366">
        <v>1484000</v>
      </c>
      <c r="H1366">
        <v>16000</v>
      </c>
      <c r="I1366">
        <v>1.0900000000000001</v>
      </c>
      <c r="J1366">
        <v>1495000</v>
      </c>
      <c r="K1366">
        <v>1501000</v>
      </c>
      <c r="L1366">
        <v>1465000</v>
      </c>
      <c r="M1366">
        <v>12292</v>
      </c>
      <c r="N1366">
        <v>18238659500</v>
      </c>
      <c r="O1366">
        <v>20872969</v>
      </c>
      <c r="P1366">
        <v>30975485996000</v>
      </c>
    </row>
    <row r="1367" spans="1:16">
      <c r="A1367" t="s">
        <v>61</v>
      </c>
      <c r="B1367">
        <v>20260402</v>
      </c>
      <c r="C1367">
        <v>10130</v>
      </c>
      <c r="D1367" t="s">
        <v>62</v>
      </c>
      <c r="E1367" t="s">
        <v>61</v>
      </c>
      <c r="F1367" t="s">
        <v>17</v>
      </c>
      <c r="G1367">
        <v>1468000</v>
      </c>
      <c r="H1367">
        <v>-49000</v>
      </c>
      <c r="I1367">
        <v>-3.23</v>
      </c>
      <c r="J1367">
        <v>1545000</v>
      </c>
      <c r="K1367">
        <v>1571000</v>
      </c>
      <c r="L1367">
        <v>1449000</v>
      </c>
      <c r="M1367">
        <v>25464</v>
      </c>
      <c r="N1367">
        <v>38348276000</v>
      </c>
      <c r="O1367">
        <v>20872969</v>
      </c>
      <c r="P1367">
        <v>30641518492000</v>
      </c>
    </row>
    <row r="1368" spans="1:16">
      <c r="A1368" t="s">
        <v>61</v>
      </c>
      <c r="B1368">
        <v>20260401</v>
      </c>
      <c r="C1368">
        <v>10130</v>
      </c>
      <c r="D1368" t="s">
        <v>62</v>
      </c>
      <c r="E1368" t="s">
        <v>61</v>
      </c>
      <c r="F1368" t="s">
        <v>17</v>
      </c>
      <c r="G1368">
        <v>1517000</v>
      </c>
      <c r="H1368">
        <v>95000</v>
      </c>
      <c r="I1368">
        <v>6.68</v>
      </c>
      <c r="J1368">
        <v>1509000</v>
      </c>
      <c r="K1368">
        <v>1528000</v>
      </c>
      <c r="L1368">
        <v>1471000</v>
      </c>
      <c r="M1368">
        <v>25155</v>
      </c>
      <c r="N1368">
        <v>38053380000</v>
      </c>
      <c r="O1368">
        <v>20872969</v>
      </c>
      <c r="P1368">
        <v>31664293973000</v>
      </c>
    </row>
    <row r="1369" spans="1:16">
      <c r="A1369" t="s">
        <v>61</v>
      </c>
      <c r="B1369">
        <v>20260331</v>
      </c>
      <c r="C1369">
        <v>10130</v>
      </c>
      <c r="D1369" t="s">
        <v>62</v>
      </c>
      <c r="E1369" t="s">
        <v>61</v>
      </c>
      <c r="F1369" t="s">
        <v>17</v>
      </c>
      <c r="G1369">
        <v>1422000</v>
      </c>
      <c r="H1369">
        <v>-56000</v>
      </c>
      <c r="I1369">
        <v>-3.79</v>
      </c>
      <c r="J1369">
        <v>1430000</v>
      </c>
      <c r="K1369">
        <v>1448000</v>
      </c>
      <c r="L1369">
        <v>1401000</v>
      </c>
      <c r="M1369">
        <v>24293</v>
      </c>
      <c r="N1369">
        <v>34596878500</v>
      </c>
      <c r="O1369">
        <v>20872969</v>
      </c>
      <c r="P1369">
        <v>29681361918000</v>
      </c>
    </row>
    <row r="1370" spans="1:16">
      <c r="A1370" t="s">
        <v>61</v>
      </c>
      <c r="B1370">
        <v>20260330</v>
      </c>
      <c r="C1370">
        <v>10130</v>
      </c>
      <c r="D1370" t="s">
        <v>62</v>
      </c>
      <c r="E1370" t="s">
        <v>61</v>
      </c>
      <c r="F1370" t="s">
        <v>17</v>
      </c>
      <c r="G1370">
        <v>1478000</v>
      </c>
      <c r="H1370">
        <v>-5000</v>
      </c>
      <c r="I1370">
        <v>-0.34</v>
      </c>
      <c r="J1370">
        <v>1407000</v>
      </c>
      <c r="K1370">
        <v>1480000</v>
      </c>
      <c r="L1370">
        <v>1395000</v>
      </c>
      <c r="M1370">
        <v>23994</v>
      </c>
      <c r="N1370">
        <v>34691087000</v>
      </c>
      <c r="O1370">
        <v>20872969</v>
      </c>
      <c r="P1370">
        <v>30850248182000</v>
      </c>
    </row>
    <row r="1371" spans="1:16">
      <c r="A1371" t="s">
        <v>61</v>
      </c>
      <c r="B1371">
        <v>20260327</v>
      </c>
      <c r="C1371">
        <v>10130</v>
      </c>
      <c r="D1371" t="s">
        <v>62</v>
      </c>
      <c r="E1371" t="s">
        <v>61</v>
      </c>
      <c r="F1371" t="s">
        <v>17</v>
      </c>
      <c r="G1371">
        <v>1483000</v>
      </c>
      <c r="H1371">
        <v>-63000</v>
      </c>
      <c r="I1371">
        <v>-4.08</v>
      </c>
      <c r="J1371">
        <v>1490000</v>
      </c>
      <c r="K1371">
        <v>1490000</v>
      </c>
      <c r="L1371">
        <v>1415000</v>
      </c>
      <c r="M1371">
        <v>30379</v>
      </c>
      <c r="N1371">
        <v>44069932500</v>
      </c>
      <c r="O1371">
        <v>20872969</v>
      </c>
      <c r="P1371">
        <v>30954613027000</v>
      </c>
    </row>
    <row r="1372" spans="1:16">
      <c r="A1372" t="s">
        <v>61</v>
      </c>
      <c r="B1372">
        <v>20260326</v>
      </c>
      <c r="C1372">
        <v>10130</v>
      </c>
      <c r="D1372" t="s">
        <v>62</v>
      </c>
      <c r="E1372" t="s">
        <v>61</v>
      </c>
      <c r="F1372" t="s">
        <v>17</v>
      </c>
      <c r="G1372">
        <v>1546000</v>
      </c>
      <c r="H1372">
        <v>-47000</v>
      </c>
      <c r="I1372">
        <v>-2.95</v>
      </c>
      <c r="J1372">
        <v>1593000</v>
      </c>
      <c r="K1372">
        <v>1593000</v>
      </c>
      <c r="L1372">
        <v>1521000</v>
      </c>
      <c r="M1372">
        <v>16078</v>
      </c>
      <c r="N1372">
        <v>24914465000</v>
      </c>
      <c r="O1372">
        <v>20872969</v>
      </c>
      <c r="P1372">
        <v>32269610074000</v>
      </c>
    </row>
    <row r="1373" spans="1:16">
      <c r="A1373" t="s">
        <v>61</v>
      </c>
      <c r="B1373">
        <v>20260325</v>
      </c>
      <c r="C1373">
        <v>10130</v>
      </c>
      <c r="D1373" t="s">
        <v>62</v>
      </c>
      <c r="E1373" t="s">
        <v>61</v>
      </c>
      <c r="F1373" t="s">
        <v>17</v>
      </c>
      <c r="G1373">
        <v>1593000</v>
      </c>
      <c r="H1373">
        <v>50000</v>
      </c>
      <c r="I1373">
        <v>3.24</v>
      </c>
      <c r="J1373">
        <v>1586000</v>
      </c>
      <c r="K1373">
        <v>1606000</v>
      </c>
      <c r="L1373">
        <v>1560000</v>
      </c>
      <c r="M1373">
        <v>22294</v>
      </c>
      <c r="N1373">
        <v>35288866500</v>
      </c>
      <c r="O1373">
        <v>20872969</v>
      </c>
      <c r="P1373">
        <v>33250639617000</v>
      </c>
    </row>
    <row r="1374" spans="1:16">
      <c r="A1374" t="s">
        <v>61</v>
      </c>
      <c r="B1374">
        <v>20260324</v>
      </c>
      <c r="C1374">
        <v>10130</v>
      </c>
      <c r="D1374" t="s">
        <v>62</v>
      </c>
      <c r="E1374" t="s">
        <v>61</v>
      </c>
      <c r="F1374" t="s">
        <v>17</v>
      </c>
      <c r="G1374">
        <v>1543000</v>
      </c>
      <c r="H1374">
        <v>57000</v>
      </c>
      <c r="I1374">
        <v>3.84</v>
      </c>
      <c r="J1374">
        <v>1551000</v>
      </c>
      <c r="K1374">
        <v>1563000</v>
      </c>
      <c r="L1374">
        <v>1488000</v>
      </c>
      <c r="M1374">
        <v>25418</v>
      </c>
      <c r="N1374">
        <v>38894349000</v>
      </c>
      <c r="O1374">
        <v>20872969</v>
      </c>
      <c r="P1374">
        <v>32206991167000</v>
      </c>
    </row>
    <row r="1375" spans="1:16">
      <c r="A1375" t="s">
        <v>61</v>
      </c>
      <c r="B1375">
        <v>20260323</v>
      </c>
      <c r="C1375">
        <v>10130</v>
      </c>
      <c r="D1375" t="s">
        <v>62</v>
      </c>
      <c r="E1375" t="s">
        <v>61</v>
      </c>
      <c r="F1375" t="s">
        <v>17</v>
      </c>
      <c r="G1375">
        <v>1486000</v>
      </c>
      <c r="H1375">
        <v>-101000</v>
      </c>
      <c r="I1375">
        <v>-6.36</v>
      </c>
      <c r="J1375">
        <v>1551000</v>
      </c>
      <c r="K1375">
        <v>1563000</v>
      </c>
      <c r="L1375">
        <v>1448000</v>
      </c>
      <c r="M1375">
        <v>39467</v>
      </c>
      <c r="N1375">
        <v>58754207000</v>
      </c>
      <c r="O1375">
        <v>20872969</v>
      </c>
      <c r="P1375">
        <v>31017231934000</v>
      </c>
    </row>
    <row r="1376" spans="1:16">
      <c r="A1376" t="s">
        <v>61</v>
      </c>
      <c r="B1376">
        <v>20260320</v>
      </c>
      <c r="C1376">
        <v>10130</v>
      </c>
      <c r="D1376" t="s">
        <v>62</v>
      </c>
      <c r="E1376" t="s">
        <v>61</v>
      </c>
      <c r="F1376" t="s">
        <v>17</v>
      </c>
      <c r="G1376">
        <v>1587000</v>
      </c>
      <c r="H1376">
        <v>-25000</v>
      </c>
      <c r="I1376">
        <v>-1.55</v>
      </c>
      <c r="J1376">
        <v>1627000</v>
      </c>
      <c r="K1376">
        <v>1634000</v>
      </c>
      <c r="L1376">
        <v>1580000</v>
      </c>
      <c r="M1376">
        <v>47993</v>
      </c>
      <c r="N1376">
        <v>76602675500</v>
      </c>
      <c r="O1376">
        <v>20872969</v>
      </c>
      <c r="P1376">
        <v>33125401803000</v>
      </c>
    </row>
    <row r="1377" spans="1:16">
      <c r="A1377" t="s">
        <v>61</v>
      </c>
      <c r="B1377">
        <v>20260319</v>
      </c>
      <c r="C1377">
        <v>10130</v>
      </c>
      <c r="D1377" t="s">
        <v>62</v>
      </c>
      <c r="E1377" t="s">
        <v>61</v>
      </c>
      <c r="F1377" t="s">
        <v>17</v>
      </c>
      <c r="G1377">
        <v>1612000</v>
      </c>
      <c r="H1377">
        <v>-83000</v>
      </c>
      <c r="I1377">
        <v>-4.9000000000000004</v>
      </c>
      <c r="J1377">
        <v>1652000</v>
      </c>
      <c r="K1377">
        <v>1652000</v>
      </c>
      <c r="L1377">
        <v>1612000</v>
      </c>
      <c r="M1377">
        <v>34466</v>
      </c>
      <c r="N1377">
        <v>55900364000</v>
      </c>
      <c r="O1377">
        <v>20872969</v>
      </c>
      <c r="P1377">
        <v>33647226028000</v>
      </c>
    </row>
    <row r="1378" spans="1:16">
      <c r="A1378" t="s">
        <v>61</v>
      </c>
      <c r="B1378">
        <v>20260318</v>
      </c>
      <c r="C1378">
        <v>10130</v>
      </c>
      <c r="D1378" t="s">
        <v>62</v>
      </c>
      <c r="E1378" t="s">
        <v>61</v>
      </c>
      <c r="F1378" t="s">
        <v>17</v>
      </c>
      <c r="G1378">
        <v>1695000</v>
      </c>
      <c r="H1378">
        <v>83000</v>
      </c>
      <c r="I1378">
        <v>5.15</v>
      </c>
      <c r="J1378">
        <v>1630000</v>
      </c>
      <c r="K1378">
        <v>1699000</v>
      </c>
      <c r="L1378">
        <v>1618000</v>
      </c>
      <c r="M1378">
        <v>26895</v>
      </c>
      <c r="N1378">
        <v>45051858000</v>
      </c>
      <c r="O1378">
        <v>20872969</v>
      </c>
      <c r="P1378">
        <v>35379682455000</v>
      </c>
    </row>
    <row r="1379" spans="1:16">
      <c r="A1379" t="s">
        <v>61</v>
      </c>
      <c r="B1379">
        <v>20260317</v>
      </c>
      <c r="C1379">
        <v>10130</v>
      </c>
      <c r="D1379" t="s">
        <v>62</v>
      </c>
      <c r="E1379" t="s">
        <v>61</v>
      </c>
      <c r="F1379" t="s">
        <v>17</v>
      </c>
      <c r="G1379">
        <v>1612000</v>
      </c>
      <c r="H1379">
        <v>12000</v>
      </c>
      <c r="I1379">
        <v>0.75</v>
      </c>
      <c r="J1379">
        <v>1647000</v>
      </c>
      <c r="K1379">
        <v>1662000</v>
      </c>
      <c r="L1379">
        <v>1600000</v>
      </c>
      <c r="M1379">
        <v>17390</v>
      </c>
      <c r="N1379">
        <v>28154958000</v>
      </c>
      <c r="O1379">
        <v>20872969</v>
      </c>
      <c r="P1379">
        <v>33647226028000</v>
      </c>
    </row>
    <row r="1380" spans="1:16">
      <c r="A1380" t="s">
        <v>61</v>
      </c>
      <c r="B1380">
        <v>20260316</v>
      </c>
      <c r="C1380">
        <v>10130</v>
      </c>
      <c r="D1380" t="s">
        <v>62</v>
      </c>
      <c r="E1380" t="s">
        <v>61</v>
      </c>
      <c r="F1380" t="s">
        <v>17</v>
      </c>
      <c r="G1380">
        <v>1600000</v>
      </c>
      <c r="H1380">
        <v>-28000</v>
      </c>
      <c r="I1380">
        <v>-1.72</v>
      </c>
      <c r="J1380">
        <v>1640000</v>
      </c>
      <c r="K1380">
        <v>1640000</v>
      </c>
      <c r="L1380">
        <v>1592000</v>
      </c>
      <c r="M1380">
        <v>19945</v>
      </c>
      <c r="N1380">
        <v>32107079000</v>
      </c>
      <c r="O1380">
        <v>20872969</v>
      </c>
      <c r="P1380">
        <v>33396750400000</v>
      </c>
    </row>
    <row r="1381" spans="1:16">
      <c r="A1381" t="s">
        <v>61</v>
      </c>
      <c r="B1381">
        <v>20260313</v>
      </c>
      <c r="C1381">
        <v>10130</v>
      </c>
      <c r="D1381" t="s">
        <v>62</v>
      </c>
      <c r="E1381" t="s">
        <v>61</v>
      </c>
      <c r="F1381" t="s">
        <v>17</v>
      </c>
      <c r="G1381">
        <v>1628000</v>
      </c>
      <c r="H1381">
        <v>-46000</v>
      </c>
      <c r="I1381">
        <v>-2.75</v>
      </c>
      <c r="J1381">
        <v>1630000</v>
      </c>
      <c r="K1381">
        <v>1698000</v>
      </c>
      <c r="L1381">
        <v>1614000</v>
      </c>
      <c r="M1381">
        <v>22703</v>
      </c>
      <c r="N1381">
        <v>37195043500</v>
      </c>
      <c r="O1381">
        <v>20872969</v>
      </c>
      <c r="P1381">
        <v>33981193532000</v>
      </c>
    </row>
    <row r="1382" spans="1:16">
      <c r="A1382" t="s">
        <v>61</v>
      </c>
      <c r="B1382">
        <v>20260312</v>
      </c>
      <c r="C1382">
        <v>10130</v>
      </c>
      <c r="D1382" t="s">
        <v>62</v>
      </c>
      <c r="E1382" t="s">
        <v>61</v>
      </c>
      <c r="F1382" t="s">
        <v>17</v>
      </c>
      <c r="G1382">
        <v>1674000</v>
      </c>
      <c r="H1382">
        <v>8000</v>
      </c>
      <c r="I1382">
        <v>0.48</v>
      </c>
      <c r="J1382">
        <v>1680000</v>
      </c>
      <c r="K1382">
        <v>1725000</v>
      </c>
      <c r="L1382">
        <v>1642000</v>
      </c>
      <c r="M1382">
        <v>20975</v>
      </c>
      <c r="N1382">
        <v>35008493500</v>
      </c>
      <c r="O1382">
        <v>20872969</v>
      </c>
      <c r="P1382">
        <v>34941350106000</v>
      </c>
    </row>
    <row r="1383" spans="1:16">
      <c r="A1383" t="s">
        <v>61</v>
      </c>
      <c r="B1383">
        <v>20260311</v>
      </c>
      <c r="C1383">
        <v>10130</v>
      </c>
      <c r="D1383" t="s">
        <v>62</v>
      </c>
      <c r="E1383" t="s">
        <v>61</v>
      </c>
      <c r="F1383" t="s">
        <v>17</v>
      </c>
      <c r="G1383">
        <v>1666000</v>
      </c>
      <c r="H1383">
        <v>41000</v>
      </c>
      <c r="I1383">
        <v>2.52</v>
      </c>
      <c r="J1383">
        <v>1683000</v>
      </c>
      <c r="K1383">
        <v>1736000</v>
      </c>
      <c r="L1383">
        <v>1656000</v>
      </c>
      <c r="M1383">
        <v>24546</v>
      </c>
      <c r="N1383">
        <v>41620748500</v>
      </c>
      <c r="O1383">
        <v>20872969</v>
      </c>
      <c r="P1383">
        <v>34774366354000</v>
      </c>
    </row>
    <row r="1384" spans="1:16">
      <c r="A1384" t="s">
        <v>61</v>
      </c>
      <c r="B1384">
        <v>20260310</v>
      </c>
      <c r="C1384">
        <v>10130</v>
      </c>
      <c r="D1384" t="s">
        <v>62</v>
      </c>
      <c r="E1384" t="s">
        <v>61</v>
      </c>
      <c r="F1384" t="s">
        <v>17</v>
      </c>
      <c r="G1384">
        <v>1625000</v>
      </c>
      <c r="H1384">
        <v>29000</v>
      </c>
      <c r="I1384">
        <v>1.82</v>
      </c>
      <c r="J1384">
        <v>1703000</v>
      </c>
      <c r="K1384">
        <v>1703000</v>
      </c>
      <c r="L1384">
        <v>1605000</v>
      </c>
      <c r="M1384">
        <v>33419</v>
      </c>
      <c r="N1384">
        <v>54802263000</v>
      </c>
      <c r="O1384">
        <v>20872969</v>
      </c>
      <c r="P1384">
        <v>33918574625000</v>
      </c>
    </row>
    <row r="1385" spans="1:16">
      <c r="A1385" t="s">
        <v>61</v>
      </c>
      <c r="B1385">
        <v>20260309</v>
      </c>
      <c r="C1385">
        <v>10130</v>
      </c>
      <c r="D1385" t="s">
        <v>62</v>
      </c>
      <c r="E1385" t="s">
        <v>61</v>
      </c>
      <c r="F1385" t="s">
        <v>17</v>
      </c>
      <c r="G1385">
        <v>1596000</v>
      </c>
      <c r="H1385">
        <v>-156000</v>
      </c>
      <c r="I1385">
        <v>-8.9</v>
      </c>
      <c r="J1385">
        <v>1657000</v>
      </c>
      <c r="K1385">
        <v>1658000</v>
      </c>
      <c r="L1385">
        <v>1560000</v>
      </c>
      <c r="M1385">
        <v>48063</v>
      </c>
      <c r="N1385">
        <v>76375314500</v>
      </c>
      <c r="O1385">
        <v>20872969</v>
      </c>
      <c r="P1385">
        <v>33313258524000</v>
      </c>
    </row>
    <row r="1386" spans="1:16">
      <c r="A1386" t="s">
        <v>61</v>
      </c>
      <c r="B1386">
        <v>20260306</v>
      </c>
      <c r="C1386">
        <v>10130</v>
      </c>
      <c r="D1386" t="s">
        <v>62</v>
      </c>
      <c r="E1386" t="s">
        <v>61</v>
      </c>
      <c r="F1386" t="s">
        <v>17</v>
      </c>
      <c r="G1386">
        <v>1752000</v>
      </c>
      <c r="H1386">
        <v>-7000</v>
      </c>
      <c r="I1386">
        <v>-0.4</v>
      </c>
      <c r="J1386">
        <v>1738000</v>
      </c>
      <c r="K1386">
        <v>1806000</v>
      </c>
      <c r="L1386">
        <v>1717000</v>
      </c>
      <c r="M1386">
        <v>21869</v>
      </c>
      <c r="N1386">
        <v>38595945500</v>
      </c>
      <c r="O1386">
        <v>20872969</v>
      </c>
      <c r="P1386">
        <v>36569441688000</v>
      </c>
    </row>
    <row r="1387" spans="1:16">
      <c r="A1387" t="s">
        <v>61</v>
      </c>
      <c r="B1387">
        <v>20260305</v>
      </c>
      <c r="C1387">
        <v>10130</v>
      </c>
      <c r="D1387" t="s">
        <v>62</v>
      </c>
      <c r="E1387" t="s">
        <v>61</v>
      </c>
      <c r="F1387" t="s">
        <v>17</v>
      </c>
      <c r="G1387">
        <v>1759000</v>
      </c>
      <c r="H1387">
        <v>127000</v>
      </c>
      <c r="I1387">
        <v>7.78</v>
      </c>
      <c r="J1387">
        <v>1790000</v>
      </c>
      <c r="K1387">
        <v>1840000</v>
      </c>
      <c r="L1387">
        <v>1752000</v>
      </c>
      <c r="M1387">
        <v>32605</v>
      </c>
      <c r="N1387">
        <v>58401429500</v>
      </c>
      <c r="O1387">
        <v>20872969</v>
      </c>
      <c r="P1387">
        <v>36715552471000</v>
      </c>
    </row>
    <row r="1388" spans="1:16">
      <c r="A1388" t="s">
        <v>61</v>
      </c>
      <c r="B1388">
        <v>20260304</v>
      </c>
      <c r="C1388">
        <v>10130</v>
      </c>
      <c r="D1388" t="s">
        <v>62</v>
      </c>
      <c r="E1388" t="s">
        <v>61</v>
      </c>
      <c r="F1388" t="s">
        <v>17</v>
      </c>
      <c r="G1388">
        <v>1632000</v>
      </c>
      <c r="H1388">
        <v>-351000</v>
      </c>
      <c r="I1388">
        <v>-17.7</v>
      </c>
      <c r="J1388">
        <v>1850000</v>
      </c>
      <c r="K1388">
        <v>1879000</v>
      </c>
      <c r="L1388">
        <v>1621000</v>
      </c>
      <c r="M1388">
        <v>52732</v>
      </c>
      <c r="N1388">
        <v>91374904000</v>
      </c>
      <c r="O1388">
        <v>20872969</v>
      </c>
      <c r="P1388">
        <v>34064685408000</v>
      </c>
    </row>
    <row r="1389" spans="1:16">
      <c r="A1389" t="s">
        <v>61</v>
      </c>
      <c r="B1389">
        <v>20260303</v>
      </c>
      <c r="C1389">
        <v>10130</v>
      </c>
      <c r="D1389" t="s">
        <v>62</v>
      </c>
      <c r="E1389" t="s">
        <v>61</v>
      </c>
      <c r="F1389" t="s">
        <v>17</v>
      </c>
      <c r="G1389">
        <v>1983000</v>
      </c>
      <c r="H1389">
        <v>-47000</v>
      </c>
      <c r="I1389">
        <v>-2.3199999999999998</v>
      </c>
      <c r="J1389">
        <v>2085000</v>
      </c>
      <c r="K1389">
        <v>2093000</v>
      </c>
      <c r="L1389">
        <v>1948000</v>
      </c>
      <c r="M1389">
        <v>39472</v>
      </c>
      <c r="N1389">
        <v>80715864000</v>
      </c>
      <c r="O1389">
        <v>20872969</v>
      </c>
      <c r="P1389">
        <v>41391097527000</v>
      </c>
    </row>
    <row r="1390" spans="1:16">
      <c r="A1390" t="s">
        <v>61</v>
      </c>
      <c r="B1390">
        <v>20260227</v>
      </c>
      <c r="C1390">
        <v>10130</v>
      </c>
      <c r="D1390" t="s">
        <v>62</v>
      </c>
      <c r="E1390" t="s">
        <v>61</v>
      </c>
      <c r="F1390" t="s">
        <v>17</v>
      </c>
      <c r="G1390">
        <v>2030000</v>
      </c>
      <c r="H1390">
        <v>-25000</v>
      </c>
      <c r="I1390">
        <v>-1.22</v>
      </c>
      <c r="J1390">
        <v>2075000</v>
      </c>
      <c r="K1390">
        <v>2095000</v>
      </c>
      <c r="L1390">
        <v>2017000</v>
      </c>
      <c r="M1390">
        <v>27633</v>
      </c>
      <c r="N1390">
        <v>56377649500</v>
      </c>
      <c r="O1390">
        <v>20872969</v>
      </c>
      <c r="P1390">
        <v>42372127070000</v>
      </c>
    </row>
    <row r="1391" spans="1:16">
      <c r="A1391" t="s">
        <v>61</v>
      </c>
      <c r="B1391">
        <v>20260226</v>
      </c>
      <c r="C1391">
        <v>10130</v>
      </c>
      <c r="D1391" t="s">
        <v>62</v>
      </c>
      <c r="E1391" t="s">
        <v>61</v>
      </c>
      <c r="F1391" t="s">
        <v>17</v>
      </c>
      <c r="G1391">
        <v>2055000</v>
      </c>
      <c r="H1391">
        <v>-60000</v>
      </c>
      <c r="I1391">
        <v>-2.84</v>
      </c>
      <c r="J1391">
        <v>2076000</v>
      </c>
      <c r="K1391">
        <v>2108000</v>
      </c>
      <c r="L1391">
        <v>2003000</v>
      </c>
      <c r="M1391">
        <v>51820</v>
      </c>
      <c r="N1391">
        <v>106773648500</v>
      </c>
      <c r="O1391">
        <v>20872969</v>
      </c>
      <c r="P1391">
        <v>42893951295000</v>
      </c>
    </row>
    <row r="1392" spans="1:16">
      <c r="A1392" t="s">
        <v>61</v>
      </c>
      <c r="B1392">
        <v>20260225</v>
      </c>
      <c r="C1392">
        <v>10130</v>
      </c>
      <c r="D1392" t="s">
        <v>62</v>
      </c>
      <c r="E1392" t="s">
        <v>61</v>
      </c>
      <c r="F1392" t="s">
        <v>17</v>
      </c>
      <c r="G1392">
        <v>2115000</v>
      </c>
      <c r="H1392">
        <v>244000</v>
      </c>
      <c r="I1392">
        <v>13.04</v>
      </c>
      <c r="J1392">
        <v>1860000</v>
      </c>
      <c r="K1392">
        <v>2188000</v>
      </c>
      <c r="L1392">
        <v>1850000</v>
      </c>
      <c r="M1392">
        <v>96133</v>
      </c>
      <c r="N1392">
        <v>195028509000</v>
      </c>
      <c r="O1392">
        <v>20872969</v>
      </c>
      <c r="P1392">
        <v>44146329435000</v>
      </c>
    </row>
    <row r="1393" spans="1:16">
      <c r="A1393" t="s">
        <v>61</v>
      </c>
      <c r="B1393">
        <v>20260224</v>
      </c>
      <c r="C1393">
        <v>10130</v>
      </c>
      <c r="D1393" t="s">
        <v>62</v>
      </c>
      <c r="E1393" t="s">
        <v>61</v>
      </c>
      <c r="F1393" t="s">
        <v>17</v>
      </c>
      <c r="G1393">
        <v>1871000</v>
      </c>
      <c r="H1393">
        <v>148000</v>
      </c>
      <c r="I1393">
        <v>8.59</v>
      </c>
      <c r="J1393">
        <v>1738000</v>
      </c>
      <c r="K1393">
        <v>1887000</v>
      </c>
      <c r="L1393">
        <v>1738000</v>
      </c>
      <c r="M1393">
        <v>89666</v>
      </c>
      <c r="N1393">
        <v>164635132500</v>
      </c>
      <c r="O1393">
        <v>20872969</v>
      </c>
      <c r="P1393">
        <v>39053324999000</v>
      </c>
    </row>
    <row r="1394" spans="1:16">
      <c r="A1394" t="s">
        <v>61</v>
      </c>
      <c r="B1394">
        <v>20260223</v>
      </c>
      <c r="C1394">
        <v>10130</v>
      </c>
      <c r="D1394" t="s">
        <v>62</v>
      </c>
      <c r="E1394" t="s">
        <v>61</v>
      </c>
      <c r="F1394" t="s">
        <v>17</v>
      </c>
      <c r="G1394">
        <v>1723000</v>
      </c>
      <c r="H1394">
        <v>60000</v>
      </c>
      <c r="I1394">
        <v>3.61</v>
      </c>
      <c r="J1394">
        <v>1676000</v>
      </c>
      <c r="K1394">
        <v>1749000</v>
      </c>
      <c r="L1394">
        <v>1668000</v>
      </c>
      <c r="M1394">
        <v>47842</v>
      </c>
      <c r="N1394">
        <v>81673355500</v>
      </c>
      <c r="O1394">
        <v>20872969</v>
      </c>
      <c r="P1394">
        <v>35964125587000</v>
      </c>
    </row>
    <row r="1395" spans="1:16">
      <c r="A1395" t="s">
        <v>61</v>
      </c>
      <c r="B1395">
        <v>20260220</v>
      </c>
      <c r="C1395">
        <v>10130</v>
      </c>
      <c r="D1395" t="s">
        <v>62</v>
      </c>
      <c r="E1395" t="s">
        <v>61</v>
      </c>
      <c r="F1395" t="s">
        <v>17</v>
      </c>
      <c r="G1395">
        <v>1663000</v>
      </c>
      <c r="H1395">
        <v>-6000</v>
      </c>
      <c r="I1395">
        <v>-0.36</v>
      </c>
      <c r="J1395">
        <v>1674000</v>
      </c>
      <c r="K1395">
        <v>1682000</v>
      </c>
      <c r="L1395">
        <v>1660000</v>
      </c>
      <c r="M1395">
        <v>23905</v>
      </c>
      <c r="N1395">
        <v>39883088000</v>
      </c>
      <c r="O1395">
        <v>20872969</v>
      </c>
      <c r="P1395">
        <v>34711747447000</v>
      </c>
    </row>
    <row r="1396" spans="1:16">
      <c r="A1396" t="s">
        <v>61</v>
      </c>
      <c r="B1396">
        <v>20260219</v>
      </c>
      <c r="C1396">
        <v>10130</v>
      </c>
      <c r="D1396" t="s">
        <v>62</v>
      </c>
      <c r="E1396" t="s">
        <v>61</v>
      </c>
      <c r="F1396" t="s">
        <v>17</v>
      </c>
      <c r="G1396">
        <v>1669000</v>
      </c>
      <c r="H1396">
        <v>-1000</v>
      </c>
      <c r="I1396">
        <v>-0.06</v>
      </c>
      <c r="J1396">
        <v>1680000</v>
      </c>
      <c r="K1396">
        <v>1690000</v>
      </c>
      <c r="L1396">
        <v>1647000</v>
      </c>
      <c r="M1396">
        <v>35941</v>
      </c>
      <c r="N1396">
        <v>59806433000</v>
      </c>
      <c r="O1396">
        <v>20872969</v>
      </c>
      <c r="P1396">
        <v>34836985261000</v>
      </c>
    </row>
    <row r="1397" spans="1:16">
      <c r="A1397" t="s">
        <v>61</v>
      </c>
      <c r="B1397">
        <v>20260213</v>
      </c>
      <c r="C1397">
        <v>10130</v>
      </c>
      <c r="D1397" t="s">
        <v>62</v>
      </c>
      <c r="E1397" t="s">
        <v>61</v>
      </c>
      <c r="F1397" t="s">
        <v>17</v>
      </c>
      <c r="G1397">
        <v>1670000</v>
      </c>
      <c r="H1397">
        <v>-62000</v>
      </c>
      <c r="I1397">
        <v>-3.58</v>
      </c>
      <c r="J1397">
        <v>1683000</v>
      </c>
      <c r="K1397">
        <v>1690000</v>
      </c>
      <c r="L1397">
        <v>1642000</v>
      </c>
      <c r="M1397">
        <v>35396</v>
      </c>
      <c r="N1397">
        <v>58984049500</v>
      </c>
      <c r="O1397">
        <v>20872969</v>
      </c>
      <c r="P1397">
        <v>34857858230000</v>
      </c>
    </row>
    <row r="1398" spans="1:16">
      <c r="A1398" t="s">
        <v>61</v>
      </c>
      <c r="B1398">
        <v>20260212</v>
      </c>
      <c r="C1398">
        <v>10130</v>
      </c>
      <c r="D1398" t="s">
        <v>62</v>
      </c>
      <c r="E1398" t="s">
        <v>61</v>
      </c>
      <c r="F1398" t="s">
        <v>17</v>
      </c>
      <c r="G1398">
        <v>1732000</v>
      </c>
      <c r="H1398">
        <v>54000</v>
      </c>
      <c r="I1398">
        <v>3.22</v>
      </c>
      <c r="J1398">
        <v>1698000</v>
      </c>
      <c r="K1398">
        <v>1732000</v>
      </c>
      <c r="L1398">
        <v>1692000</v>
      </c>
      <c r="M1398">
        <v>52778</v>
      </c>
      <c r="N1398">
        <v>90741457500</v>
      </c>
      <c r="O1398">
        <v>20872969</v>
      </c>
      <c r="P1398">
        <v>36151982308000</v>
      </c>
    </row>
    <row r="1399" spans="1:16">
      <c r="A1399" t="s">
        <v>61</v>
      </c>
      <c r="B1399">
        <v>20260211</v>
      </c>
      <c r="C1399">
        <v>10130</v>
      </c>
      <c r="D1399" t="s">
        <v>62</v>
      </c>
      <c r="E1399" t="s">
        <v>61</v>
      </c>
      <c r="F1399" t="s">
        <v>17</v>
      </c>
      <c r="G1399">
        <v>1678000</v>
      </c>
      <c r="H1399">
        <v>-23000</v>
      </c>
      <c r="I1399">
        <v>-1.35</v>
      </c>
      <c r="J1399">
        <v>1712000</v>
      </c>
      <c r="K1399">
        <v>1735000</v>
      </c>
      <c r="L1399">
        <v>1672000</v>
      </c>
      <c r="M1399">
        <v>28883</v>
      </c>
      <c r="N1399">
        <v>48866292000</v>
      </c>
      <c r="O1399">
        <v>20872969</v>
      </c>
      <c r="P1399">
        <v>35024841982000</v>
      </c>
    </row>
    <row r="1400" spans="1:16">
      <c r="A1400" t="s">
        <v>61</v>
      </c>
      <c r="B1400">
        <v>20260210</v>
      </c>
      <c r="C1400">
        <v>10130</v>
      </c>
      <c r="D1400" t="s">
        <v>62</v>
      </c>
      <c r="E1400" t="s">
        <v>61</v>
      </c>
      <c r="F1400" t="s">
        <v>17</v>
      </c>
      <c r="G1400">
        <v>1701000</v>
      </c>
      <c r="H1400">
        <v>-8000</v>
      </c>
      <c r="I1400">
        <v>-0.47</v>
      </c>
      <c r="J1400">
        <v>1739000</v>
      </c>
      <c r="K1400">
        <v>1742000</v>
      </c>
      <c r="L1400">
        <v>1690000</v>
      </c>
      <c r="M1400">
        <v>24834</v>
      </c>
      <c r="N1400">
        <v>42479428000</v>
      </c>
      <c r="O1400">
        <v>20872969</v>
      </c>
      <c r="P1400">
        <v>35504920269000</v>
      </c>
    </row>
    <row r="1401" spans="1:16">
      <c r="A1401" t="s">
        <v>61</v>
      </c>
      <c r="B1401">
        <v>20260209</v>
      </c>
      <c r="C1401">
        <v>10130</v>
      </c>
      <c r="D1401" t="s">
        <v>62</v>
      </c>
      <c r="E1401" t="s">
        <v>61</v>
      </c>
      <c r="F1401" t="s">
        <v>17</v>
      </c>
      <c r="G1401">
        <v>1709000</v>
      </c>
      <c r="H1401">
        <v>68000</v>
      </c>
      <c r="I1401">
        <v>4.1399999999999997</v>
      </c>
      <c r="J1401">
        <v>1723000</v>
      </c>
      <c r="K1401">
        <v>1727000</v>
      </c>
      <c r="L1401">
        <v>1679000</v>
      </c>
      <c r="M1401">
        <v>29494</v>
      </c>
      <c r="N1401">
        <v>50266804000</v>
      </c>
      <c r="O1401">
        <v>20872969</v>
      </c>
      <c r="P1401">
        <v>35671904021000</v>
      </c>
    </row>
    <row r="1402" spans="1:16">
      <c r="A1402" t="s">
        <v>61</v>
      </c>
      <c r="B1402">
        <v>20260206</v>
      </c>
      <c r="C1402">
        <v>10130</v>
      </c>
      <c r="D1402" t="s">
        <v>62</v>
      </c>
      <c r="E1402" t="s">
        <v>61</v>
      </c>
      <c r="F1402" t="s">
        <v>17</v>
      </c>
      <c r="G1402">
        <v>1641000</v>
      </c>
      <c r="H1402">
        <v>-68000</v>
      </c>
      <c r="I1402">
        <v>-3.98</v>
      </c>
      <c r="J1402">
        <v>1636000</v>
      </c>
      <c r="K1402">
        <v>1643000</v>
      </c>
      <c r="L1402">
        <v>1558000</v>
      </c>
      <c r="M1402">
        <v>40461</v>
      </c>
      <c r="N1402">
        <v>65346342000</v>
      </c>
      <c r="O1402">
        <v>20872969</v>
      </c>
      <c r="P1402">
        <v>34252542129000</v>
      </c>
    </row>
    <row r="1403" spans="1:16">
      <c r="A1403" t="s">
        <v>61</v>
      </c>
      <c r="B1403">
        <v>20260205</v>
      </c>
      <c r="C1403">
        <v>10130</v>
      </c>
      <c r="D1403" t="s">
        <v>62</v>
      </c>
      <c r="E1403" t="s">
        <v>61</v>
      </c>
      <c r="F1403" t="s">
        <v>17</v>
      </c>
      <c r="G1403">
        <v>1709000</v>
      </c>
      <c r="H1403">
        <v>-120000</v>
      </c>
      <c r="I1403">
        <v>-6.56</v>
      </c>
      <c r="J1403">
        <v>1780000</v>
      </c>
      <c r="K1403">
        <v>1787000</v>
      </c>
      <c r="L1403">
        <v>1687000</v>
      </c>
      <c r="M1403">
        <v>47268</v>
      </c>
      <c r="N1403">
        <v>81493107500</v>
      </c>
      <c r="O1403">
        <v>20872969</v>
      </c>
      <c r="P1403">
        <v>35671904021000</v>
      </c>
    </row>
    <row r="1404" spans="1:16">
      <c r="A1404" t="s">
        <v>61</v>
      </c>
      <c r="B1404">
        <v>20260204</v>
      </c>
      <c r="C1404">
        <v>10130</v>
      </c>
      <c r="D1404" t="s">
        <v>62</v>
      </c>
      <c r="E1404" t="s">
        <v>61</v>
      </c>
      <c r="F1404" t="s">
        <v>17</v>
      </c>
      <c r="G1404">
        <v>1829000</v>
      </c>
      <c r="H1404">
        <v>113000</v>
      </c>
      <c r="I1404">
        <v>6.59</v>
      </c>
      <c r="J1404">
        <v>1767000</v>
      </c>
      <c r="K1404">
        <v>1867000</v>
      </c>
      <c r="L1404">
        <v>1738000</v>
      </c>
      <c r="M1404">
        <v>56308</v>
      </c>
      <c r="N1404">
        <v>102278796000</v>
      </c>
      <c r="O1404">
        <v>20872969</v>
      </c>
      <c r="P1404">
        <v>38176660301000</v>
      </c>
    </row>
    <row r="1405" spans="1:16">
      <c r="A1405" t="s">
        <v>61</v>
      </c>
      <c r="B1405">
        <v>20260203</v>
      </c>
      <c r="C1405">
        <v>10130</v>
      </c>
      <c r="D1405" t="s">
        <v>62</v>
      </c>
      <c r="E1405" t="s">
        <v>61</v>
      </c>
      <c r="F1405" t="s">
        <v>17</v>
      </c>
      <c r="G1405">
        <v>1716000</v>
      </c>
      <c r="H1405">
        <v>66000</v>
      </c>
      <c r="I1405">
        <v>4</v>
      </c>
      <c r="J1405">
        <v>1719000</v>
      </c>
      <c r="K1405">
        <v>1725000</v>
      </c>
      <c r="L1405">
        <v>1659000</v>
      </c>
      <c r="M1405">
        <v>48365</v>
      </c>
      <c r="N1405">
        <v>82271674500</v>
      </c>
      <c r="O1405">
        <v>20872969</v>
      </c>
      <c r="P1405">
        <v>35818014804000</v>
      </c>
    </row>
    <row r="1406" spans="1:16">
      <c r="A1406" t="s">
        <v>61</v>
      </c>
      <c r="B1406">
        <v>20260202</v>
      </c>
      <c r="C1406">
        <v>10130</v>
      </c>
      <c r="D1406" t="s">
        <v>62</v>
      </c>
      <c r="E1406" t="s">
        <v>61</v>
      </c>
      <c r="F1406" t="s">
        <v>17</v>
      </c>
      <c r="G1406">
        <v>1650000</v>
      </c>
      <c r="H1406">
        <v>-234000</v>
      </c>
      <c r="I1406">
        <v>-12.42</v>
      </c>
      <c r="J1406">
        <v>1710000</v>
      </c>
      <c r="K1406">
        <v>1732000</v>
      </c>
      <c r="L1406">
        <v>1630000</v>
      </c>
      <c r="M1406">
        <v>98503</v>
      </c>
      <c r="N1406">
        <v>164613156000</v>
      </c>
      <c r="O1406">
        <v>20872969</v>
      </c>
      <c r="P1406">
        <v>34440398850000</v>
      </c>
    </row>
    <row r="1407" spans="1:16">
      <c r="A1407" t="s">
        <v>61</v>
      </c>
      <c r="B1407">
        <v>20260130</v>
      </c>
      <c r="C1407">
        <v>10130</v>
      </c>
      <c r="D1407" t="s">
        <v>62</v>
      </c>
      <c r="E1407" t="s">
        <v>61</v>
      </c>
      <c r="F1407" t="s">
        <v>17</v>
      </c>
      <c r="G1407">
        <v>1884000</v>
      </c>
      <c r="H1407">
        <v>-75000</v>
      </c>
      <c r="I1407">
        <v>-3.83</v>
      </c>
      <c r="J1407">
        <v>1940000</v>
      </c>
      <c r="K1407">
        <v>2034000</v>
      </c>
      <c r="L1407">
        <v>1884000</v>
      </c>
      <c r="M1407">
        <v>83505</v>
      </c>
      <c r="N1407">
        <v>161847054000</v>
      </c>
      <c r="O1407">
        <v>20872969</v>
      </c>
      <c r="P1407">
        <v>39324673596000</v>
      </c>
    </row>
    <row r="1408" spans="1:16">
      <c r="A1408" t="s">
        <v>61</v>
      </c>
      <c r="B1408">
        <v>20260129</v>
      </c>
      <c r="C1408">
        <v>10130</v>
      </c>
      <c r="D1408" t="s">
        <v>62</v>
      </c>
      <c r="E1408" t="s">
        <v>61</v>
      </c>
      <c r="F1408" t="s">
        <v>17</v>
      </c>
      <c r="G1408">
        <v>1959000</v>
      </c>
      <c r="H1408">
        <v>158000</v>
      </c>
      <c r="I1408">
        <v>8.77</v>
      </c>
      <c r="J1408">
        <v>1786000</v>
      </c>
      <c r="K1408">
        <v>1980000</v>
      </c>
      <c r="L1408">
        <v>1786000</v>
      </c>
      <c r="M1408">
        <v>113532</v>
      </c>
      <c r="N1408">
        <v>217390907000</v>
      </c>
      <c r="O1408">
        <v>20872969</v>
      </c>
      <c r="P1408">
        <v>40890146271000</v>
      </c>
    </row>
    <row r="1409" spans="1:16">
      <c r="A1409" t="s">
        <v>61</v>
      </c>
      <c r="B1409">
        <v>20260128</v>
      </c>
      <c r="C1409">
        <v>10130</v>
      </c>
      <c r="D1409" t="s">
        <v>62</v>
      </c>
      <c r="E1409" t="s">
        <v>61</v>
      </c>
      <c r="F1409" t="s">
        <v>17</v>
      </c>
      <c r="G1409">
        <v>1801000</v>
      </c>
      <c r="H1409">
        <v>-30000</v>
      </c>
      <c r="I1409">
        <v>-1.64</v>
      </c>
      <c r="J1409">
        <v>1836000</v>
      </c>
      <c r="K1409">
        <v>1860000</v>
      </c>
      <c r="L1409">
        <v>1781000</v>
      </c>
      <c r="M1409">
        <v>53842</v>
      </c>
      <c r="N1409">
        <v>97188412500</v>
      </c>
      <c r="O1409">
        <v>20872969</v>
      </c>
      <c r="P1409">
        <v>37592217169000</v>
      </c>
    </row>
    <row r="1410" spans="1:16">
      <c r="A1410" t="s">
        <v>61</v>
      </c>
      <c r="B1410">
        <v>20260127</v>
      </c>
      <c r="C1410">
        <v>10130</v>
      </c>
      <c r="D1410" t="s">
        <v>62</v>
      </c>
      <c r="E1410" t="s">
        <v>61</v>
      </c>
      <c r="F1410" t="s">
        <v>17</v>
      </c>
      <c r="G1410">
        <v>1831000</v>
      </c>
      <c r="H1410">
        <v>24000</v>
      </c>
      <c r="I1410">
        <v>1.33</v>
      </c>
      <c r="J1410">
        <v>1784000</v>
      </c>
      <c r="K1410">
        <v>1840000</v>
      </c>
      <c r="L1410">
        <v>1725000</v>
      </c>
      <c r="M1410">
        <v>69021</v>
      </c>
      <c r="N1410">
        <v>122580236500</v>
      </c>
      <c r="O1410">
        <v>20872969</v>
      </c>
      <c r="P1410">
        <v>38218406239000</v>
      </c>
    </row>
    <row r="1411" spans="1:16">
      <c r="A1411" t="s">
        <v>61</v>
      </c>
      <c r="B1411">
        <v>20260126</v>
      </c>
      <c r="C1411">
        <v>10130</v>
      </c>
      <c r="D1411" t="s">
        <v>62</v>
      </c>
      <c r="E1411" t="s">
        <v>61</v>
      </c>
      <c r="F1411" t="s">
        <v>17</v>
      </c>
      <c r="G1411">
        <v>1807000</v>
      </c>
      <c r="H1411">
        <v>227000</v>
      </c>
      <c r="I1411">
        <v>14.37</v>
      </c>
      <c r="J1411">
        <v>1620000</v>
      </c>
      <c r="K1411">
        <v>1877000</v>
      </c>
      <c r="L1411">
        <v>1617000</v>
      </c>
      <c r="M1411">
        <v>158349</v>
      </c>
      <c r="N1411">
        <v>280691228500</v>
      </c>
      <c r="O1411">
        <v>20872969</v>
      </c>
      <c r="P1411">
        <v>37717454983000</v>
      </c>
    </row>
    <row r="1412" spans="1:16">
      <c r="A1412" t="s">
        <v>61</v>
      </c>
      <c r="B1412">
        <v>20260123</v>
      </c>
      <c r="C1412">
        <v>10130</v>
      </c>
      <c r="D1412" t="s">
        <v>62</v>
      </c>
      <c r="E1412" t="s">
        <v>61</v>
      </c>
      <c r="F1412" t="s">
        <v>17</v>
      </c>
      <c r="G1412">
        <v>1580000</v>
      </c>
      <c r="H1412">
        <v>25000</v>
      </c>
      <c r="I1412">
        <v>1.61</v>
      </c>
      <c r="J1412">
        <v>1554000</v>
      </c>
      <c r="K1412">
        <v>1607000</v>
      </c>
      <c r="L1412">
        <v>1533000</v>
      </c>
      <c r="M1412">
        <v>67427</v>
      </c>
      <c r="N1412">
        <v>106914605500</v>
      </c>
      <c r="O1412">
        <v>20872969</v>
      </c>
      <c r="P1412">
        <v>32979291020000</v>
      </c>
    </row>
    <row r="1413" spans="1:16">
      <c r="A1413" t="s">
        <v>61</v>
      </c>
      <c r="B1413">
        <v>20260122</v>
      </c>
      <c r="C1413">
        <v>10130</v>
      </c>
      <c r="D1413" t="s">
        <v>62</v>
      </c>
      <c r="E1413" t="s">
        <v>61</v>
      </c>
      <c r="F1413" t="s">
        <v>17</v>
      </c>
      <c r="G1413">
        <v>1555000</v>
      </c>
      <c r="H1413">
        <v>-102000</v>
      </c>
      <c r="I1413">
        <v>-6.16</v>
      </c>
      <c r="J1413">
        <v>1640000</v>
      </c>
      <c r="K1413">
        <v>1640000</v>
      </c>
      <c r="L1413">
        <v>1531000</v>
      </c>
      <c r="M1413">
        <v>108070</v>
      </c>
      <c r="N1413">
        <v>169586464500</v>
      </c>
      <c r="O1413">
        <v>20872969</v>
      </c>
      <c r="P1413">
        <v>32457466795000</v>
      </c>
    </row>
    <row r="1414" spans="1:16">
      <c r="A1414" t="s">
        <v>61</v>
      </c>
      <c r="B1414">
        <v>20260121</v>
      </c>
      <c r="C1414">
        <v>10130</v>
      </c>
      <c r="D1414" t="s">
        <v>62</v>
      </c>
      <c r="E1414" t="s">
        <v>61</v>
      </c>
      <c r="F1414" t="s">
        <v>17</v>
      </c>
      <c r="G1414">
        <v>1657000</v>
      </c>
      <c r="H1414">
        <v>36000</v>
      </c>
      <c r="I1414">
        <v>2.2200000000000002</v>
      </c>
      <c r="J1414">
        <v>1640000</v>
      </c>
      <c r="K1414">
        <v>1676000</v>
      </c>
      <c r="L1414">
        <v>1601000</v>
      </c>
      <c r="M1414">
        <v>81817</v>
      </c>
      <c r="N1414">
        <v>134572551500</v>
      </c>
      <c r="O1414">
        <v>20872969</v>
      </c>
      <c r="P1414">
        <v>34586509633000</v>
      </c>
    </row>
    <row r="1415" spans="1:16">
      <c r="A1415" t="s">
        <v>61</v>
      </c>
      <c r="B1415">
        <v>20260120</v>
      </c>
      <c r="C1415">
        <v>10130</v>
      </c>
      <c r="D1415" t="s">
        <v>62</v>
      </c>
      <c r="E1415" t="s">
        <v>61</v>
      </c>
      <c r="F1415" t="s">
        <v>17</v>
      </c>
      <c r="G1415">
        <v>1621000</v>
      </c>
      <c r="H1415">
        <v>37000</v>
      </c>
      <c r="I1415">
        <v>2.34</v>
      </c>
      <c r="J1415">
        <v>1552000</v>
      </c>
      <c r="K1415">
        <v>1668000</v>
      </c>
      <c r="L1415">
        <v>1542000</v>
      </c>
      <c r="M1415">
        <v>84096</v>
      </c>
      <c r="N1415">
        <v>136419110500</v>
      </c>
      <c r="O1415">
        <v>20872969</v>
      </c>
      <c r="P1415">
        <v>33835082749000</v>
      </c>
    </row>
    <row r="1416" spans="1:16">
      <c r="A1416" t="s">
        <v>61</v>
      </c>
      <c r="B1416">
        <v>20260119</v>
      </c>
      <c r="C1416">
        <v>10130</v>
      </c>
      <c r="D1416" t="s">
        <v>62</v>
      </c>
      <c r="E1416" t="s">
        <v>61</v>
      </c>
      <c r="F1416" t="s">
        <v>17</v>
      </c>
      <c r="G1416">
        <v>1584000</v>
      </c>
      <c r="H1416">
        <v>-1000</v>
      </c>
      <c r="I1416">
        <v>-0.06</v>
      </c>
      <c r="J1416">
        <v>1637000</v>
      </c>
      <c r="K1416">
        <v>1686000</v>
      </c>
      <c r="L1416">
        <v>1517000</v>
      </c>
      <c r="M1416">
        <v>99395</v>
      </c>
      <c r="N1416">
        <v>158608878500</v>
      </c>
      <c r="O1416">
        <v>20872969</v>
      </c>
      <c r="P1416">
        <v>33062782896000</v>
      </c>
    </row>
    <row r="1417" spans="1:16">
      <c r="A1417" t="s">
        <v>61</v>
      </c>
      <c r="B1417">
        <v>20260116</v>
      </c>
      <c r="C1417">
        <v>10130</v>
      </c>
      <c r="D1417" t="s">
        <v>62</v>
      </c>
      <c r="E1417" t="s">
        <v>61</v>
      </c>
      <c r="F1417" t="s">
        <v>17</v>
      </c>
      <c r="G1417">
        <v>1585000</v>
      </c>
      <c r="H1417">
        <v>147000</v>
      </c>
      <c r="I1417">
        <v>10.220000000000001</v>
      </c>
      <c r="J1417">
        <v>1501000</v>
      </c>
      <c r="K1417">
        <v>1597000</v>
      </c>
      <c r="L1417">
        <v>1456000</v>
      </c>
      <c r="M1417">
        <v>144252</v>
      </c>
      <c r="N1417">
        <v>224045481500</v>
      </c>
      <c r="O1417">
        <v>20872969</v>
      </c>
      <c r="P1417">
        <v>33083655865000</v>
      </c>
    </row>
    <row r="1418" spans="1:16">
      <c r="A1418" t="s">
        <v>61</v>
      </c>
      <c r="B1418">
        <v>20260115</v>
      </c>
      <c r="C1418">
        <v>10130</v>
      </c>
      <c r="D1418" t="s">
        <v>62</v>
      </c>
      <c r="E1418" t="s">
        <v>61</v>
      </c>
      <c r="F1418" t="s">
        <v>17</v>
      </c>
      <c r="G1418">
        <v>1438000</v>
      </c>
      <c r="H1418">
        <v>148000</v>
      </c>
      <c r="I1418">
        <v>11.47</v>
      </c>
      <c r="J1418">
        <v>1329000</v>
      </c>
      <c r="K1418">
        <v>1450000</v>
      </c>
      <c r="L1418">
        <v>1320000</v>
      </c>
      <c r="M1418">
        <v>155057</v>
      </c>
      <c r="N1418">
        <v>216319502000</v>
      </c>
      <c r="O1418">
        <v>20872969</v>
      </c>
      <c r="P1418">
        <v>30015329422000</v>
      </c>
    </row>
    <row r="1419" spans="1:16">
      <c r="A1419" t="s">
        <v>61</v>
      </c>
      <c r="B1419">
        <v>20260114</v>
      </c>
      <c r="C1419">
        <v>10130</v>
      </c>
      <c r="D1419" t="s">
        <v>62</v>
      </c>
      <c r="E1419" t="s">
        <v>61</v>
      </c>
      <c r="F1419" t="s">
        <v>17</v>
      </c>
      <c r="G1419">
        <v>1290000</v>
      </c>
      <c r="H1419">
        <v>-40000</v>
      </c>
      <c r="I1419">
        <v>-3.01</v>
      </c>
      <c r="J1419">
        <v>1370000</v>
      </c>
      <c r="K1419">
        <v>1378000</v>
      </c>
      <c r="L1419">
        <v>1261000</v>
      </c>
      <c r="M1419">
        <v>116849</v>
      </c>
      <c r="N1419">
        <v>152386554000</v>
      </c>
      <c r="O1419">
        <v>20872969</v>
      </c>
      <c r="P1419">
        <v>26926130010000</v>
      </c>
    </row>
    <row r="1420" spans="1:16">
      <c r="A1420" t="s">
        <v>61</v>
      </c>
      <c r="B1420">
        <v>20260113</v>
      </c>
      <c r="C1420">
        <v>10130</v>
      </c>
      <c r="D1420" t="s">
        <v>62</v>
      </c>
      <c r="E1420" t="s">
        <v>61</v>
      </c>
      <c r="F1420" t="s">
        <v>17</v>
      </c>
      <c r="G1420">
        <v>1330000</v>
      </c>
      <c r="H1420">
        <v>122000</v>
      </c>
      <c r="I1420">
        <v>10.1</v>
      </c>
      <c r="J1420">
        <v>1247000</v>
      </c>
      <c r="K1420">
        <v>1350000</v>
      </c>
      <c r="L1420">
        <v>1200000</v>
      </c>
      <c r="M1420">
        <v>173625</v>
      </c>
      <c r="N1420">
        <v>225356932500</v>
      </c>
      <c r="O1420">
        <v>20872969</v>
      </c>
      <c r="P1420">
        <v>27761048770000</v>
      </c>
    </row>
    <row r="1421" spans="1:16">
      <c r="A1421" t="s">
        <v>61</v>
      </c>
      <c r="B1421">
        <v>20260112</v>
      </c>
      <c r="C1421">
        <v>10130</v>
      </c>
      <c r="D1421" t="s">
        <v>62</v>
      </c>
      <c r="E1421" t="s">
        <v>61</v>
      </c>
      <c r="F1421" t="s">
        <v>17</v>
      </c>
      <c r="G1421">
        <v>1208000</v>
      </c>
      <c r="H1421">
        <v>66000</v>
      </c>
      <c r="I1421">
        <v>5.78</v>
      </c>
      <c r="J1421">
        <v>1159000</v>
      </c>
      <c r="K1421">
        <v>1256000</v>
      </c>
      <c r="L1421">
        <v>1149000</v>
      </c>
      <c r="M1421">
        <v>154699</v>
      </c>
      <c r="N1421">
        <v>186850686500</v>
      </c>
      <c r="O1421">
        <v>20872969</v>
      </c>
      <c r="P1421">
        <v>25214546552000</v>
      </c>
    </row>
    <row r="1422" spans="1:16">
      <c r="A1422" t="s">
        <v>61</v>
      </c>
      <c r="B1422">
        <v>20260109</v>
      </c>
      <c r="C1422">
        <v>10130</v>
      </c>
      <c r="D1422" t="s">
        <v>62</v>
      </c>
      <c r="E1422" t="s">
        <v>61</v>
      </c>
      <c r="F1422" t="s">
        <v>17</v>
      </c>
      <c r="G1422">
        <v>1142000</v>
      </c>
      <c r="H1422">
        <v>-61000</v>
      </c>
      <c r="I1422">
        <v>-5.07</v>
      </c>
      <c r="J1422">
        <v>1173000</v>
      </c>
      <c r="K1422">
        <v>1190000</v>
      </c>
      <c r="L1422">
        <v>1131000</v>
      </c>
      <c r="M1422">
        <v>424569</v>
      </c>
      <c r="N1422">
        <v>486193700500</v>
      </c>
      <c r="O1422">
        <v>20872969</v>
      </c>
      <c r="P1422">
        <v>23836930598000</v>
      </c>
    </row>
    <row r="1423" spans="1:16">
      <c r="A1423" t="s">
        <v>61</v>
      </c>
      <c r="B1423">
        <v>20260108</v>
      </c>
      <c r="C1423">
        <v>10130</v>
      </c>
      <c r="D1423" t="s">
        <v>62</v>
      </c>
      <c r="E1423" t="s">
        <v>61</v>
      </c>
      <c r="F1423" t="s">
        <v>17</v>
      </c>
      <c r="G1423">
        <v>1203000</v>
      </c>
      <c r="H1423">
        <v>-36000</v>
      </c>
      <c r="I1423">
        <v>-2.91</v>
      </c>
      <c r="J1423">
        <v>1215000</v>
      </c>
      <c r="K1423">
        <v>1226000</v>
      </c>
      <c r="L1423">
        <v>1164000</v>
      </c>
      <c r="M1423">
        <v>113621</v>
      </c>
      <c r="N1423">
        <v>134595504000</v>
      </c>
      <c r="O1423">
        <v>18663253</v>
      </c>
      <c r="P1423">
        <v>22451893359000</v>
      </c>
    </row>
    <row r="1424" spans="1:16">
      <c r="A1424" t="s">
        <v>61</v>
      </c>
      <c r="B1424">
        <v>20260107</v>
      </c>
      <c r="C1424">
        <v>10130</v>
      </c>
      <c r="D1424" t="s">
        <v>62</v>
      </c>
      <c r="E1424" t="s">
        <v>61</v>
      </c>
      <c r="F1424" t="s">
        <v>17</v>
      </c>
      <c r="G1424">
        <v>1239000</v>
      </c>
      <c r="H1424">
        <v>47000</v>
      </c>
      <c r="I1424">
        <v>3.94</v>
      </c>
      <c r="J1424">
        <v>1213000</v>
      </c>
      <c r="K1424">
        <v>1239000</v>
      </c>
      <c r="L1424">
        <v>1212000</v>
      </c>
      <c r="M1424">
        <v>40915</v>
      </c>
      <c r="N1424">
        <v>50289834000</v>
      </c>
      <c r="O1424">
        <v>18663253</v>
      </c>
      <c r="P1424">
        <v>23123770467000</v>
      </c>
    </row>
    <row r="1425" spans="1:16">
      <c r="A1425" t="s">
        <v>61</v>
      </c>
      <c r="B1425">
        <v>20260106</v>
      </c>
      <c r="C1425">
        <v>10130</v>
      </c>
      <c r="D1425" t="s">
        <v>62</v>
      </c>
      <c r="E1425" t="s">
        <v>61</v>
      </c>
      <c r="F1425" t="s">
        <v>17</v>
      </c>
      <c r="G1425">
        <v>1192000</v>
      </c>
      <c r="H1425">
        <v>-115000</v>
      </c>
      <c r="I1425">
        <v>-8.8000000000000007</v>
      </c>
      <c r="J1425">
        <v>1310000</v>
      </c>
      <c r="K1425">
        <v>1327000</v>
      </c>
      <c r="L1425">
        <v>1191000</v>
      </c>
      <c r="M1425">
        <v>112680</v>
      </c>
      <c r="N1425">
        <v>138886875000</v>
      </c>
      <c r="O1425">
        <v>18663253</v>
      </c>
      <c r="P1425">
        <v>22246597576000</v>
      </c>
    </row>
    <row r="1426" spans="1:16">
      <c r="A1426" t="s">
        <v>61</v>
      </c>
      <c r="B1426">
        <v>20260105</v>
      </c>
      <c r="C1426">
        <v>10130</v>
      </c>
      <c r="D1426" t="s">
        <v>62</v>
      </c>
      <c r="E1426" t="s">
        <v>61</v>
      </c>
      <c r="F1426" t="s">
        <v>17</v>
      </c>
      <c r="G1426">
        <v>1307000</v>
      </c>
      <c r="H1426">
        <v>20000</v>
      </c>
      <c r="I1426">
        <v>1.55</v>
      </c>
      <c r="J1426">
        <v>1288000</v>
      </c>
      <c r="K1426">
        <v>1307000</v>
      </c>
      <c r="L1426">
        <v>1271000</v>
      </c>
      <c r="M1426">
        <v>22885</v>
      </c>
      <c r="N1426">
        <v>29650669500</v>
      </c>
      <c r="O1426">
        <v>18663253</v>
      </c>
      <c r="P1426">
        <v>24392871671000</v>
      </c>
    </row>
    <row r="1427" spans="1:16">
      <c r="A1427" t="s">
        <v>61</v>
      </c>
      <c r="B1427">
        <v>20260102</v>
      </c>
      <c r="C1427">
        <v>10130</v>
      </c>
      <c r="D1427" t="s">
        <v>62</v>
      </c>
      <c r="E1427" t="s">
        <v>61</v>
      </c>
      <c r="F1427" t="s">
        <v>17</v>
      </c>
      <c r="G1427">
        <v>1287000</v>
      </c>
      <c r="H1427">
        <v>-29000</v>
      </c>
      <c r="I1427">
        <v>-2.2000000000000002</v>
      </c>
      <c r="J1427">
        <v>1326000</v>
      </c>
      <c r="K1427">
        <v>1327000</v>
      </c>
      <c r="L1427">
        <v>1270000</v>
      </c>
      <c r="M1427">
        <v>38628</v>
      </c>
      <c r="N1427">
        <v>49440036500</v>
      </c>
      <c r="O1427">
        <v>18663253</v>
      </c>
      <c r="P1427">
        <v>24019606611000</v>
      </c>
    </row>
    <row r="1428" spans="1:16">
      <c r="A1428" t="s">
        <v>63</v>
      </c>
      <c r="B1428">
        <v>20260403</v>
      </c>
      <c r="C1428">
        <v>86790</v>
      </c>
      <c r="D1428" t="s">
        <v>64</v>
      </c>
      <c r="E1428" t="s">
        <v>63</v>
      </c>
      <c r="F1428" t="s">
        <v>17</v>
      </c>
      <c r="G1428">
        <v>109700</v>
      </c>
      <c r="H1428">
        <v>-700</v>
      </c>
      <c r="I1428">
        <v>-0.63</v>
      </c>
      <c r="J1428">
        <v>112200</v>
      </c>
      <c r="K1428">
        <v>113300</v>
      </c>
      <c r="L1428">
        <v>109700</v>
      </c>
      <c r="M1428">
        <v>517249</v>
      </c>
      <c r="N1428">
        <v>57374676850</v>
      </c>
      <c r="O1428">
        <v>278325814</v>
      </c>
      <c r="P1428">
        <v>30532341795800</v>
      </c>
    </row>
    <row r="1429" spans="1:16">
      <c r="A1429" t="s">
        <v>63</v>
      </c>
      <c r="B1429">
        <v>20260402</v>
      </c>
      <c r="C1429">
        <v>86790</v>
      </c>
      <c r="D1429" t="s">
        <v>64</v>
      </c>
      <c r="E1429" t="s">
        <v>63</v>
      </c>
      <c r="F1429" t="s">
        <v>17</v>
      </c>
      <c r="G1429">
        <v>110400</v>
      </c>
      <c r="H1429">
        <v>-2400</v>
      </c>
      <c r="I1429">
        <v>-2.13</v>
      </c>
      <c r="J1429">
        <v>115000</v>
      </c>
      <c r="K1429">
        <v>117000</v>
      </c>
      <c r="L1429">
        <v>109100</v>
      </c>
      <c r="M1429">
        <v>1097382</v>
      </c>
      <c r="N1429">
        <v>123283051000</v>
      </c>
      <c r="O1429">
        <v>278325814</v>
      </c>
      <c r="P1429">
        <v>30727169865600</v>
      </c>
    </row>
    <row r="1430" spans="1:16">
      <c r="A1430" t="s">
        <v>63</v>
      </c>
      <c r="B1430">
        <v>20260401</v>
      </c>
      <c r="C1430">
        <v>86790</v>
      </c>
      <c r="D1430" t="s">
        <v>64</v>
      </c>
      <c r="E1430" t="s">
        <v>63</v>
      </c>
      <c r="F1430" t="s">
        <v>17</v>
      </c>
      <c r="G1430">
        <v>112800</v>
      </c>
      <c r="H1430">
        <v>6200</v>
      </c>
      <c r="I1430">
        <v>5.82</v>
      </c>
      <c r="J1430">
        <v>113400</v>
      </c>
      <c r="K1430">
        <v>114000</v>
      </c>
      <c r="L1430">
        <v>109500</v>
      </c>
      <c r="M1430">
        <v>1059927</v>
      </c>
      <c r="N1430">
        <v>118815571750</v>
      </c>
      <c r="O1430">
        <v>278325814</v>
      </c>
      <c r="P1430">
        <v>31395151819200</v>
      </c>
    </row>
    <row r="1431" spans="1:16">
      <c r="A1431" t="s">
        <v>63</v>
      </c>
      <c r="B1431">
        <v>20260331</v>
      </c>
      <c r="C1431">
        <v>86790</v>
      </c>
      <c r="D1431" t="s">
        <v>64</v>
      </c>
      <c r="E1431" t="s">
        <v>63</v>
      </c>
      <c r="F1431" t="s">
        <v>17</v>
      </c>
      <c r="G1431">
        <v>106600</v>
      </c>
      <c r="H1431">
        <v>-600</v>
      </c>
      <c r="I1431">
        <v>-0.56000000000000005</v>
      </c>
      <c r="J1431">
        <v>105500</v>
      </c>
      <c r="K1431">
        <v>108300</v>
      </c>
      <c r="L1431">
        <v>104100</v>
      </c>
      <c r="M1431">
        <v>1213383</v>
      </c>
      <c r="N1431">
        <v>129490003850</v>
      </c>
      <c r="O1431">
        <v>278325814</v>
      </c>
      <c r="P1431">
        <v>29669531772400</v>
      </c>
    </row>
    <row r="1432" spans="1:16">
      <c r="A1432" t="s">
        <v>63</v>
      </c>
      <c r="B1432">
        <v>20260330</v>
      </c>
      <c r="C1432">
        <v>86790</v>
      </c>
      <c r="D1432" t="s">
        <v>64</v>
      </c>
      <c r="E1432" t="s">
        <v>63</v>
      </c>
      <c r="F1432" t="s">
        <v>17</v>
      </c>
      <c r="G1432">
        <v>107200</v>
      </c>
      <c r="H1432">
        <v>-3200</v>
      </c>
      <c r="I1432">
        <v>-2.9</v>
      </c>
      <c r="J1432">
        <v>103500</v>
      </c>
      <c r="K1432">
        <v>107700</v>
      </c>
      <c r="L1432">
        <v>103200</v>
      </c>
      <c r="M1432">
        <v>703531</v>
      </c>
      <c r="N1432">
        <v>74960207100</v>
      </c>
      <c r="O1432">
        <v>278325814</v>
      </c>
      <c r="P1432">
        <v>29836527260800</v>
      </c>
    </row>
    <row r="1433" spans="1:16">
      <c r="A1433" t="s">
        <v>63</v>
      </c>
      <c r="B1433">
        <v>20260327</v>
      </c>
      <c r="C1433">
        <v>86790</v>
      </c>
      <c r="D1433" t="s">
        <v>64</v>
      </c>
      <c r="E1433" t="s">
        <v>63</v>
      </c>
      <c r="F1433" t="s">
        <v>17</v>
      </c>
      <c r="G1433">
        <v>110400</v>
      </c>
      <c r="H1433">
        <v>1600</v>
      </c>
      <c r="I1433">
        <v>1.47</v>
      </c>
      <c r="J1433">
        <v>105300</v>
      </c>
      <c r="K1433">
        <v>110600</v>
      </c>
      <c r="L1433">
        <v>104200</v>
      </c>
      <c r="M1433">
        <v>853865</v>
      </c>
      <c r="N1433">
        <v>92475120100</v>
      </c>
      <c r="O1433">
        <v>278325814</v>
      </c>
      <c r="P1433">
        <v>30727169865600</v>
      </c>
    </row>
    <row r="1434" spans="1:16">
      <c r="A1434" t="s">
        <v>63</v>
      </c>
      <c r="B1434">
        <v>20260326</v>
      </c>
      <c r="C1434">
        <v>86790</v>
      </c>
      <c r="D1434" t="s">
        <v>64</v>
      </c>
      <c r="E1434" t="s">
        <v>63</v>
      </c>
      <c r="F1434" t="s">
        <v>17</v>
      </c>
      <c r="G1434">
        <v>108800</v>
      </c>
      <c r="H1434">
        <v>100</v>
      </c>
      <c r="I1434">
        <v>0.09</v>
      </c>
      <c r="J1434">
        <v>109700</v>
      </c>
      <c r="K1434">
        <v>110500</v>
      </c>
      <c r="L1434">
        <v>108000</v>
      </c>
      <c r="M1434">
        <v>884501</v>
      </c>
      <c r="N1434">
        <v>96590081632</v>
      </c>
      <c r="O1434">
        <v>278325814</v>
      </c>
      <c r="P1434">
        <v>30281848563200</v>
      </c>
    </row>
    <row r="1435" spans="1:16">
      <c r="A1435" t="s">
        <v>63</v>
      </c>
      <c r="B1435">
        <v>20260325</v>
      </c>
      <c r="C1435">
        <v>86790</v>
      </c>
      <c r="D1435" t="s">
        <v>64</v>
      </c>
      <c r="E1435" t="s">
        <v>63</v>
      </c>
      <c r="F1435" t="s">
        <v>17</v>
      </c>
      <c r="G1435">
        <v>108700</v>
      </c>
      <c r="H1435">
        <v>2200</v>
      </c>
      <c r="I1435">
        <v>2.0699999999999998</v>
      </c>
      <c r="J1435">
        <v>109800</v>
      </c>
      <c r="K1435">
        <v>110700</v>
      </c>
      <c r="L1435">
        <v>108000</v>
      </c>
      <c r="M1435">
        <v>977916</v>
      </c>
      <c r="N1435">
        <v>106777517050</v>
      </c>
      <c r="O1435">
        <v>278325814</v>
      </c>
      <c r="P1435">
        <v>30254015981800</v>
      </c>
    </row>
    <row r="1436" spans="1:16">
      <c r="A1436" t="s">
        <v>63</v>
      </c>
      <c r="B1436">
        <v>20260324</v>
      </c>
      <c r="C1436">
        <v>86790</v>
      </c>
      <c r="D1436" t="s">
        <v>64</v>
      </c>
      <c r="E1436" t="s">
        <v>63</v>
      </c>
      <c r="F1436" t="s">
        <v>17</v>
      </c>
      <c r="G1436">
        <v>106500</v>
      </c>
      <c r="H1436">
        <v>500</v>
      </c>
      <c r="I1436">
        <v>0.47</v>
      </c>
      <c r="J1436">
        <v>109700</v>
      </c>
      <c r="K1436">
        <v>109700</v>
      </c>
      <c r="L1436">
        <v>105000</v>
      </c>
      <c r="M1436">
        <v>711357</v>
      </c>
      <c r="N1436">
        <v>75880401200</v>
      </c>
      <c r="O1436">
        <v>278325814</v>
      </c>
      <c r="P1436">
        <v>29641699191000</v>
      </c>
    </row>
    <row r="1437" spans="1:16">
      <c r="A1437" t="s">
        <v>63</v>
      </c>
      <c r="B1437">
        <v>20260323</v>
      </c>
      <c r="C1437">
        <v>86790</v>
      </c>
      <c r="D1437" t="s">
        <v>64</v>
      </c>
      <c r="E1437" t="s">
        <v>63</v>
      </c>
      <c r="F1437" t="s">
        <v>17</v>
      </c>
      <c r="G1437">
        <v>106000</v>
      </c>
      <c r="H1437">
        <v>-7200</v>
      </c>
      <c r="I1437">
        <v>-6.36</v>
      </c>
      <c r="J1437">
        <v>107900</v>
      </c>
      <c r="K1437">
        <v>109700</v>
      </c>
      <c r="L1437">
        <v>104300</v>
      </c>
      <c r="M1437">
        <v>835977</v>
      </c>
      <c r="N1437">
        <v>88814916900</v>
      </c>
      <c r="O1437">
        <v>278325814</v>
      </c>
      <c r="P1437">
        <v>29502536284000</v>
      </c>
    </row>
    <row r="1438" spans="1:16">
      <c r="A1438" t="s">
        <v>63</v>
      </c>
      <c r="B1438">
        <v>20260320</v>
      </c>
      <c r="C1438">
        <v>86790</v>
      </c>
      <c r="D1438" t="s">
        <v>64</v>
      </c>
      <c r="E1438" t="s">
        <v>63</v>
      </c>
      <c r="F1438" t="s">
        <v>17</v>
      </c>
      <c r="G1438">
        <v>113200</v>
      </c>
      <c r="H1438">
        <v>0</v>
      </c>
      <c r="I1438">
        <v>0</v>
      </c>
      <c r="J1438">
        <v>112000</v>
      </c>
      <c r="K1438">
        <v>115400</v>
      </c>
      <c r="L1438">
        <v>111900</v>
      </c>
      <c r="M1438">
        <v>2141242</v>
      </c>
      <c r="N1438">
        <v>242921730600</v>
      </c>
      <c r="O1438">
        <v>278325814</v>
      </c>
      <c r="P1438">
        <v>31506482144800</v>
      </c>
    </row>
    <row r="1439" spans="1:16">
      <c r="A1439" t="s">
        <v>63</v>
      </c>
      <c r="B1439">
        <v>20260319</v>
      </c>
      <c r="C1439">
        <v>86790</v>
      </c>
      <c r="D1439" t="s">
        <v>64</v>
      </c>
      <c r="E1439" t="s">
        <v>63</v>
      </c>
      <c r="F1439" t="s">
        <v>17</v>
      </c>
      <c r="G1439">
        <v>113200</v>
      </c>
      <c r="H1439">
        <v>-1300</v>
      </c>
      <c r="I1439">
        <v>-1.1399999999999999</v>
      </c>
      <c r="J1439">
        <v>111100</v>
      </c>
      <c r="K1439">
        <v>115000</v>
      </c>
      <c r="L1439">
        <v>110400</v>
      </c>
      <c r="M1439">
        <v>910182</v>
      </c>
      <c r="N1439">
        <v>102747956450</v>
      </c>
      <c r="O1439">
        <v>278325814</v>
      </c>
      <c r="P1439">
        <v>31506482144800</v>
      </c>
    </row>
    <row r="1440" spans="1:16">
      <c r="A1440" t="s">
        <v>63</v>
      </c>
      <c r="B1440">
        <v>20260318</v>
      </c>
      <c r="C1440">
        <v>86790</v>
      </c>
      <c r="D1440" t="s">
        <v>64</v>
      </c>
      <c r="E1440" t="s">
        <v>63</v>
      </c>
      <c r="F1440" t="s">
        <v>17</v>
      </c>
      <c r="G1440">
        <v>114500</v>
      </c>
      <c r="H1440">
        <v>4600</v>
      </c>
      <c r="I1440">
        <v>4.1900000000000004</v>
      </c>
      <c r="J1440">
        <v>112300</v>
      </c>
      <c r="K1440">
        <v>115400</v>
      </c>
      <c r="L1440">
        <v>111700</v>
      </c>
      <c r="M1440">
        <v>647673</v>
      </c>
      <c r="N1440">
        <v>74026666950</v>
      </c>
      <c r="O1440">
        <v>278325814</v>
      </c>
      <c r="P1440">
        <v>31868305703000</v>
      </c>
    </row>
    <row r="1441" spans="1:16">
      <c r="A1441" t="s">
        <v>63</v>
      </c>
      <c r="B1441">
        <v>20260317</v>
      </c>
      <c r="C1441">
        <v>86790</v>
      </c>
      <c r="D1441" t="s">
        <v>64</v>
      </c>
      <c r="E1441" t="s">
        <v>63</v>
      </c>
      <c r="F1441" t="s">
        <v>17</v>
      </c>
      <c r="G1441">
        <v>109900</v>
      </c>
      <c r="H1441">
        <v>1500</v>
      </c>
      <c r="I1441">
        <v>1.38</v>
      </c>
      <c r="J1441">
        <v>111600</v>
      </c>
      <c r="K1441">
        <v>112400</v>
      </c>
      <c r="L1441">
        <v>109000</v>
      </c>
      <c r="M1441">
        <v>569082</v>
      </c>
      <c r="N1441">
        <v>62675964500</v>
      </c>
      <c r="O1441">
        <v>278325814</v>
      </c>
      <c r="P1441">
        <v>30588006958600</v>
      </c>
    </row>
    <row r="1442" spans="1:16">
      <c r="A1442" t="s">
        <v>63</v>
      </c>
      <c r="B1442">
        <v>20260316</v>
      </c>
      <c r="C1442">
        <v>86790</v>
      </c>
      <c r="D1442" t="s">
        <v>64</v>
      </c>
      <c r="E1442" t="s">
        <v>63</v>
      </c>
      <c r="F1442" t="s">
        <v>17</v>
      </c>
      <c r="G1442">
        <v>108400</v>
      </c>
      <c r="H1442">
        <v>-500</v>
      </c>
      <c r="I1442">
        <v>-0.46</v>
      </c>
      <c r="J1442">
        <v>107000</v>
      </c>
      <c r="K1442">
        <v>110100</v>
      </c>
      <c r="L1442">
        <v>107000</v>
      </c>
      <c r="M1442">
        <v>577858</v>
      </c>
      <c r="N1442">
        <v>62629455950</v>
      </c>
      <c r="O1442">
        <v>278325814</v>
      </c>
      <c r="P1442">
        <v>30170518237600</v>
      </c>
    </row>
    <row r="1443" spans="1:16">
      <c r="A1443" t="s">
        <v>63</v>
      </c>
      <c r="B1443">
        <v>20260313</v>
      </c>
      <c r="C1443">
        <v>86790</v>
      </c>
      <c r="D1443" t="s">
        <v>64</v>
      </c>
      <c r="E1443" t="s">
        <v>63</v>
      </c>
      <c r="F1443" t="s">
        <v>17</v>
      </c>
      <c r="G1443">
        <v>108900</v>
      </c>
      <c r="H1443">
        <v>-3600</v>
      </c>
      <c r="I1443">
        <v>-3.2</v>
      </c>
      <c r="J1443">
        <v>107600</v>
      </c>
      <c r="K1443">
        <v>111200</v>
      </c>
      <c r="L1443">
        <v>107300</v>
      </c>
      <c r="M1443">
        <v>1312788</v>
      </c>
      <c r="N1443">
        <v>142922573000</v>
      </c>
      <c r="O1443">
        <v>278325814</v>
      </c>
      <c r="P1443">
        <v>30309681144600</v>
      </c>
    </row>
    <row r="1444" spans="1:16">
      <c r="A1444" t="s">
        <v>63</v>
      </c>
      <c r="B1444">
        <v>20260312</v>
      </c>
      <c r="C1444">
        <v>86790</v>
      </c>
      <c r="D1444" t="s">
        <v>64</v>
      </c>
      <c r="E1444" t="s">
        <v>63</v>
      </c>
      <c r="F1444" t="s">
        <v>17</v>
      </c>
      <c r="G1444">
        <v>112500</v>
      </c>
      <c r="H1444">
        <v>-900</v>
      </c>
      <c r="I1444">
        <v>-0.79</v>
      </c>
      <c r="J1444">
        <v>112300</v>
      </c>
      <c r="K1444">
        <v>112500</v>
      </c>
      <c r="L1444">
        <v>110100</v>
      </c>
      <c r="M1444">
        <v>737121</v>
      </c>
      <c r="N1444">
        <v>82462721500</v>
      </c>
      <c r="O1444">
        <v>278325814</v>
      </c>
      <c r="P1444">
        <v>31311654075000</v>
      </c>
    </row>
    <row r="1445" spans="1:16">
      <c r="A1445" t="s">
        <v>63</v>
      </c>
      <c r="B1445">
        <v>20260311</v>
      </c>
      <c r="C1445">
        <v>86790</v>
      </c>
      <c r="D1445" t="s">
        <v>64</v>
      </c>
      <c r="E1445" t="s">
        <v>63</v>
      </c>
      <c r="F1445" t="s">
        <v>17</v>
      </c>
      <c r="G1445">
        <v>113400</v>
      </c>
      <c r="H1445">
        <v>3500</v>
      </c>
      <c r="I1445">
        <v>3.18</v>
      </c>
      <c r="J1445">
        <v>114000</v>
      </c>
      <c r="K1445">
        <v>117500</v>
      </c>
      <c r="L1445">
        <v>112600</v>
      </c>
      <c r="M1445">
        <v>750295</v>
      </c>
      <c r="N1445">
        <v>86228759250</v>
      </c>
      <c r="O1445">
        <v>278325814</v>
      </c>
      <c r="P1445">
        <v>31562147307600</v>
      </c>
    </row>
    <row r="1446" spans="1:16">
      <c r="A1446" t="s">
        <v>63</v>
      </c>
      <c r="B1446">
        <v>20260310</v>
      </c>
      <c r="C1446">
        <v>86790</v>
      </c>
      <c r="D1446" t="s">
        <v>64</v>
      </c>
      <c r="E1446" t="s">
        <v>63</v>
      </c>
      <c r="F1446" t="s">
        <v>17</v>
      </c>
      <c r="G1446">
        <v>109900</v>
      </c>
      <c r="H1446">
        <v>2000</v>
      </c>
      <c r="I1446">
        <v>1.85</v>
      </c>
      <c r="J1446">
        <v>112700</v>
      </c>
      <c r="K1446">
        <v>112700</v>
      </c>
      <c r="L1446">
        <v>107200</v>
      </c>
      <c r="M1446">
        <v>624983</v>
      </c>
      <c r="N1446">
        <v>68754073200</v>
      </c>
      <c r="O1446">
        <v>278325814</v>
      </c>
      <c r="P1446">
        <v>30588006958600</v>
      </c>
    </row>
    <row r="1447" spans="1:16">
      <c r="A1447" t="s">
        <v>63</v>
      </c>
      <c r="B1447">
        <v>20260309</v>
      </c>
      <c r="C1447">
        <v>86790</v>
      </c>
      <c r="D1447" t="s">
        <v>64</v>
      </c>
      <c r="E1447" t="s">
        <v>63</v>
      </c>
      <c r="F1447" t="s">
        <v>17</v>
      </c>
      <c r="G1447">
        <v>107900</v>
      </c>
      <c r="H1447">
        <v>-2400</v>
      </c>
      <c r="I1447">
        <v>-2.1800000000000002</v>
      </c>
      <c r="J1447">
        <v>101000</v>
      </c>
      <c r="K1447">
        <v>108000</v>
      </c>
      <c r="L1447">
        <v>100800</v>
      </c>
      <c r="M1447">
        <v>1104013</v>
      </c>
      <c r="N1447">
        <v>116507990100</v>
      </c>
      <c r="O1447">
        <v>278325814</v>
      </c>
      <c r="P1447">
        <v>30031355330600</v>
      </c>
    </row>
    <row r="1448" spans="1:16">
      <c r="A1448" t="s">
        <v>63</v>
      </c>
      <c r="B1448">
        <v>20260306</v>
      </c>
      <c r="C1448">
        <v>86790</v>
      </c>
      <c r="D1448" t="s">
        <v>64</v>
      </c>
      <c r="E1448" t="s">
        <v>63</v>
      </c>
      <c r="F1448" t="s">
        <v>17</v>
      </c>
      <c r="G1448">
        <v>110300</v>
      </c>
      <c r="H1448">
        <v>-900</v>
      </c>
      <c r="I1448">
        <v>-0.81</v>
      </c>
      <c r="J1448">
        <v>106000</v>
      </c>
      <c r="K1448">
        <v>111500</v>
      </c>
      <c r="L1448">
        <v>105700</v>
      </c>
      <c r="M1448">
        <v>1043776</v>
      </c>
      <c r="N1448">
        <v>114240627530</v>
      </c>
      <c r="O1448">
        <v>278325814</v>
      </c>
      <c r="P1448">
        <v>30699337284200</v>
      </c>
    </row>
    <row r="1449" spans="1:16">
      <c r="A1449" t="s">
        <v>63</v>
      </c>
      <c r="B1449">
        <v>20260305</v>
      </c>
      <c r="C1449">
        <v>86790</v>
      </c>
      <c r="D1449" t="s">
        <v>64</v>
      </c>
      <c r="E1449" t="s">
        <v>63</v>
      </c>
      <c r="F1449" t="s">
        <v>17</v>
      </c>
      <c r="G1449">
        <v>111200</v>
      </c>
      <c r="H1449">
        <v>5700</v>
      </c>
      <c r="I1449">
        <v>5.4</v>
      </c>
      <c r="J1449">
        <v>114800</v>
      </c>
      <c r="K1449">
        <v>116400</v>
      </c>
      <c r="L1449">
        <v>109500</v>
      </c>
      <c r="M1449">
        <v>1611752</v>
      </c>
      <c r="N1449">
        <v>180290547285</v>
      </c>
      <c r="O1449">
        <v>278325814</v>
      </c>
      <c r="P1449">
        <v>30949830516800</v>
      </c>
    </row>
    <row r="1450" spans="1:16">
      <c r="A1450" t="s">
        <v>63</v>
      </c>
      <c r="B1450">
        <v>20260304</v>
      </c>
      <c r="C1450">
        <v>86790</v>
      </c>
      <c r="D1450" t="s">
        <v>64</v>
      </c>
      <c r="E1450" t="s">
        <v>63</v>
      </c>
      <c r="F1450" t="s">
        <v>17</v>
      </c>
      <c r="G1450">
        <v>105500</v>
      </c>
      <c r="H1450">
        <v>-14600</v>
      </c>
      <c r="I1450">
        <v>-12.16</v>
      </c>
      <c r="J1450">
        <v>114600</v>
      </c>
      <c r="K1450">
        <v>115500</v>
      </c>
      <c r="L1450">
        <v>103700</v>
      </c>
      <c r="M1450">
        <v>1522733</v>
      </c>
      <c r="N1450">
        <v>166237388500</v>
      </c>
      <c r="O1450">
        <v>278325814</v>
      </c>
      <c r="P1450">
        <v>29363373377000</v>
      </c>
    </row>
    <row r="1451" spans="1:16">
      <c r="A1451" t="s">
        <v>63</v>
      </c>
      <c r="B1451">
        <v>20260303</v>
      </c>
      <c r="C1451">
        <v>86790</v>
      </c>
      <c r="D1451" t="s">
        <v>64</v>
      </c>
      <c r="E1451" t="s">
        <v>63</v>
      </c>
      <c r="F1451" t="s">
        <v>17</v>
      </c>
      <c r="G1451">
        <v>120100</v>
      </c>
      <c r="H1451">
        <v>-1700</v>
      </c>
      <c r="I1451">
        <v>-1.4</v>
      </c>
      <c r="J1451">
        <v>120600</v>
      </c>
      <c r="K1451">
        <v>122900</v>
      </c>
      <c r="L1451">
        <v>119000</v>
      </c>
      <c r="M1451">
        <v>1180014</v>
      </c>
      <c r="N1451">
        <v>142606537200</v>
      </c>
      <c r="O1451">
        <v>278325814</v>
      </c>
      <c r="P1451">
        <v>33426930261400</v>
      </c>
    </row>
    <row r="1452" spans="1:16">
      <c r="A1452" t="s">
        <v>63</v>
      </c>
      <c r="B1452">
        <v>20260227</v>
      </c>
      <c r="C1452">
        <v>86790</v>
      </c>
      <c r="D1452" t="s">
        <v>64</v>
      </c>
      <c r="E1452" t="s">
        <v>63</v>
      </c>
      <c r="F1452" t="s">
        <v>17</v>
      </c>
      <c r="G1452">
        <v>121800</v>
      </c>
      <c r="H1452">
        <v>-3100</v>
      </c>
      <c r="I1452">
        <v>-2.48</v>
      </c>
      <c r="J1452">
        <v>123000</v>
      </c>
      <c r="K1452">
        <v>123200</v>
      </c>
      <c r="L1452">
        <v>120200</v>
      </c>
      <c r="M1452">
        <v>2118851</v>
      </c>
      <c r="N1452">
        <v>257975406650</v>
      </c>
      <c r="O1452">
        <v>278325814</v>
      </c>
      <c r="P1452">
        <v>33900084145200</v>
      </c>
    </row>
    <row r="1453" spans="1:16">
      <c r="A1453" t="s">
        <v>63</v>
      </c>
      <c r="B1453">
        <v>20260226</v>
      </c>
      <c r="C1453">
        <v>86790</v>
      </c>
      <c r="D1453" t="s">
        <v>64</v>
      </c>
      <c r="E1453" t="s">
        <v>63</v>
      </c>
      <c r="F1453" t="s">
        <v>17</v>
      </c>
      <c r="G1453">
        <v>124900</v>
      </c>
      <c r="H1453">
        <v>-1100</v>
      </c>
      <c r="I1453">
        <v>-0.87</v>
      </c>
      <c r="J1453">
        <v>124700</v>
      </c>
      <c r="K1453">
        <v>124900</v>
      </c>
      <c r="L1453">
        <v>122700</v>
      </c>
      <c r="M1453">
        <v>1185709</v>
      </c>
      <c r="N1453">
        <v>147395402900</v>
      </c>
      <c r="O1453">
        <v>278325814</v>
      </c>
      <c r="P1453">
        <v>34762894168600</v>
      </c>
    </row>
    <row r="1454" spans="1:16">
      <c r="A1454" t="s">
        <v>63</v>
      </c>
      <c r="B1454">
        <v>20260225</v>
      </c>
      <c r="C1454">
        <v>86790</v>
      </c>
      <c r="D1454" t="s">
        <v>64</v>
      </c>
      <c r="E1454" t="s">
        <v>63</v>
      </c>
      <c r="F1454" t="s">
        <v>17</v>
      </c>
      <c r="G1454">
        <v>126000</v>
      </c>
      <c r="H1454">
        <v>-100</v>
      </c>
      <c r="I1454">
        <v>-0.08</v>
      </c>
      <c r="J1454">
        <v>125200</v>
      </c>
      <c r="K1454">
        <v>127500</v>
      </c>
      <c r="L1454">
        <v>123900</v>
      </c>
      <c r="M1454">
        <v>898808</v>
      </c>
      <c r="N1454">
        <v>113285910358</v>
      </c>
      <c r="O1454">
        <v>278325814</v>
      </c>
      <c r="P1454">
        <v>35069052564000</v>
      </c>
    </row>
    <row r="1455" spans="1:16">
      <c r="A1455" t="s">
        <v>63</v>
      </c>
      <c r="B1455">
        <v>20260224</v>
      </c>
      <c r="C1455">
        <v>86790</v>
      </c>
      <c r="D1455" t="s">
        <v>64</v>
      </c>
      <c r="E1455" t="s">
        <v>63</v>
      </c>
      <c r="F1455" t="s">
        <v>17</v>
      </c>
      <c r="G1455">
        <v>126100</v>
      </c>
      <c r="H1455">
        <v>-3000</v>
      </c>
      <c r="I1455">
        <v>-2.3199999999999998</v>
      </c>
      <c r="J1455">
        <v>128700</v>
      </c>
      <c r="K1455">
        <v>128900</v>
      </c>
      <c r="L1455">
        <v>123000</v>
      </c>
      <c r="M1455">
        <v>1820877</v>
      </c>
      <c r="N1455">
        <v>229299103250</v>
      </c>
      <c r="O1455">
        <v>278325814</v>
      </c>
      <c r="P1455">
        <v>35096885145400</v>
      </c>
    </row>
    <row r="1456" spans="1:16">
      <c r="A1456" t="s">
        <v>63</v>
      </c>
      <c r="B1456">
        <v>20260223</v>
      </c>
      <c r="C1456">
        <v>86790</v>
      </c>
      <c r="D1456" t="s">
        <v>64</v>
      </c>
      <c r="E1456" t="s">
        <v>63</v>
      </c>
      <c r="F1456" t="s">
        <v>17</v>
      </c>
      <c r="G1456">
        <v>129100</v>
      </c>
      <c r="H1456">
        <v>-2200</v>
      </c>
      <c r="I1456">
        <v>-1.68</v>
      </c>
      <c r="J1456">
        <v>133700</v>
      </c>
      <c r="K1456">
        <v>133700</v>
      </c>
      <c r="L1456">
        <v>128000</v>
      </c>
      <c r="M1456">
        <v>1078747</v>
      </c>
      <c r="N1456">
        <v>139355426150</v>
      </c>
      <c r="O1456">
        <v>278325814</v>
      </c>
      <c r="P1456">
        <v>35931862587400</v>
      </c>
    </row>
    <row r="1457" spans="1:16">
      <c r="A1457" t="s">
        <v>63</v>
      </c>
      <c r="B1457">
        <v>20260220</v>
      </c>
      <c r="C1457">
        <v>86790</v>
      </c>
      <c r="D1457" t="s">
        <v>64</v>
      </c>
      <c r="E1457" t="s">
        <v>63</v>
      </c>
      <c r="F1457" t="s">
        <v>17</v>
      </c>
      <c r="G1457">
        <v>131300</v>
      </c>
      <c r="H1457">
        <v>5000</v>
      </c>
      <c r="I1457">
        <v>3.96</v>
      </c>
      <c r="J1457">
        <v>127400</v>
      </c>
      <c r="K1457">
        <v>131400</v>
      </c>
      <c r="L1457">
        <v>127100</v>
      </c>
      <c r="M1457">
        <v>1186291</v>
      </c>
      <c r="N1457">
        <v>154532944650</v>
      </c>
      <c r="O1457">
        <v>278325814</v>
      </c>
      <c r="P1457">
        <v>36544179378200</v>
      </c>
    </row>
    <row r="1458" spans="1:16">
      <c r="A1458" t="s">
        <v>63</v>
      </c>
      <c r="B1458">
        <v>20260219</v>
      </c>
      <c r="C1458">
        <v>86790</v>
      </c>
      <c r="D1458" t="s">
        <v>64</v>
      </c>
      <c r="E1458" t="s">
        <v>63</v>
      </c>
      <c r="F1458" t="s">
        <v>17</v>
      </c>
      <c r="G1458">
        <v>126300</v>
      </c>
      <c r="H1458">
        <v>-1300</v>
      </c>
      <c r="I1458">
        <v>-1.02</v>
      </c>
      <c r="J1458">
        <v>130700</v>
      </c>
      <c r="K1458">
        <v>130700</v>
      </c>
      <c r="L1458">
        <v>124600</v>
      </c>
      <c r="M1458">
        <v>1462304</v>
      </c>
      <c r="N1458">
        <v>185321655400</v>
      </c>
      <c r="O1458">
        <v>278325814</v>
      </c>
      <c r="P1458">
        <v>35152550308200</v>
      </c>
    </row>
    <row r="1459" spans="1:16">
      <c r="A1459" t="s">
        <v>63</v>
      </c>
      <c r="B1459">
        <v>20260213</v>
      </c>
      <c r="C1459">
        <v>86790</v>
      </c>
      <c r="D1459" t="s">
        <v>64</v>
      </c>
      <c r="E1459" t="s">
        <v>63</v>
      </c>
      <c r="F1459" t="s">
        <v>17</v>
      </c>
      <c r="G1459">
        <v>127600</v>
      </c>
      <c r="H1459">
        <v>-2400</v>
      </c>
      <c r="I1459">
        <v>-1.85</v>
      </c>
      <c r="J1459">
        <v>131500</v>
      </c>
      <c r="K1459">
        <v>132200</v>
      </c>
      <c r="L1459">
        <v>126700</v>
      </c>
      <c r="M1459">
        <v>1276025</v>
      </c>
      <c r="N1459">
        <v>164737947600</v>
      </c>
      <c r="O1459">
        <v>278325814</v>
      </c>
      <c r="P1459">
        <v>35514373866400</v>
      </c>
    </row>
    <row r="1460" spans="1:16">
      <c r="A1460" t="s">
        <v>63</v>
      </c>
      <c r="B1460">
        <v>20260212</v>
      </c>
      <c r="C1460">
        <v>86790</v>
      </c>
      <c r="D1460" t="s">
        <v>64</v>
      </c>
      <c r="E1460" t="s">
        <v>63</v>
      </c>
      <c r="F1460" t="s">
        <v>17</v>
      </c>
      <c r="G1460">
        <v>130000</v>
      </c>
      <c r="H1460">
        <v>4200</v>
      </c>
      <c r="I1460">
        <v>3.34</v>
      </c>
      <c r="J1460">
        <v>127700</v>
      </c>
      <c r="K1460">
        <v>130000</v>
      </c>
      <c r="L1460">
        <v>126000</v>
      </c>
      <c r="M1460">
        <v>1229004</v>
      </c>
      <c r="N1460">
        <v>157986200550</v>
      </c>
      <c r="O1460">
        <v>278325814</v>
      </c>
      <c r="P1460">
        <v>36182355820000</v>
      </c>
    </row>
    <row r="1461" spans="1:16">
      <c r="A1461" t="s">
        <v>63</v>
      </c>
      <c r="B1461">
        <v>20260211</v>
      </c>
      <c r="C1461">
        <v>86790</v>
      </c>
      <c r="D1461" t="s">
        <v>64</v>
      </c>
      <c r="E1461" t="s">
        <v>63</v>
      </c>
      <c r="F1461" t="s">
        <v>17</v>
      </c>
      <c r="G1461">
        <v>125800</v>
      </c>
      <c r="H1461">
        <v>3600</v>
      </c>
      <c r="I1461">
        <v>2.95</v>
      </c>
      <c r="J1461">
        <v>121500</v>
      </c>
      <c r="K1461">
        <v>127800</v>
      </c>
      <c r="L1461">
        <v>121500</v>
      </c>
      <c r="M1461">
        <v>1263932</v>
      </c>
      <c r="N1461">
        <v>159188345600</v>
      </c>
      <c r="O1461">
        <v>278325814</v>
      </c>
      <c r="P1461">
        <v>35013387401200</v>
      </c>
    </row>
    <row r="1462" spans="1:16">
      <c r="A1462" t="s">
        <v>63</v>
      </c>
      <c r="B1462">
        <v>20260210</v>
      </c>
      <c r="C1462">
        <v>86790</v>
      </c>
      <c r="D1462" t="s">
        <v>64</v>
      </c>
      <c r="E1462" t="s">
        <v>63</v>
      </c>
      <c r="F1462" t="s">
        <v>17</v>
      </c>
      <c r="G1462">
        <v>122200</v>
      </c>
      <c r="H1462">
        <v>3400</v>
      </c>
      <c r="I1462">
        <v>2.86</v>
      </c>
      <c r="J1462">
        <v>124700</v>
      </c>
      <c r="K1462">
        <v>126800</v>
      </c>
      <c r="L1462">
        <v>120500</v>
      </c>
      <c r="M1462">
        <v>1056956</v>
      </c>
      <c r="N1462">
        <v>130625464100</v>
      </c>
      <c r="O1462">
        <v>278325814</v>
      </c>
      <c r="P1462">
        <v>34011414470800</v>
      </c>
    </row>
    <row r="1463" spans="1:16">
      <c r="A1463" t="s">
        <v>63</v>
      </c>
      <c r="B1463">
        <v>20260209</v>
      </c>
      <c r="C1463">
        <v>86790</v>
      </c>
      <c r="D1463" t="s">
        <v>64</v>
      </c>
      <c r="E1463" t="s">
        <v>63</v>
      </c>
      <c r="F1463" t="s">
        <v>17</v>
      </c>
      <c r="G1463">
        <v>118800</v>
      </c>
      <c r="H1463">
        <v>4200</v>
      </c>
      <c r="I1463">
        <v>3.66</v>
      </c>
      <c r="J1463">
        <v>119400</v>
      </c>
      <c r="K1463">
        <v>120900</v>
      </c>
      <c r="L1463">
        <v>117400</v>
      </c>
      <c r="M1463">
        <v>948117</v>
      </c>
      <c r="N1463">
        <v>112826897550</v>
      </c>
      <c r="O1463">
        <v>278325814</v>
      </c>
      <c r="P1463">
        <v>33065106703200</v>
      </c>
    </row>
    <row r="1464" spans="1:16">
      <c r="A1464" t="s">
        <v>63</v>
      </c>
      <c r="B1464">
        <v>20260206</v>
      </c>
      <c r="C1464">
        <v>86790</v>
      </c>
      <c r="D1464" t="s">
        <v>64</v>
      </c>
      <c r="E1464" t="s">
        <v>63</v>
      </c>
      <c r="F1464" t="s">
        <v>17</v>
      </c>
      <c r="G1464">
        <v>114600</v>
      </c>
      <c r="H1464">
        <v>500</v>
      </c>
      <c r="I1464">
        <v>0.44</v>
      </c>
      <c r="J1464">
        <v>113000</v>
      </c>
      <c r="K1464">
        <v>115000</v>
      </c>
      <c r="L1464">
        <v>108800</v>
      </c>
      <c r="M1464">
        <v>1300038</v>
      </c>
      <c r="N1464">
        <v>147115901650</v>
      </c>
      <c r="O1464">
        <v>278325814</v>
      </c>
      <c r="P1464">
        <v>31896138284400</v>
      </c>
    </row>
    <row r="1465" spans="1:16">
      <c r="A1465" t="s">
        <v>63</v>
      </c>
      <c r="B1465">
        <v>20260205</v>
      </c>
      <c r="C1465">
        <v>86790</v>
      </c>
      <c r="D1465" t="s">
        <v>64</v>
      </c>
      <c r="E1465" t="s">
        <v>63</v>
      </c>
      <c r="F1465" t="s">
        <v>17</v>
      </c>
      <c r="G1465">
        <v>114100</v>
      </c>
      <c r="H1465">
        <v>1600</v>
      </c>
      <c r="I1465">
        <v>1.42</v>
      </c>
      <c r="J1465">
        <v>112500</v>
      </c>
      <c r="K1465">
        <v>115600</v>
      </c>
      <c r="L1465">
        <v>112400</v>
      </c>
      <c r="M1465">
        <v>989958</v>
      </c>
      <c r="N1465">
        <v>112838718200</v>
      </c>
      <c r="O1465">
        <v>278325814</v>
      </c>
      <c r="P1465">
        <v>31756975377400</v>
      </c>
    </row>
    <row r="1466" spans="1:16">
      <c r="A1466" t="s">
        <v>63</v>
      </c>
      <c r="B1466">
        <v>20260204</v>
      </c>
      <c r="C1466">
        <v>86790</v>
      </c>
      <c r="D1466" t="s">
        <v>64</v>
      </c>
      <c r="E1466" t="s">
        <v>63</v>
      </c>
      <c r="F1466" t="s">
        <v>17</v>
      </c>
      <c r="G1466">
        <v>112500</v>
      </c>
      <c r="H1466">
        <v>2300</v>
      </c>
      <c r="I1466">
        <v>2.09</v>
      </c>
      <c r="J1466">
        <v>111900</v>
      </c>
      <c r="K1466">
        <v>114400</v>
      </c>
      <c r="L1466">
        <v>110000</v>
      </c>
      <c r="M1466">
        <v>954897</v>
      </c>
      <c r="N1466">
        <v>107499109450</v>
      </c>
      <c r="O1466">
        <v>278325814</v>
      </c>
      <c r="P1466">
        <v>31311654075000</v>
      </c>
    </row>
    <row r="1467" spans="1:16">
      <c r="A1467" t="s">
        <v>63</v>
      </c>
      <c r="B1467">
        <v>20260203</v>
      </c>
      <c r="C1467">
        <v>86790</v>
      </c>
      <c r="D1467" t="s">
        <v>64</v>
      </c>
      <c r="E1467" t="s">
        <v>63</v>
      </c>
      <c r="F1467" t="s">
        <v>17</v>
      </c>
      <c r="G1467">
        <v>110200</v>
      </c>
      <c r="H1467">
        <v>6900</v>
      </c>
      <c r="I1467">
        <v>6.68</v>
      </c>
      <c r="J1467">
        <v>105800</v>
      </c>
      <c r="K1467">
        <v>110700</v>
      </c>
      <c r="L1467">
        <v>105600</v>
      </c>
      <c r="M1467">
        <v>1046446</v>
      </c>
      <c r="N1467">
        <v>114448910164</v>
      </c>
      <c r="O1467">
        <v>278325814</v>
      </c>
      <c r="P1467">
        <v>30671504702800</v>
      </c>
    </row>
    <row r="1468" spans="1:16">
      <c r="A1468" t="s">
        <v>63</v>
      </c>
      <c r="B1468">
        <v>20260202</v>
      </c>
      <c r="C1468">
        <v>86790</v>
      </c>
      <c r="D1468" t="s">
        <v>64</v>
      </c>
      <c r="E1468" t="s">
        <v>63</v>
      </c>
      <c r="F1468" t="s">
        <v>17</v>
      </c>
      <c r="G1468">
        <v>103300</v>
      </c>
      <c r="H1468">
        <v>3200</v>
      </c>
      <c r="I1468">
        <v>3.2</v>
      </c>
      <c r="J1468">
        <v>101800</v>
      </c>
      <c r="K1468">
        <v>108100</v>
      </c>
      <c r="L1468">
        <v>100800</v>
      </c>
      <c r="M1468">
        <v>1438624</v>
      </c>
      <c r="N1468">
        <v>149718989550</v>
      </c>
      <c r="O1468">
        <v>278325814</v>
      </c>
      <c r="P1468">
        <v>28751056586200</v>
      </c>
    </row>
    <row r="1469" spans="1:16">
      <c r="A1469" t="s">
        <v>63</v>
      </c>
      <c r="B1469">
        <v>20260130</v>
      </c>
      <c r="C1469">
        <v>86790</v>
      </c>
      <c r="D1469" t="s">
        <v>64</v>
      </c>
      <c r="E1469" t="s">
        <v>63</v>
      </c>
      <c r="F1469" t="s">
        <v>17</v>
      </c>
      <c r="G1469">
        <v>100100</v>
      </c>
      <c r="H1469">
        <v>-3500</v>
      </c>
      <c r="I1469">
        <v>-3.38</v>
      </c>
      <c r="J1469">
        <v>102500</v>
      </c>
      <c r="K1469">
        <v>104100</v>
      </c>
      <c r="L1469">
        <v>100000</v>
      </c>
      <c r="M1469">
        <v>1080221</v>
      </c>
      <c r="N1469">
        <v>109702269700</v>
      </c>
      <c r="O1469">
        <v>278325814</v>
      </c>
      <c r="P1469">
        <v>27860413981400</v>
      </c>
    </row>
    <row r="1470" spans="1:16">
      <c r="A1470" t="s">
        <v>63</v>
      </c>
      <c r="B1470">
        <v>20260129</v>
      </c>
      <c r="C1470">
        <v>86790</v>
      </c>
      <c r="D1470" t="s">
        <v>64</v>
      </c>
      <c r="E1470" t="s">
        <v>63</v>
      </c>
      <c r="F1470" t="s">
        <v>17</v>
      </c>
      <c r="G1470">
        <v>103600</v>
      </c>
      <c r="H1470">
        <v>900</v>
      </c>
      <c r="I1470">
        <v>0.88</v>
      </c>
      <c r="J1470">
        <v>102500</v>
      </c>
      <c r="K1470">
        <v>104400</v>
      </c>
      <c r="L1470">
        <v>100900</v>
      </c>
      <c r="M1470">
        <v>791695</v>
      </c>
      <c r="N1470">
        <v>81629322650</v>
      </c>
      <c r="O1470">
        <v>278325814</v>
      </c>
      <c r="P1470">
        <v>28834554330400</v>
      </c>
    </row>
    <row r="1471" spans="1:16">
      <c r="A1471" t="s">
        <v>63</v>
      </c>
      <c r="B1471">
        <v>20260128</v>
      </c>
      <c r="C1471">
        <v>86790</v>
      </c>
      <c r="D1471" t="s">
        <v>64</v>
      </c>
      <c r="E1471" t="s">
        <v>63</v>
      </c>
      <c r="F1471" t="s">
        <v>17</v>
      </c>
      <c r="G1471">
        <v>102700</v>
      </c>
      <c r="H1471">
        <v>-2300</v>
      </c>
      <c r="I1471">
        <v>-2.19</v>
      </c>
      <c r="J1471">
        <v>105300</v>
      </c>
      <c r="K1471">
        <v>106700</v>
      </c>
      <c r="L1471">
        <v>102500</v>
      </c>
      <c r="M1471">
        <v>792325</v>
      </c>
      <c r="N1471">
        <v>82112180100</v>
      </c>
      <c r="O1471">
        <v>278325814</v>
      </c>
      <c r="P1471">
        <v>28584061097800</v>
      </c>
    </row>
    <row r="1472" spans="1:16">
      <c r="A1472" t="s">
        <v>63</v>
      </c>
      <c r="B1472">
        <v>20260127</v>
      </c>
      <c r="C1472">
        <v>86790</v>
      </c>
      <c r="D1472" t="s">
        <v>64</v>
      </c>
      <c r="E1472" t="s">
        <v>63</v>
      </c>
      <c r="F1472" t="s">
        <v>17</v>
      </c>
      <c r="G1472">
        <v>105000</v>
      </c>
      <c r="H1472">
        <v>3800</v>
      </c>
      <c r="I1472">
        <v>3.75</v>
      </c>
      <c r="J1472">
        <v>102500</v>
      </c>
      <c r="K1472">
        <v>105800</v>
      </c>
      <c r="L1472">
        <v>99500</v>
      </c>
      <c r="M1472">
        <v>782743</v>
      </c>
      <c r="N1472">
        <v>81945211350</v>
      </c>
      <c r="O1472">
        <v>278325814</v>
      </c>
      <c r="P1472">
        <v>29224210470000</v>
      </c>
    </row>
    <row r="1473" spans="1:16">
      <c r="A1473" t="s">
        <v>63</v>
      </c>
      <c r="B1473">
        <v>20260126</v>
      </c>
      <c r="C1473">
        <v>86790</v>
      </c>
      <c r="D1473" t="s">
        <v>64</v>
      </c>
      <c r="E1473" t="s">
        <v>63</v>
      </c>
      <c r="F1473" t="s">
        <v>17</v>
      </c>
      <c r="G1473">
        <v>101200</v>
      </c>
      <c r="H1473">
        <v>100</v>
      </c>
      <c r="I1473">
        <v>0.1</v>
      </c>
      <c r="J1473">
        <v>100600</v>
      </c>
      <c r="K1473">
        <v>102600</v>
      </c>
      <c r="L1473">
        <v>100500</v>
      </c>
      <c r="M1473">
        <v>531425</v>
      </c>
      <c r="N1473">
        <v>54112526750</v>
      </c>
      <c r="O1473">
        <v>278325814</v>
      </c>
      <c r="P1473">
        <v>28166572376800</v>
      </c>
    </row>
    <row r="1474" spans="1:16">
      <c r="A1474" t="s">
        <v>63</v>
      </c>
      <c r="B1474">
        <v>20260123</v>
      </c>
      <c r="C1474">
        <v>86790</v>
      </c>
      <c r="D1474" t="s">
        <v>64</v>
      </c>
      <c r="E1474" t="s">
        <v>63</v>
      </c>
      <c r="F1474" t="s">
        <v>17</v>
      </c>
      <c r="G1474">
        <v>101100</v>
      </c>
      <c r="H1474">
        <v>600</v>
      </c>
      <c r="I1474">
        <v>0.6</v>
      </c>
      <c r="J1474">
        <v>100900</v>
      </c>
      <c r="K1474">
        <v>102300</v>
      </c>
      <c r="L1474">
        <v>99600</v>
      </c>
      <c r="M1474">
        <v>679042</v>
      </c>
      <c r="N1474">
        <v>68529168550</v>
      </c>
      <c r="O1474">
        <v>278325814</v>
      </c>
      <c r="P1474">
        <v>28138739795400</v>
      </c>
    </row>
    <row r="1475" spans="1:16">
      <c r="A1475" t="s">
        <v>63</v>
      </c>
      <c r="B1475">
        <v>20260122</v>
      </c>
      <c r="C1475">
        <v>86790</v>
      </c>
      <c r="D1475" t="s">
        <v>64</v>
      </c>
      <c r="E1475" t="s">
        <v>63</v>
      </c>
      <c r="F1475" t="s">
        <v>17</v>
      </c>
      <c r="G1475">
        <v>100500</v>
      </c>
      <c r="H1475">
        <v>700</v>
      </c>
      <c r="I1475">
        <v>0.7</v>
      </c>
      <c r="J1475">
        <v>99200</v>
      </c>
      <c r="K1475">
        <v>101500</v>
      </c>
      <c r="L1475">
        <v>98900</v>
      </c>
      <c r="M1475">
        <v>791371</v>
      </c>
      <c r="N1475">
        <v>79304117150</v>
      </c>
      <c r="O1475">
        <v>278325814</v>
      </c>
      <c r="P1475">
        <v>27971744307000</v>
      </c>
    </row>
    <row r="1476" spans="1:16">
      <c r="A1476" t="s">
        <v>63</v>
      </c>
      <c r="B1476">
        <v>20260121</v>
      </c>
      <c r="C1476">
        <v>86790</v>
      </c>
      <c r="D1476" t="s">
        <v>64</v>
      </c>
      <c r="E1476" t="s">
        <v>63</v>
      </c>
      <c r="F1476" t="s">
        <v>17</v>
      </c>
      <c r="G1476">
        <v>99800</v>
      </c>
      <c r="H1476">
        <v>-500</v>
      </c>
      <c r="I1476">
        <v>-0.5</v>
      </c>
      <c r="J1476">
        <v>100000</v>
      </c>
      <c r="K1476">
        <v>100400</v>
      </c>
      <c r="L1476">
        <v>97400</v>
      </c>
      <c r="M1476">
        <v>774880</v>
      </c>
      <c r="N1476">
        <v>76893533050</v>
      </c>
      <c r="O1476">
        <v>278325814</v>
      </c>
      <c r="P1476">
        <v>27776916237200</v>
      </c>
    </row>
    <row r="1477" spans="1:16">
      <c r="A1477" t="s">
        <v>63</v>
      </c>
      <c r="B1477">
        <v>20260120</v>
      </c>
      <c r="C1477">
        <v>86790</v>
      </c>
      <c r="D1477" t="s">
        <v>64</v>
      </c>
      <c r="E1477" t="s">
        <v>63</v>
      </c>
      <c r="F1477" t="s">
        <v>17</v>
      </c>
      <c r="G1477">
        <v>100300</v>
      </c>
      <c r="H1477">
        <v>4100</v>
      </c>
      <c r="I1477">
        <v>4.26</v>
      </c>
      <c r="J1477">
        <v>96000</v>
      </c>
      <c r="K1477">
        <v>101000</v>
      </c>
      <c r="L1477">
        <v>95500</v>
      </c>
      <c r="M1477">
        <v>979281</v>
      </c>
      <c r="N1477">
        <v>97490529550</v>
      </c>
      <c r="O1477">
        <v>278325814</v>
      </c>
      <c r="P1477">
        <v>27916079144200</v>
      </c>
    </row>
    <row r="1478" spans="1:16">
      <c r="A1478" t="s">
        <v>63</v>
      </c>
      <c r="B1478">
        <v>20260119</v>
      </c>
      <c r="C1478">
        <v>86790</v>
      </c>
      <c r="D1478" t="s">
        <v>64</v>
      </c>
      <c r="E1478" t="s">
        <v>63</v>
      </c>
      <c r="F1478" t="s">
        <v>17</v>
      </c>
      <c r="G1478">
        <v>96200</v>
      </c>
      <c r="H1478">
        <v>-200</v>
      </c>
      <c r="I1478">
        <v>-0.21</v>
      </c>
      <c r="J1478">
        <v>95600</v>
      </c>
      <c r="K1478">
        <v>96900</v>
      </c>
      <c r="L1478">
        <v>95300</v>
      </c>
      <c r="M1478">
        <v>609250</v>
      </c>
      <c r="N1478">
        <v>58713319000</v>
      </c>
      <c r="O1478">
        <v>278325814</v>
      </c>
      <c r="P1478">
        <v>26774943306800</v>
      </c>
    </row>
    <row r="1479" spans="1:16">
      <c r="A1479" t="s">
        <v>63</v>
      </c>
      <c r="B1479">
        <v>20260116</v>
      </c>
      <c r="C1479">
        <v>86790</v>
      </c>
      <c r="D1479" t="s">
        <v>64</v>
      </c>
      <c r="E1479" t="s">
        <v>63</v>
      </c>
      <c r="F1479" t="s">
        <v>17</v>
      </c>
      <c r="G1479">
        <v>96400</v>
      </c>
      <c r="H1479">
        <v>200</v>
      </c>
      <c r="I1479">
        <v>0.21</v>
      </c>
      <c r="J1479">
        <v>97000</v>
      </c>
      <c r="K1479">
        <v>97000</v>
      </c>
      <c r="L1479">
        <v>95800</v>
      </c>
      <c r="M1479">
        <v>673843</v>
      </c>
      <c r="N1479">
        <v>64983592850</v>
      </c>
      <c r="O1479">
        <v>278325814</v>
      </c>
      <c r="P1479">
        <v>26830608469600</v>
      </c>
    </row>
    <row r="1480" spans="1:16">
      <c r="A1480" t="s">
        <v>63</v>
      </c>
      <c r="B1480">
        <v>20260115</v>
      </c>
      <c r="C1480">
        <v>86790</v>
      </c>
      <c r="D1480" t="s">
        <v>64</v>
      </c>
      <c r="E1480" t="s">
        <v>63</v>
      </c>
      <c r="F1480" t="s">
        <v>17</v>
      </c>
      <c r="G1480">
        <v>96200</v>
      </c>
      <c r="H1480">
        <v>100</v>
      </c>
      <c r="I1480">
        <v>0.1</v>
      </c>
      <c r="J1480">
        <v>95800</v>
      </c>
      <c r="K1480">
        <v>97400</v>
      </c>
      <c r="L1480">
        <v>95500</v>
      </c>
      <c r="M1480">
        <v>696589</v>
      </c>
      <c r="N1480">
        <v>66928039049</v>
      </c>
      <c r="O1480">
        <v>278325814</v>
      </c>
      <c r="P1480">
        <v>26774943306800</v>
      </c>
    </row>
    <row r="1481" spans="1:16">
      <c r="A1481" t="s">
        <v>63</v>
      </c>
      <c r="B1481">
        <v>20260114</v>
      </c>
      <c r="C1481">
        <v>86790</v>
      </c>
      <c r="D1481" t="s">
        <v>64</v>
      </c>
      <c r="E1481" t="s">
        <v>63</v>
      </c>
      <c r="F1481" t="s">
        <v>17</v>
      </c>
      <c r="G1481">
        <v>96100</v>
      </c>
      <c r="H1481">
        <v>1800</v>
      </c>
      <c r="I1481">
        <v>1.91</v>
      </c>
      <c r="J1481">
        <v>93600</v>
      </c>
      <c r="K1481">
        <v>96200</v>
      </c>
      <c r="L1481">
        <v>93300</v>
      </c>
      <c r="M1481">
        <v>727166</v>
      </c>
      <c r="N1481">
        <v>69293546800</v>
      </c>
      <c r="O1481">
        <v>278325814</v>
      </c>
      <c r="P1481">
        <v>26747110725400</v>
      </c>
    </row>
    <row r="1482" spans="1:16">
      <c r="A1482" t="s">
        <v>63</v>
      </c>
      <c r="B1482">
        <v>20260113</v>
      </c>
      <c r="C1482">
        <v>86790</v>
      </c>
      <c r="D1482" t="s">
        <v>64</v>
      </c>
      <c r="E1482" t="s">
        <v>63</v>
      </c>
      <c r="F1482" t="s">
        <v>17</v>
      </c>
      <c r="G1482">
        <v>94300</v>
      </c>
      <c r="H1482">
        <v>300</v>
      </c>
      <c r="I1482">
        <v>0.32</v>
      </c>
      <c r="J1482">
        <v>94300</v>
      </c>
      <c r="K1482">
        <v>94500</v>
      </c>
      <c r="L1482">
        <v>92900</v>
      </c>
      <c r="M1482">
        <v>586515</v>
      </c>
      <c r="N1482">
        <v>54933732000</v>
      </c>
      <c r="O1482">
        <v>278325814</v>
      </c>
      <c r="P1482">
        <v>26246124260200</v>
      </c>
    </row>
    <row r="1483" spans="1:16">
      <c r="A1483" t="s">
        <v>63</v>
      </c>
      <c r="B1483">
        <v>20260112</v>
      </c>
      <c r="C1483">
        <v>86790</v>
      </c>
      <c r="D1483" t="s">
        <v>64</v>
      </c>
      <c r="E1483" t="s">
        <v>63</v>
      </c>
      <c r="F1483" t="s">
        <v>17</v>
      </c>
      <c r="G1483">
        <v>94000</v>
      </c>
      <c r="H1483">
        <v>1100</v>
      </c>
      <c r="I1483">
        <v>1.18</v>
      </c>
      <c r="J1483">
        <v>93200</v>
      </c>
      <c r="K1483">
        <v>94100</v>
      </c>
      <c r="L1483">
        <v>92700</v>
      </c>
      <c r="M1483">
        <v>530012</v>
      </c>
      <c r="N1483">
        <v>49511152350</v>
      </c>
      <c r="O1483">
        <v>278325814</v>
      </c>
      <c r="P1483">
        <v>26162626516000</v>
      </c>
    </row>
    <row r="1484" spans="1:16">
      <c r="A1484" t="s">
        <v>63</v>
      </c>
      <c r="B1484">
        <v>20260109</v>
      </c>
      <c r="C1484">
        <v>86790</v>
      </c>
      <c r="D1484" t="s">
        <v>64</v>
      </c>
      <c r="E1484" t="s">
        <v>63</v>
      </c>
      <c r="F1484" t="s">
        <v>17</v>
      </c>
      <c r="G1484">
        <v>92900</v>
      </c>
      <c r="H1484">
        <v>1000</v>
      </c>
      <c r="I1484">
        <v>1.0900000000000001</v>
      </c>
      <c r="J1484">
        <v>92700</v>
      </c>
      <c r="K1484">
        <v>93500</v>
      </c>
      <c r="L1484">
        <v>92000</v>
      </c>
      <c r="M1484">
        <v>605466</v>
      </c>
      <c r="N1484">
        <v>56271428850</v>
      </c>
      <c r="O1484">
        <v>278325814</v>
      </c>
      <c r="P1484">
        <v>25856468120600</v>
      </c>
    </row>
    <row r="1485" spans="1:16">
      <c r="A1485" t="s">
        <v>63</v>
      </c>
      <c r="B1485">
        <v>20260108</v>
      </c>
      <c r="C1485">
        <v>86790</v>
      </c>
      <c r="D1485" t="s">
        <v>64</v>
      </c>
      <c r="E1485" t="s">
        <v>63</v>
      </c>
      <c r="F1485" t="s">
        <v>17</v>
      </c>
      <c r="G1485">
        <v>91900</v>
      </c>
      <c r="H1485">
        <v>-1600</v>
      </c>
      <c r="I1485">
        <v>-1.71</v>
      </c>
      <c r="J1485">
        <v>93300</v>
      </c>
      <c r="K1485">
        <v>93500</v>
      </c>
      <c r="L1485">
        <v>91700</v>
      </c>
      <c r="M1485">
        <v>752786</v>
      </c>
      <c r="N1485">
        <v>69485933750</v>
      </c>
      <c r="O1485">
        <v>278325814</v>
      </c>
      <c r="P1485">
        <v>25578142306600</v>
      </c>
    </row>
    <row r="1486" spans="1:16">
      <c r="A1486" t="s">
        <v>63</v>
      </c>
      <c r="B1486">
        <v>20260107</v>
      </c>
      <c r="C1486">
        <v>86790</v>
      </c>
      <c r="D1486" t="s">
        <v>64</v>
      </c>
      <c r="E1486" t="s">
        <v>63</v>
      </c>
      <c r="F1486" t="s">
        <v>17</v>
      </c>
      <c r="G1486">
        <v>93500</v>
      </c>
      <c r="H1486">
        <v>-1400</v>
      </c>
      <c r="I1486">
        <v>-1.48</v>
      </c>
      <c r="J1486">
        <v>93800</v>
      </c>
      <c r="K1486">
        <v>95000</v>
      </c>
      <c r="L1486">
        <v>92700</v>
      </c>
      <c r="M1486">
        <v>742387</v>
      </c>
      <c r="N1486">
        <v>69517002050</v>
      </c>
      <c r="O1486">
        <v>278325814</v>
      </c>
      <c r="P1486">
        <v>26023463609000</v>
      </c>
    </row>
    <row r="1487" spans="1:16">
      <c r="A1487" t="s">
        <v>63</v>
      </c>
      <c r="B1487">
        <v>20260106</v>
      </c>
      <c r="C1487">
        <v>86790</v>
      </c>
      <c r="D1487" t="s">
        <v>64</v>
      </c>
      <c r="E1487" t="s">
        <v>63</v>
      </c>
      <c r="F1487" t="s">
        <v>17</v>
      </c>
      <c r="G1487">
        <v>94900</v>
      </c>
      <c r="H1487">
        <v>800</v>
      </c>
      <c r="I1487">
        <v>0.85</v>
      </c>
      <c r="J1487">
        <v>94400</v>
      </c>
      <c r="K1487">
        <v>95300</v>
      </c>
      <c r="L1487">
        <v>93700</v>
      </c>
      <c r="M1487">
        <v>754818</v>
      </c>
      <c r="N1487">
        <v>71521064050</v>
      </c>
      <c r="O1487">
        <v>278325814</v>
      </c>
      <c r="P1487">
        <v>26413119748600</v>
      </c>
    </row>
    <row r="1488" spans="1:16">
      <c r="A1488" t="s">
        <v>63</v>
      </c>
      <c r="B1488">
        <v>20260105</v>
      </c>
      <c r="C1488">
        <v>86790</v>
      </c>
      <c r="D1488" t="s">
        <v>64</v>
      </c>
      <c r="E1488" t="s">
        <v>63</v>
      </c>
      <c r="F1488" t="s">
        <v>17</v>
      </c>
      <c r="G1488">
        <v>94100</v>
      </c>
      <c r="H1488">
        <v>700</v>
      </c>
      <c r="I1488">
        <v>0.75</v>
      </c>
      <c r="J1488">
        <v>93000</v>
      </c>
      <c r="K1488">
        <v>95600</v>
      </c>
      <c r="L1488">
        <v>92800</v>
      </c>
      <c r="M1488">
        <v>595748</v>
      </c>
      <c r="N1488">
        <v>56075382650</v>
      </c>
      <c r="O1488">
        <v>278325814</v>
      </c>
      <c r="P1488">
        <v>26190459097400</v>
      </c>
    </row>
    <row r="1489" spans="1:16">
      <c r="A1489" t="s">
        <v>63</v>
      </c>
      <c r="B1489">
        <v>20260102</v>
      </c>
      <c r="C1489">
        <v>86790</v>
      </c>
      <c r="D1489" t="s">
        <v>64</v>
      </c>
      <c r="E1489" t="s">
        <v>63</v>
      </c>
      <c r="F1489" t="s">
        <v>17</v>
      </c>
      <c r="G1489">
        <v>93400</v>
      </c>
      <c r="H1489">
        <v>-700</v>
      </c>
      <c r="I1489">
        <v>-0.74</v>
      </c>
      <c r="J1489">
        <v>93200</v>
      </c>
      <c r="K1489">
        <v>93800</v>
      </c>
      <c r="L1489">
        <v>92100</v>
      </c>
      <c r="M1489">
        <v>470548</v>
      </c>
      <c r="N1489">
        <v>43765082550</v>
      </c>
      <c r="O1489">
        <v>278325814</v>
      </c>
      <c r="P1489">
        <v>25995631027600</v>
      </c>
    </row>
    <row r="1490" spans="1:16">
      <c r="A1490" t="s">
        <v>65</v>
      </c>
      <c r="B1490">
        <v>20260403</v>
      </c>
      <c r="C1490">
        <v>5490</v>
      </c>
      <c r="D1490" t="s">
        <v>66</v>
      </c>
      <c r="E1490" t="s">
        <v>65</v>
      </c>
      <c r="F1490" t="s">
        <v>17</v>
      </c>
      <c r="G1490">
        <v>347500</v>
      </c>
      <c r="H1490">
        <v>6500</v>
      </c>
      <c r="I1490">
        <v>1.91</v>
      </c>
      <c r="J1490">
        <v>349500</v>
      </c>
      <c r="K1490">
        <v>362000</v>
      </c>
      <c r="L1490">
        <v>346750</v>
      </c>
      <c r="M1490">
        <v>351485</v>
      </c>
      <c r="N1490">
        <v>123947012750</v>
      </c>
      <c r="O1490">
        <v>80932952</v>
      </c>
      <c r="P1490">
        <v>28124200820000</v>
      </c>
    </row>
    <row r="1491" spans="1:16">
      <c r="A1491" t="s">
        <v>65</v>
      </c>
      <c r="B1491">
        <v>20260402</v>
      </c>
      <c r="C1491">
        <v>5490</v>
      </c>
      <c r="D1491" t="s">
        <v>66</v>
      </c>
      <c r="E1491" t="s">
        <v>65</v>
      </c>
      <c r="F1491" t="s">
        <v>17</v>
      </c>
      <c r="G1491">
        <v>341000</v>
      </c>
      <c r="H1491">
        <v>-5000</v>
      </c>
      <c r="I1491">
        <v>-1.45</v>
      </c>
      <c r="J1491">
        <v>350000</v>
      </c>
      <c r="K1491">
        <v>362000</v>
      </c>
      <c r="L1491">
        <v>337000</v>
      </c>
      <c r="M1491">
        <v>585197</v>
      </c>
      <c r="N1491">
        <v>203594728750</v>
      </c>
      <c r="O1491">
        <v>80932952</v>
      </c>
      <c r="P1491">
        <v>27598136632000</v>
      </c>
    </row>
    <row r="1492" spans="1:16">
      <c r="A1492" t="s">
        <v>65</v>
      </c>
      <c r="B1492">
        <v>20260401</v>
      </c>
      <c r="C1492">
        <v>5490</v>
      </c>
      <c r="D1492" t="s">
        <v>66</v>
      </c>
      <c r="E1492" t="s">
        <v>65</v>
      </c>
      <c r="F1492" t="s">
        <v>17</v>
      </c>
      <c r="G1492">
        <v>346000</v>
      </c>
      <c r="H1492">
        <v>13500</v>
      </c>
      <c r="I1492">
        <v>4.0599999999999996</v>
      </c>
      <c r="J1492">
        <v>344500</v>
      </c>
      <c r="K1492">
        <v>348000</v>
      </c>
      <c r="L1492">
        <v>339000</v>
      </c>
      <c r="M1492">
        <v>357348</v>
      </c>
      <c r="N1492">
        <v>122769863000</v>
      </c>
      <c r="O1492">
        <v>80932952</v>
      </c>
      <c r="P1492">
        <v>28002801392000</v>
      </c>
    </row>
    <row r="1493" spans="1:16">
      <c r="A1493" t="s">
        <v>65</v>
      </c>
      <c r="B1493">
        <v>20260331</v>
      </c>
      <c r="C1493">
        <v>5490</v>
      </c>
      <c r="D1493" t="s">
        <v>66</v>
      </c>
      <c r="E1493" t="s">
        <v>65</v>
      </c>
      <c r="F1493" t="s">
        <v>17</v>
      </c>
      <c r="G1493">
        <v>332500</v>
      </c>
      <c r="H1493">
        <v>-10500</v>
      </c>
      <c r="I1493">
        <v>-3.06</v>
      </c>
      <c r="J1493">
        <v>342000</v>
      </c>
      <c r="K1493">
        <v>343000</v>
      </c>
      <c r="L1493">
        <v>332000</v>
      </c>
      <c r="M1493">
        <v>390060</v>
      </c>
      <c r="N1493">
        <v>130956221500</v>
      </c>
      <c r="O1493">
        <v>80932952</v>
      </c>
      <c r="P1493">
        <v>26910206540000</v>
      </c>
    </row>
    <row r="1494" spans="1:16">
      <c r="A1494" t="s">
        <v>65</v>
      </c>
      <c r="B1494">
        <v>20260330</v>
      </c>
      <c r="C1494">
        <v>5490</v>
      </c>
      <c r="D1494" t="s">
        <v>66</v>
      </c>
      <c r="E1494" t="s">
        <v>65</v>
      </c>
      <c r="F1494" t="s">
        <v>17</v>
      </c>
      <c r="G1494">
        <v>343000</v>
      </c>
      <c r="H1494">
        <v>0</v>
      </c>
      <c r="I1494">
        <v>0</v>
      </c>
      <c r="J1494">
        <v>330000</v>
      </c>
      <c r="K1494">
        <v>344500</v>
      </c>
      <c r="L1494">
        <v>329000</v>
      </c>
      <c r="M1494">
        <v>295337</v>
      </c>
      <c r="N1494">
        <v>100532141750</v>
      </c>
      <c r="O1494">
        <v>80932952</v>
      </c>
      <c r="P1494">
        <v>27760002536000</v>
      </c>
    </row>
    <row r="1495" spans="1:16">
      <c r="A1495" t="s">
        <v>65</v>
      </c>
      <c r="B1495">
        <v>20260327</v>
      </c>
      <c r="C1495">
        <v>5490</v>
      </c>
      <c r="D1495" t="s">
        <v>66</v>
      </c>
      <c r="E1495" t="s">
        <v>65</v>
      </c>
      <c r="F1495" t="s">
        <v>17</v>
      </c>
      <c r="G1495">
        <v>343000</v>
      </c>
      <c r="H1495">
        <v>500</v>
      </c>
      <c r="I1495">
        <v>0.15</v>
      </c>
      <c r="J1495">
        <v>335500</v>
      </c>
      <c r="K1495">
        <v>343000</v>
      </c>
      <c r="L1495">
        <v>327000</v>
      </c>
      <c r="M1495">
        <v>276285</v>
      </c>
      <c r="N1495">
        <v>92752660500</v>
      </c>
      <c r="O1495">
        <v>80932952</v>
      </c>
      <c r="P1495">
        <v>27760002536000</v>
      </c>
    </row>
    <row r="1496" spans="1:16">
      <c r="A1496" t="s">
        <v>65</v>
      </c>
      <c r="B1496">
        <v>20260326</v>
      </c>
      <c r="C1496">
        <v>5490</v>
      </c>
      <c r="D1496" t="s">
        <v>66</v>
      </c>
      <c r="E1496" t="s">
        <v>65</v>
      </c>
      <c r="F1496" t="s">
        <v>17</v>
      </c>
      <c r="G1496">
        <v>342500</v>
      </c>
      <c r="H1496">
        <v>500</v>
      </c>
      <c r="I1496">
        <v>0.15</v>
      </c>
      <c r="J1496">
        <v>345000</v>
      </c>
      <c r="K1496">
        <v>351000</v>
      </c>
      <c r="L1496">
        <v>340500</v>
      </c>
      <c r="M1496">
        <v>258690</v>
      </c>
      <c r="N1496">
        <v>89281707500</v>
      </c>
      <c r="O1496">
        <v>80932952</v>
      </c>
      <c r="P1496">
        <v>27719536060000</v>
      </c>
    </row>
    <row r="1497" spans="1:16">
      <c r="A1497" t="s">
        <v>65</v>
      </c>
      <c r="B1497">
        <v>20260325</v>
      </c>
      <c r="C1497">
        <v>5490</v>
      </c>
      <c r="D1497" t="s">
        <v>66</v>
      </c>
      <c r="E1497" t="s">
        <v>65</v>
      </c>
      <c r="F1497" t="s">
        <v>17</v>
      </c>
      <c r="G1497">
        <v>342000</v>
      </c>
      <c r="H1497">
        <v>2500</v>
      </c>
      <c r="I1497">
        <v>0.74</v>
      </c>
      <c r="J1497">
        <v>343500</v>
      </c>
      <c r="K1497">
        <v>345000</v>
      </c>
      <c r="L1497">
        <v>338500</v>
      </c>
      <c r="M1497">
        <v>252184</v>
      </c>
      <c r="N1497">
        <v>86272601250</v>
      </c>
      <c r="O1497">
        <v>80932952</v>
      </c>
      <c r="P1497">
        <v>27679069584000</v>
      </c>
    </row>
    <row r="1498" spans="1:16">
      <c r="A1498" t="s">
        <v>65</v>
      </c>
      <c r="B1498">
        <v>20260324</v>
      </c>
      <c r="C1498">
        <v>5490</v>
      </c>
      <c r="D1498" t="s">
        <v>66</v>
      </c>
      <c r="E1498" t="s">
        <v>65</v>
      </c>
      <c r="F1498" t="s">
        <v>17</v>
      </c>
      <c r="G1498">
        <v>339500</v>
      </c>
      <c r="H1498">
        <v>14500</v>
      </c>
      <c r="I1498">
        <v>4.46</v>
      </c>
      <c r="J1498">
        <v>336500</v>
      </c>
      <c r="K1498">
        <v>339500</v>
      </c>
      <c r="L1498">
        <v>328500</v>
      </c>
      <c r="M1498">
        <v>296420</v>
      </c>
      <c r="N1498">
        <v>99632742000</v>
      </c>
      <c r="O1498">
        <v>80932952</v>
      </c>
      <c r="P1498">
        <v>27476737204000</v>
      </c>
    </row>
    <row r="1499" spans="1:16">
      <c r="A1499" t="s">
        <v>65</v>
      </c>
      <c r="B1499">
        <v>20260323</v>
      </c>
      <c r="C1499">
        <v>5490</v>
      </c>
      <c r="D1499" t="s">
        <v>66</v>
      </c>
      <c r="E1499" t="s">
        <v>65</v>
      </c>
      <c r="F1499" t="s">
        <v>17</v>
      </c>
      <c r="G1499">
        <v>325000</v>
      </c>
      <c r="H1499">
        <v>-18500</v>
      </c>
      <c r="I1499">
        <v>-5.39</v>
      </c>
      <c r="J1499">
        <v>333000</v>
      </c>
      <c r="K1499">
        <v>340000</v>
      </c>
      <c r="L1499">
        <v>325000</v>
      </c>
      <c r="M1499">
        <v>445916</v>
      </c>
      <c r="N1499">
        <v>146882711750</v>
      </c>
      <c r="O1499">
        <v>80932952</v>
      </c>
      <c r="P1499">
        <v>26303209400000</v>
      </c>
    </row>
    <row r="1500" spans="1:16">
      <c r="A1500" t="s">
        <v>65</v>
      </c>
      <c r="B1500">
        <v>20260320</v>
      </c>
      <c r="C1500">
        <v>5490</v>
      </c>
      <c r="D1500" t="s">
        <v>66</v>
      </c>
      <c r="E1500" t="s">
        <v>65</v>
      </c>
      <c r="F1500" t="s">
        <v>17</v>
      </c>
      <c r="G1500">
        <v>343500</v>
      </c>
      <c r="H1500">
        <v>5500</v>
      </c>
      <c r="I1500">
        <v>1.63</v>
      </c>
      <c r="J1500">
        <v>341000</v>
      </c>
      <c r="K1500">
        <v>343500</v>
      </c>
      <c r="L1500">
        <v>338500</v>
      </c>
      <c r="M1500">
        <v>462448</v>
      </c>
      <c r="N1500">
        <v>158386451750</v>
      </c>
      <c r="O1500">
        <v>80932952</v>
      </c>
      <c r="P1500">
        <v>27800469012000</v>
      </c>
    </row>
    <row r="1501" spans="1:16">
      <c r="A1501" t="s">
        <v>65</v>
      </c>
      <c r="B1501">
        <v>20260319</v>
      </c>
      <c r="C1501">
        <v>5490</v>
      </c>
      <c r="D1501" t="s">
        <v>66</v>
      </c>
      <c r="E1501" t="s">
        <v>65</v>
      </c>
      <c r="F1501" t="s">
        <v>17</v>
      </c>
      <c r="G1501">
        <v>338000</v>
      </c>
      <c r="H1501">
        <v>-11500</v>
      </c>
      <c r="I1501">
        <v>-3.29</v>
      </c>
      <c r="J1501">
        <v>339500</v>
      </c>
      <c r="K1501">
        <v>342000</v>
      </c>
      <c r="L1501">
        <v>336500</v>
      </c>
      <c r="M1501">
        <v>339117</v>
      </c>
      <c r="N1501">
        <v>114839637750</v>
      </c>
      <c r="O1501">
        <v>80932952</v>
      </c>
      <c r="P1501">
        <v>27355337776000</v>
      </c>
    </row>
    <row r="1502" spans="1:16">
      <c r="A1502" t="s">
        <v>65</v>
      </c>
      <c r="B1502">
        <v>20260318</v>
      </c>
      <c r="C1502">
        <v>5490</v>
      </c>
      <c r="D1502" t="s">
        <v>66</v>
      </c>
      <c r="E1502" t="s">
        <v>65</v>
      </c>
      <c r="F1502" t="s">
        <v>17</v>
      </c>
      <c r="G1502">
        <v>349500</v>
      </c>
      <c r="H1502">
        <v>7000</v>
      </c>
      <c r="I1502">
        <v>2.04</v>
      </c>
      <c r="J1502">
        <v>348500</v>
      </c>
      <c r="K1502">
        <v>352750</v>
      </c>
      <c r="L1502">
        <v>346000</v>
      </c>
      <c r="M1502">
        <v>242341</v>
      </c>
      <c r="N1502">
        <v>84673603000</v>
      </c>
      <c r="O1502">
        <v>80932952</v>
      </c>
      <c r="P1502">
        <v>28286066724000</v>
      </c>
    </row>
    <row r="1503" spans="1:16">
      <c r="A1503" t="s">
        <v>65</v>
      </c>
      <c r="B1503">
        <v>20260317</v>
      </c>
      <c r="C1503">
        <v>5490</v>
      </c>
      <c r="D1503" t="s">
        <v>66</v>
      </c>
      <c r="E1503" t="s">
        <v>65</v>
      </c>
      <c r="F1503" t="s">
        <v>17</v>
      </c>
      <c r="G1503">
        <v>342500</v>
      </c>
      <c r="H1503">
        <v>9000</v>
      </c>
      <c r="I1503">
        <v>2.7</v>
      </c>
      <c r="J1503">
        <v>341000</v>
      </c>
      <c r="K1503">
        <v>346500</v>
      </c>
      <c r="L1503">
        <v>340500</v>
      </c>
      <c r="M1503">
        <v>201085</v>
      </c>
      <c r="N1503">
        <v>69005880500</v>
      </c>
      <c r="O1503">
        <v>80932952</v>
      </c>
      <c r="P1503">
        <v>27719536060000</v>
      </c>
    </row>
    <row r="1504" spans="1:16">
      <c r="A1504" t="s">
        <v>65</v>
      </c>
      <c r="B1504">
        <v>20260316</v>
      </c>
      <c r="C1504">
        <v>5490</v>
      </c>
      <c r="D1504" t="s">
        <v>66</v>
      </c>
      <c r="E1504" t="s">
        <v>65</v>
      </c>
      <c r="F1504" t="s">
        <v>17</v>
      </c>
      <c r="G1504">
        <v>333500</v>
      </c>
      <c r="H1504">
        <v>-3500</v>
      </c>
      <c r="I1504">
        <v>-1.04</v>
      </c>
      <c r="J1504">
        <v>337000</v>
      </c>
      <c r="K1504">
        <v>339500</v>
      </c>
      <c r="L1504">
        <v>332500</v>
      </c>
      <c r="M1504">
        <v>237017</v>
      </c>
      <c r="N1504">
        <v>79526198750</v>
      </c>
      <c r="O1504">
        <v>80932952</v>
      </c>
      <c r="P1504">
        <v>26991139492000</v>
      </c>
    </row>
    <row r="1505" spans="1:16">
      <c r="A1505" t="s">
        <v>65</v>
      </c>
      <c r="B1505">
        <v>20260313</v>
      </c>
      <c r="C1505">
        <v>5490</v>
      </c>
      <c r="D1505" t="s">
        <v>66</v>
      </c>
      <c r="E1505" t="s">
        <v>65</v>
      </c>
      <c r="F1505" t="s">
        <v>17</v>
      </c>
      <c r="G1505">
        <v>337000</v>
      </c>
      <c r="H1505">
        <v>-10500</v>
      </c>
      <c r="I1505">
        <v>-3.02</v>
      </c>
      <c r="J1505">
        <v>336500</v>
      </c>
      <c r="K1505">
        <v>343500</v>
      </c>
      <c r="L1505">
        <v>335000</v>
      </c>
      <c r="M1505">
        <v>304728</v>
      </c>
      <c r="N1505">
        <v>103072616750</v>
      </c>
      <c r="O1505">
        <v>80932952</v>
      </c>
      <c r="P1505">
        <v>27274404824000</v>
      </c>
    </row>
    <row r="1506" spans="1:16">
      <c r="A1506" t="s">
        <v>65</v>
      </c>
      <c r="B1506">
        <v>20260312</v>
      </c>
      <c r="C1506">
        <v>5490</v>
      </c>
      <c r="D1506" t="s">
        <v>66</v>
      </c>
      <c r="E1506" t="s">
        <v>65</v>
      </c>
      <c r="F1506" t="s">
        <v>17</v>
      </c>
      <c r="G1506">
        <v>347500</v>
      </c>
      <c r="H1506">
        <v>2500</v>
      </c>
      <c r="I1506">
        <v>0.72</v>
      </c>
      <c r="J1506">
        <v>342000</v>
      </c>
      <c r="K1506">
        <v>351000</v>
      </c>
      <c r="L1506">
        <v>342000</v>
      </c>
      <c r="M1506">
        <v>270855</v>
      </c>
      <c r="N1506">
        <v>94147812250</v>
      </c>
      <c r="O1506">
        <v>80932952</v>
      </c>
      <c r="P1506">
        <v>28124200820000</v>
      </c>
    </row>
    <row r="1507" spans="1:16">
      <c r="A1507" t="s">
        <v>65</v>
      </c>
      <c r="B1507">
        <v>20260311</v>
      </c>
      <c r="C1507">
        <v>5490</v>
      </c>
      <c r="D1507" t="s">
        <v>66</v>
      </c>
      <c r="E1507" t="s">
        <v>65</v>
      </c>
      <c r="F1507" t="s">
        <v>17</v>
      </c>
      <c r="G1507">
        <v>345000</v>
      </c>
      <c r="H1507">
        <v>1500</v>
      </c>
      <c r="I1507">
        <v>0.44</v>
      </c>
      <c r="J1507">
        <v>349500</v>
      </c>
      <c r="K1507">
        <v>355000</v>
      </c>
      <c r="L1507">
        <v>342000</v>
      </c>
      <c r="M1507">
        <v>302616</v>
      </c>
      <c r="N1507">
        <v>105941076250</v>
      </c>
      <c r="O1507">
        <v>80932952</v>
      </c>
      <c r="P1507">
        <v>27921868440000</v>
      </c>
    </row>
    <row r="1508" spans="1:16">
      <c r="A1508" t="s">
        <v>65</v>
      </c>
      <c r="B1508">
        <v>20260310</v>
      </c>
      <c r="C1508">
        <v>5490</v>
      </c>
      <c r="D1508" t="s">
        <v>66</v>
      </c>
      <c r="E1508" t="s">
        <v>65</v>
      </c>
      <c r="F1508" t="s">
        <v>17</v>
      </c>
      <c r="G1508">
        <v>343500</v>
      </c>
      <c r="H1508">
        <v>7500</v>
      </c>
      <c r="I1508">
        <v>2.23</v>
      </c>
      <c r="J1508">
        <v>351500</v>
      </c>
      <c r="K1508">
        <v>351500</v>
      </c>
      <c r="L1508">
        <v>337000</v>
      </c>
      <c r="M1508">
        <v>367031</v>
      </c>
      <c r="N1508">
        <v>126549215750</v>
      </c>
      <c r="O1508">
        <v>80932952</v>
      </c>
      <c r="P1508">
        <v>27800469012000</v>
      </c>
    </row>
    <row r="1509" spans="1:16">
      <c r="A1509" t="s">
        <v>65</v>
      </c>
      <c r="B1509">
        <v>20260309</v>
      </c>
      <c r="C1509">
        <v>5490</v>
      </c>
      <c r="D1509" t="s">
        <v>66</v>
      </c>
      <c r="E1509" t="s">
        <v>65</v>
      </c>
      <c r="F1509" t="s">
        <v>17</v>
      </c>
      <c r="G1509">
        <v>336000</v>
      </c>
      <c r="H1509">
        <v>-17500</v>
      </c>
      <c r="I1509">
        <v>-4.95</v>
      </c>
      <c r="J1509">
        <v>331500</v>
      </c>
      <c r="K1509">
        <v>338500</v>
      </c>
      <c r="L1509">
        <v>324500</v>
      </c>
      <c r="M1509">
        <v>461460</v>
      </c>
      <c r="N1509">
        <v>152786690500</v>
      </c>
      <c r="O1509">
        <v>80932952</v>
      </c>
      <c r="P1509">
        <v>27193471872000</v>
      </c>
    </row>
    <row r="1510" spans="1:16">
      <c r="A1510" t="s">
        <v>65</v>
      </c>
      <c r="B1510">
        <v>20260306</v>
      </c>
      <c r="C1510">
        <v>5490</v>
      </c>
      <c r="D1510" t="s">
        <v>66</v>
      </c>
      <c r="E1510" t="s">
        <v>65</v>
      </c>
      <c r="F1510" t="s">
        <v>17</v>
      </c>
      <c r="G1510">
        <v>353500</v>
      </c>
      <c r="H1510">
        <v>7000</v>
      </c>
      <c r="I1510">
        <v>2.02</v>
      </c>
      <c r="J1510">
        <v>340000</v>
      </c>
      <c r="K1510">
        <v>357500</v>
      </c>
      <c r="L1510">
        <v>337500</v>
      </c>
      <c r="M1510">
        <v>513149</v>
      </c>
      <c r="N1510">
        <v>178804724000</v>
      </c>
      <c r="O1510">
        <v>80932952</v>
      </c>
      <c r="P1510">
        <v>28609798532000</v>
      </c>
    </row>
    <row r="1511" spans="1:16">
      <c r="A1511" t="s">
        <v>65</v>
      </c>
      <c r="B1511">
        <v>20260305</v>
      </c>
      <c r="C1511">
        <v>5490</v>
      </c>
      <c r="D1511" t="s">
        <v>66</v>
      </c>
      <c r="E1511" t="s">
        <v>65</v>
      </c>
      <c r="F1511" t="s">
        <v>17</v>
      </c>
      <c r="G1511">
        <v>346500</v>
      </c>
      <c r="H1511">
        <v>25000</v>
      </c>
      <c r="I1511">
        <v>7.78</v>
      </c>
      <c r="J1511">
        <v>350500</v>
      </c>
      <c r="K1511">
        <v>355000</v>
      </c>
      <c r="L1511">
        <v>340500</v>
      </c>
      <c r="M1511">
        <v>684573</v>
      </c>
      <c r="N1511">
        <v>238484274250</v>
      </c>
      <c r="O1511">
        <v>80932952</v>
      </c>
      <c r="P1511">
        <v>28043267868000</v>
      </c>
    </row>
    <row r="1512" spans="1:16">
      <c r="A1512" t="s">
        <v>65</v>
      </c>
      <c r="B1512">
        <v>20260304</v>
      </c>
      <c r="C1512">
        <v>5490</v>
      </c>
      <c r="D1512" t="s">
        <v>66</v>
      </c>
      <c r="E1512" t="s">
        <v>65</v>
      </c>
      <c r="F1512" t="s">
        <v>17</v>
      </c>
      <c r="G1512">
        <v>321500</v>
      </c>
      <c r="H1512">
        <v>-53000</v>
      </c>
      <c r="I1512">
        <v>-14.15</v>
      </c>
      <c r="J1512">
        <v>356500</v>
      </c>
      <c r="K1512">
        <v>362500</v>
      </c>
      <c r="L1512">
        <v>318000</v>
      </c>
      <c r="M1512">
        <v>1237021</v>
      </c>
      <c r="N1512">
        <v>417476756500</v>
      </c>
      <c r="O1512">
        <v>80932952</v>
      </c>
      <c r="P1512">
        <v>26019944068000</v>
      </c>
    </row>
    <row r="1513" spans="1:16">
      <c r="A1513" t="s">
        <v>65</v>
      </c>
      <c r="B1513">
        <v>20260303</v>
      </c>
      <c r="C1513">
        <v>5490</v>
      </c>
      <c r="D1513" t="s">
        <v>66</v>
      </c>
      <c r="E1513" t="s">
        <v>65</v>
      </c>
      <c r="F1513" t="s">
        <v>17</v>
      </c>
      <c r="G1513">
        <v>374500</v>
      </c>
      <c r="H1513">
        <v>-38500</v>
      </c>
      <c r="I1513">
        <v>-9.32</v>
      </c>
      <c r="J1513">
        <v>403000</v>
      </c>
      <c r="K1513">
        <v>404000</v>
      </c>
      <c r="L1513">
        <v>373000</v>
      </c>
      <c r="M1513">
        <v>842427</v>
      </c>
      <c r="N1513">
        <v>328127295750</v>
      </c>
      <c r="O1513">
        <v>80932952</v>
      </c>
      <c r="P1513">
        <v>30309390524000</v>
      </c>
    </row>
    <row r="1514" spans="1:16">
      <c r="A1514" t="s">
        <v>65</v>
      </c>
      <c r="B1514">
        <v>20260227</v>
      </c>
      <c r="C1514">
        <v>5490</v>
      </c>
      <c r="D1514" t="s">
        <v>66</v>
      </c>
      <c r="E1514" t="s">
        <v>65</v>
      </c>
      <c r="F1514" t="s">
        <v>17</v>
      </c>
      <c r="G1514">
        <v>413000</v>
      </c>
      <c r="H1514">
        <v>5500</v>
      </c>
      <c r="I1514">
        <v>1.35</v>
      </c>
      <c r="J1514">
        <v>401000</v>
      </c>
      <c r="K1514">
        <v>427500</v>
      </c>
      <c r="L1514">
        <v>398500</v>
      </c>
      <c r="M1514">
        <v>819645</v>
      </c>
      <c r="N1514">
        <v>338494887500</v>
      </c>
      <c r="O1514">
        <v>80932952</v>
      </c>
      <c r="P1514">
        <v>33425309176000</v>
      </c>
    </row>
    <row r="1515" spans="1:16">
      <c r="A1515" t="s">
        <v>65</v>
      </c>
      <c r="B1515">
        <v>20260226</v>
      </c>
      <c r="C1515">
        <v>5490</v>
      </c>
      <c r="D1515" t="s">
        <v>66</v>
      </c>
      <c r="E1515" t="s">
        <v>65</v>
      </c>
      <c r="F1515" t="s">
        <v>17</v>
      </c>
      <c r="G1515">
        <v>407500</v>
      </c>
      <c r="H1515">
        <v>1000</v>
      </c>
      <c r="I1515">
        <v>0.25</v>
      </c>
      <c r="J1515">
        <v>417500</v>
      </c>
      <c r="K1515">
        <v>423000</v>
      </c>
      <c r="L1515">
        <v>402500</v>
      </c>
      <c r="M1515">
        <v>740144</v>
      </c>
      <c r="N1515">
        <v>302917924000</v>
      </c>
      <c r="O1515">
        <v>80932952</v>
      </c>
      <c r="P1515">
        <v>32980177940000</v>
      </c>
    </row>
    <row r="1516" spans="1:16">
      <c r="A1516" t="s">
        <v>65</v>
      </c>
      <c r="B1516">
        <v>20260225</v>
      </c>
      <c r="C1516">
        <v>5490</v>
      </c>
      <c r="D1516" t="s">
        <v>66</v>
      </c>
      <c r="E1516" t="s">
        <v>65</v>
      </c>
      <c r="F1516" t="s">
        <v>17</v>
      </c>
      <c r="G1516">
        <v>406500</v>
      </c>
      <c r="H1516">
        <v>7000</v>
      </c>
      <c r="I1516">
        <v>1.75</v>
      </c>
      <c r="J1516">
        <v>401000</v>
      </c>
      <c r="K1516">
        <v>410500</v>
      </c>
      <c r="L1516">
        <v>395000</v>
      </c>
      <c r="M1516">
        <v>558243</v>
      </c>
      <c r="N1516">
        <v>225295245750</v>
      </c>
      <c r="O1516">
        <v>80932952</v>
      </c>
      <c r="P1516">
        <v>32899244988000</v>
      </c>
    </row>
    <row r="1517" spans="1:16">
      <c r="A1517" t="s">
        <v>65</v>
      </c>
      <c r="B1517">
        <v>20260224</v>
      </c>
      <c r="C1517">
        <v>5490</v>
      </c>
      <c r="D1517" t="s">
        <v>66</v>
      </c>
      <c r="E1517" t="s">
        <v>65</v>
      </c>
      <c r="F1517" t="s">
        <v>17</v>
      </c>
      <c r="G1517">
        <v>399500</v>
      </c>
      <c r="H1517">
        <v>11500</v>
      </c>
      <c r="I1517">
        <v>2.96</v>
      </c>
      <c r="J1517">
        <v>390500</v>
      </c>
      <c r="K1517">
        <v>402500</v>
      </c>
      <c r="L1517">
        <v>388000</v>
      </c>
      <c r="M1517">
        <v>557616</v>
      </c>
      <c r="N1517">
        <v>221521888250</v>
      </c>
      <c r="O1517">
        <v>80932952</v>
      </c>
      <c r="P1517">
        <v>32332714324000</v>
      </c>
    </row>
    <row r="1518" spans="1:16">
      <c r="A1518" t="s">
        <v>65</v>
      </c>
      <c r="B1518">
        <v>20260223</v>
      </c>
      <c r="C1518">
        <v>5490</v>
      </c>
      <c r="D1518" t="s">
        <v>66</v>
      </c>
      <c r="E1518" t="s">
        <v>65</v>
      </c>
      <c r="F1518" t="s">
        <v>17</v>
      </c>
      <c r="G1518">
        <v>388000</v>
      </c>
      <c r="H1518">
        <v>-6000</v>
      </c>
      <c r="I1518">
        <v>-1.52</v>
      </c>
      <c r="J1518">
        <v>400500</v>
      </c>
      <c r="K1518">
        <v>400500</v>
      </c>
      <c r="L1518">
        <v>386000</v>
      </c>
      <c r="M1518">
        <v>477046</v>
      </c>
      <c r="N1518">
        <v>186392479000</v>
      </c>
      <c r="O1518">
        <v>80932952</v>
      </c>
      <c r="P1518">
        <v>31401985376000</v>
      </c>
    </row>
    <row r="1519" spans="1:16">
      <c r="A1519" t="s">
        <v>65</v>
      </c>
      <c r="B1519">
        <v>20260220</v>
      </c>
      <c r="C1519">
        <v>5490</v>
      </c>
      <c r="D1519" t="s">
        <v>66</v>
      </c>
      <c r="E1519" t="s">
        <v>65</v>
      </c>
      <c r="F1519" t="s">
        <v>17</v>
      </c>
      <c r="G1519">
        <v>394000</v>
      </c>
      <c r="H1519">
        <v>5000</v>
      </c>
      <c r="I1519">
        <v>1.29</v>
      </c>
      <c r="J1519">
        <v>392500</v>
      </c>
      <c r="K1519">
        <v>398500</v>
      </c>
      <c r="L1519">
        <v>387000</v>
      </c>
      <c r="M1519">
        <v>461741</v>
      </c>
      <c r="N1519">
        <v>181666383250</v>
      </c>
      <c r="O1519">
        <v>80932952</v>
      </c>
      <c r="P1519">
        <v>31887583088000</v>
      </c>
    </row>
    <row r="1520" spans="1:16">
      <c r="A1520" t="s">
        <v>65</v>
      </c>
      <c r="B1520">
        <v>20260219</v>
      </c>
      <c r="C1520">
        <v>5490</v>
      </c>
      <c r="D1520" t="s">
        <v>66</v>
      </c>
      <c r="E1520" t="s">
        <v>65</v>
      </c>
      <c r="F1520" t="s">
        <v>17</v>
      </c>
      <c r="G1520">
        <v>389000</v>
      </c>
      <c r="H1520">
        <v>13500</v>
      </c>
      <c r="I1520">
        <v>3.6</v>
      </c>
      <c r="J1520">
        <v>385500</v>
      </c>
      <c r="K1520">
        <v>393500</v>
      </c>
      <c r="L1520">
        <v>383000</v>
      </c>
      <c r="M1520">
        <v>444013</v>
      </c>
      <c r="N1520">
        <v>172963136000</v>
      </c>
      <c r="O1520">
        <v>80932952</v>
      </c>
      <c r="P1520">
        <v>31482918328000</v>
      </c>
    </row>
    <row r="1521" spans="1:16">
      <c r="A1521" t="s">
        <v>65</v>
      </c>
      <c r="B1521">
        <v>20260213</v>
      </c>
      <c r="C1521">
        <v>5490</v>
      </c>
      <c r="D1521" t="s">
        <v>66</v>
      </c>
      <c r="E1521" t="s">
        <v>65</v>
      </c>
      <c r="F1521" t="s">
        <v>17</v>
      </c>
      <c r="G1521">
        <v>375500</v>
      </c>
      <c r="H1521">
        <v>-7500</v>
      </c>
      <c r="I1521">
        <v>-1.96</v>
      </c>
      <c r="J1521">
        <v>379000</v>
      </c>
      <c r="K1521">
        <v>385000</v>
      </c>
      <c r="L1521">
        <v>375000</v>
      </c>
      <c r="M1521">
        <v>497388</v>
      </c>
      <c r="N1521">
        <v>188127768000</v>
      </c>
      <c r="O1521">
        <v>80932952</v>
      </c>
      <c r="P1521">
        <v>30390323476000</v>
      </c>
    </row>
    <row r="1522" spans="1:16">
      <c r="A1522" t="s">
        <v>65</v>
      </c>
      <c r="B1522">
        <v>20260212</v>
      </c>
      <c r="C1522">
        <v>5490</v>
      </c>
      <c r="D1522" t="s">
        <v>66</v>
      </c>
      <c r="E1522" t="s">
        <v>65</v>
      </c>
      <c r="F1522" t="s">
        <v>17</v>
      </c>
      <c r="G1522">
        <v>383000</v>
      </c>
      <c r="H1522">
        <v>11000</v>
      </c>
      <c r="I1522">
        <v>2.96</v>
      </c>
      <c r="J1522">
        <v>377000</v>
      </c>
      <c r="K1522">
        <v>396000</v>
      </c>
      <c r="L1522">
        <v>374500</v>
      </c>
      <c r="M1522">
        <v>1513690</v>
      </c>
      <c r="N1522">
        <v>585526389500</v>
      </c>
      <c r="O1522">
        <v>80932952</v>
      </c>
      <c r="P1522">
        <v>30997320616000</v>
      </c>
    </row>
    <row r="1523" spans="1:16">
      <c r="A1523" t="s">
        <v>65</v>
      </c>
      <c r="B1523">
        <v>20260211</v>
      </c>
      <c r="C1523">
        <v>5490</v>
      </c>
      <c r="D1523" t="s">
        <v>66</v>
      </c>
      <c r="E1523" t="s">
        <v>65</v>
      </c>
      <c r="F1523" t="s">
        <v>17</v>
      </c>
      <c r="G1523">
        <v>372000</v>
      </c>
      <c r="H1523">
        <v>1000</v>
      </c>
      <c r="I1523">
        <v>0.27</v>
      </c>
      <c r="J1523">
        <v>371000</v>
      </c>
      <c r="K1523">
        <v>373000</v>
      </c>
      <c r="L1523">
        <v>365000</v>
      </c>
      <c r="M1523">
        <v>399686</v>
      </c>
      <c r="N1523">
        <v>148037780500</v>
      </c>
      <c r="O1523">
        <v>80932952</v>
      </c>
      <c r="P1523">
        <v>30107058144000</v>
      </c>
    </row>
    <row r="1524" spans="1:16">
      <c r="A1524" t="s">
        <v>65</v>
      </c>
      <c r="B1524">
        <v>20260210</v>
      </c>
      <c r="C1524">
        <v>5490</v>
      </c>
      <c r="D1524" t="s">
        <v>66</v>
      </c>
      <c r="E1524" t="s">
        <v>65</v>
      </c>
      <c r="F1524" t="s">
        <v>17</v>
      </c>
      <c r="G1524">
        <v>371000</v>
      </c>
      <c r="H1524">
        <v>7500</v>
      </c>
      <c r="I1524">
        <v>2.06</v>
      </c>
      <c r="J1524">
        <v>365000</v>
      </c>
      <c r="K1524">
        <v>375000</v>
      </c>
      <c r="L1524">
        <v>363000</v>
      </c>
      <c r="M1524">
        <v>567078</v>
      </c>
      <c r="N1524">
        <v>209097025500</v>
      </c>
      <c r="O1524">
        <v>80932952</v>
      </c>
      <c r="P1524">
        <v>30026125192000</v>
      </c>
    </row>
    <row r="1525" spans="1:16">
      <c r="A1525" t="s">
        <v>65</v>
      </c>
      <c r="B1525">
        <v>20260209</v>
      </c>
      <c r="C1525">
        <v>5490</v>
      </c>
      <c r="D1525" t="s">
        <v>66</v>
      </c>
      <c r="E1525" t="s">
        <v>65</v>
      </c>
      <c r="F1525" t="s">
        <v>17</v>
      </c>
      <c r="G1525">
        <v>363500</v>
      </c>
      <c r="H1525">
        <v>4000</v>
      </c>
      <c r="I1525">
        <v>1.1100000000000001</v>
      </c>
      <c r="J1525">
        <v>369500</v>
      </c>
      <c r="K1525">
        <v>370000</v>
      </c>
      <c r="L1525">
        <v>359500</v>
      </c>
      <c r="M1525">
        <v>449546</v>
      </c>
      <c r="N1525">
        <v>163473489500</v>
      </c>
      <c r="O1525">
        <v>80932952</v>
      </c>
      <c r="P1525">
        <v>29419128052000</v>
      </c>
    </row>
    <row r="1526" spans="1:16">
      <c r="A1526" t="s">
        <v>65</v>
      </c>
      <c r="B1526">
        <v>20260206</v>
      </c>
      <c r="C1526">
        <v>5490</v>
      </c>
      <c r="D1526" t="s">
        <v>66</v>
      </c>
      <c r="E1526" t="s">
        <v>65</v>
      </c>
      <c r="F1526" t="s">
        <v>17</v>
      </c>
      <c r="G1526">
        <v>359500</v>
      </c>
      <c r="H1526">
        <v>-7500</v>
      </c>
      <c r="I1526">
        <v>-2.04</v>
      </c>
      <c r="J1526">
        <v>356500</v>
      </c>
      <c r="K1526">
        <v>363000</v>
      </c>
      <c r="L1526">
        <v>348500</v>
      </c>
      <c r="M1526">
        <v>569731</v>
      </c>
      <c r="N1526">
        <v>202957315500</v>
      </c>
      <c r="O1526">
        <v>80932952</v>
      </c>
      <c r="P1526">
        <v>29095396244000</v>
      </c>
    </row>
    <row r="1527" spans="1:16">
      <c r="A1527" t="s">
        <v>65</v>
      </c>
      <c r="B1527">
        <v>20260205</v>
      </c>
      <c r="C1527">
        <v>5490</v>
      </c>
      <c r="D1527" t="s">
        <v>66</v>
      </c>
      <c r="E1527" t="s">
        <v>65</v>
      </c>
      <c r="F1527" t="s">
        <v>17</v>
      </c>
      <c r="G1527">
        <v>367000</v>
      </c>
      <c r="H1527">
        <v>3500</v>
      </c>
      <c r="I1527">
        <v>0.96</v>
      </c>
      <c r="J1527">
        <v>364500</v>
      </c>
      <c r="K1527">
        <v>382500</v>
      </c>
      <c r="L1527">
        <v>363500</v>
      </c>
      <c r="M1527">
        <v>1153551</v>
      </c>
      <c r="N1527">
        <v>429458095500</v>
      </c>
      <c r="O1527">
        <v>80932952</v>
      </c>
      <c r="P1527">
        <v>29702393384000</v>
      </c>
    </row>
    <row r="1528" spans="1:16">
      <c r="A1528" t="s">
        <v>65</v>
      </c>
      <c r="B1528">
        <v>20260204</v>
      </c>
      <c r="C1528">
        <v>5490</v>
      </c>
      <c r="D1528" t="s">
        <v>66</v>
      </c>
      <c r="E1528" t="s">
        <v>65</v>
      </c>
      <c r="F1528" t="s">
        <v>17</v>
      </c>
      <c r="G1528">
        <v>363500</v>
      </c>
      <c r="H1528">
        <v>6500</v>
      </c>
      <c r="I1528">
        <v>1.82</v>
      </c>
      <c r="J1528">
        <v>355000</v>
      </c>
      <c r="K1528">
        <v>365000</v>
      </c>
      <c r="L1528">
        <v>355000</v>
      </c>
      <c r="M1528">
        <v>439151</v>
      </c>
      <c r="N1528">
        <v>158947395750</v>
      </c>
      <c r="O1528">
        <v>80932952</v>
      </c>
      <c r="P1528">
        <v>29419128052000</v>
      </c>
    </row>
    <row r="1529" spans="1:16">
      <c r="A1529" t="s">
        <v>65</v>
      </c>
      <c r="B1529">
        <v>20260203</v>
      </c>
      <c r="C1529">
        <v>5490</v>
      </c>
      <c r="D1529" t="s">
        <v>66</v>
      </c>
      <c r="E1529" t="s">
        <v>65</v>
      </c>
      <c r="F1529" t="s">
        <v>17</v>
      </c>
      <c r="G1529">
        <v>357000</v>
      </c>
      <c r="H1529">
        <v>15500</v>
      </c>
      <c r="I1529">
        <v>4.54</v>
      </c>
      <c r="J1529">
        <v>349000</v>
      </c>
      <c r="K1529">
        <v>359000</v>
      </c>
      <c r="L1529">
        <v>345500</v>
      </c>
      <c r="M1529">
        <v>493238</v>
      </c>
      <c r="N1529">
        <v>174077256000</v>
      </c>
      <c r="O1529">
        <v>80932952</v>
      </c>
      <c r="P1529">
        <v>28893063864000</v>
      </c>
    </row>
    <row r="1530" spans="1:16">
      <c r="A1530" t="s">
        <v>65</v>
      </c>
      <c r="B1530">
        <v>20260202</v>
      </c>
      <c r="C1530">
        <v>5490</v>
      </c>
      <c r="D1530" t="s">
        <v>66</v>
      </c>
      <c r="E1530" t="s">
        <v>65</v>
      </c>
      <c r="F1530" t="s">
        <v>17</v>
      </c>
      <c r="G1530">
        <v>341500</v>
      </c>
      <c r="H1530">
        <v>-6000</v>
      </c>
      <c r="I1530">
        <v>-1.73</v>
      </c>
      <c r="J1530">
        <v>344000</v>
      </c>
      <c r="K1530">
        <v>354000</v>
      </c>
      <c r="L1530">
        <v>337500</v>
      </c>
      <c r="M1530">
        <v>584426</v>
      </c>
      <c r="N1530">
        <v>201590215750</v>
      </c>
      <c r="O1530">
        <v>80932952</v>
      </c>
      <c r="P1530">
        <v>27638603108000</v>
      </c>
    </row>
    <row r="1531" spans="1:16">
      <c r="A1531" t="s">
        <v>65</v>
      </c>
      <c r="B1531">
        <v>20260130</v>
      </c>
      <c r="C1531">
        <v>5490</v>
      </c>
      <c r="D1531" t="s">
        <v>66</v>
      </c>
      <c r="E1531" t="s">
        <v>65</v>
      </c>
      <c r="F1531" t="s">
        <v>17</v>
      </c>
      <c r="G1531">
        <v>347500</v>
      </c>
      <c r="H1531">
        <v>-16500</v>
      </c>
      <c r="I1531">
        <v>-4.53</v>
      </c>
      <c r="J1531">
        <v>361500</v>
      </c>
      <c r="K1531">
        <v>364500</v>
      </c>
      <c r="L1531">
        <v>345500</v>
      </c>
      <c r="M1531">
        <v>1046195</v>
      </c>
      <c r="N1531">
        <v>367705536000</v>
      </c>
      <c r="O1531">
        <v>80932952</v>
      </c>
      <c r="P1531">
        <v>28124200820000</v>
      </c>
    </row>
    <row r="1532" spans="1:16">
      <c r="A1532" t="s">
        <v>65</v>
      </c>
      <c r="B1532">
        <v>20260129</v>
      </c>
      <c r="C1532">
        <v>5490</v>
      </c>
      <c r="D1532" t="s">
        <v>66</v>
      </c>
      <c r="E1532" t="s">
        <v>65</v>
      </c>
      <c r="F1532" t="s">
        <v>17</v>
      </c>
      <c r="G1532">
        <v>364000</v>
      </c>
      <c r="H1532">
        <v>-14000</v>
      </c>
      <c r="I1532">
        <v>-3.7</v>
      </c>
      <c r="J1532">
        <v>375500</v>
      </c>
      <c r="K1532">
        <v>375500</v>
      </c>
      <c r="L1532">
        <v>358500</v>
      </c>
      <c r="M1532">
        <v>1001017</v>
      </c>
      <c r="N1532">
        <v>366127705750</v>
      </c>
      <c r="O1532">
        <v>80932952</v>
      </c>
      <c r="P1532">
        <v>29459594528000</v>
      </c>
    </row>
    <row r="1533" spans="1:16">
      <c r="A1533" t="s">
        <v>65</v>
      </c>
      <c r="B1533">
        <v>20260128</v>
      </c>
      <c r="C1533">
        <v>5490</v>
      </c>
      <c r="D1533" t="s">
        <v>66</v>
      </c>
      <c r="E1533" t="s">
        <v>65</v>
      </c>
      <c r="F1533" t="s">
        <v>17</v>
      </c>
      <c r="G1533">
        <v>378000</v>
      </c>
      <c r="H1533">
        <v>18500</v>
      </c>
      <c r="I1533">
        <v>5.15</v>
      </c>
      <c r="J1533">
        <v>363500</v>
      </c>
      <c r="K1533">
        <v>383500</v>
      </c>
      <c r="L1533">
        <v>359500</v>
      </c>
      <c r="M1533">
        <v>1185336</v>
      </c>
      <c r="N1533">
        <v>440021011750</v>
      </c>
      <c r="O1533">
        <v>80932952</v>
      </c>
      <c r="P1533">
        <v>30592655856000</v>
      </c>
    </row>
    <row r="1534" spans="1:16">
      <c r="A1534" t="s">
        <v>65</v>
      </c>
      <c r="B1534">
        <v>20260127</v>
      </c>
      <c r="C1534">
        <v>5490</v>
      </c>
      <c r="D1534" t="s">
        <v>66</v>
      </c>
      <c r="E1534" t="s">
        <v>65</v>
      </c>
      <c r="F1534" t="s">
        <v>17</v>
      </c>
      <c r="G1534">
        <v>359500</v>
      </c>
      <c r="H1534">
        <v>-5500</v>
      </c>
      <c r="I1534">
        <v>-1.51</v>
      </c>
      <c r="J1534">
        <v>358500</v>
      </c>
      <c r="K1534">
        <v>361000</v>
      </c>
      <c r="L1534">
        <v>353000</v>
      </c>
      <c r="M1534">
        <v>569514</v>
      </c>
      <c r="N1534">
        <v>203554519500</v>
      </c>
      <c r="O1534">
        <v>80932952</v>
      </c>
      <c r="P1534">
        <v>29095396244000</v>
      </c>
    </row>
    <row r="1535" spans="1:16">
      <c r="A1535" t="s">
        <v>65</v>
      </c>
      <c r="B1535">
        <v>20260126</v>
      </c>
      <c r="C1535">
        <v>5490</v>
      </c>
      <c r="D1535" t="s">
        <v>66</v>
      </c>
      <c r="E1535" t="s">
        <v>65</v>
      </c>
      <c r="F1535" t="s">
        <v>17</v>
      </c>
      <c r="G1535">
        <v>365000</v>
      </c>
      <c r="H1535">
        <v>-3000</v>
      </c>
      <c r="I1535">
        <v>-0.82</v>
      </c>
      <c r="J1535">
        <v>372000</v>
      </c>
      <c r="K1535">
        <v>372000</v>
      </c>
      <c r="L1535">
        <v>360000</v>
      </c>
      <c r="M1535">
        <v>745027</v>
      </c>
      <c r="N1535">
        <v>271698817750</v>
      </c>
      <c r="O1535">
        <v>80932952</v>
      </c>
      <c r="P1535">
        <v>29540527480000</v>
      </c>
    </row>
    <row r="1536" spans="1:16">
      <c r="A1536" t="s">
        <v>65</v>
      </c>
      <c r="B1536">
        <v>20260123</v>
      </c>
      <c r="C1536">
        <v>5490</v>
      </c>
      <c r="D1536" t="s">
        <v>66</v>
      </c>
      <c r="E1536" t="s">
        <v>65</v>
      </c>
      <c r="F1536" t="s">
        <v>17</v>
      </c>
      <c r="G1536">
        <v>368000</v>
      </c>
      <c r="H1536">
        <v>8500</v>
      </c>
      <c r="I1536">
        <v>2.36</v>
      </c>
      <c r="J1536">
        <v>371000</v>
      </c>
      <c r="K1536">
        <v>390000</v>
      </c>
      <c r="L1536">
        <v>360500</v>
      </c>
      <c r="M1536">
        <v>1620917</v>
      </c>
      <c r="N1536">
        <v>604981334500</v>
      </c>
      <c r="O1536">
        <v>80932952</v>
      </c>
      <c r="P1536">
        <v>29783326336000</v>
      </c>
    </row>
    <row r="1537" spans="1:16">
      <c r="A1537" t="s">
        <v>65</v>
      </c>
      <c r="B1537">
        <v>20260122</v>
      </c>
      <c r="C1537">
        <v>5490</v>
      </c>
      <c r="D1537" t="s">
        <v>66</v>
      </c>
      <c r="E1537" t="s">
        <v>65</v>
      </c>
      <c r="F1537" t="s">
        <v>17</v>
      </c>
      <c r="G1537">
        <v>359500</v>
      </c>
      <c r="H1537">
        <v>8500</v>
      </c>
      <c r="I1537">
        <v>2.42</v>
      </c>
      <c r="J1537">
        <v>352500</v>
      </c>
      <c r="K1537">
        <v>372500</v>
      </c>
      <c r="L1537">
        <v>350000</v>
      </c>
      <c r="M1537">
        <v>1498570</v>
      </c>
      <c r="N1537">
        <v>539493348250</v>
      </c>
      <c r="O1537">
        <v>80932952</v>
      </c>
      <c r="P1537">
        <v>29095396244000</v>
      </c>
    </row>
    <row r="1538" spans="1:16">
      <c r="A1538" t="s">
        <v>65</v>
      </c>
      <c r="B1538">
        <v>20260121</v>
      </c>
      <c r="C1538">
        <v>5490</v>
      </c>
      <c r="D1538" t="s">
        <v>66</v>
      </c>
      <c r="E1538" t="s">
        <v>65</v>
      </c>
      <c r="F1538" t="s">
        <v>17</v>
      </c>
      <c r="G1538">
        <v>351000</v>
      </c>
      <c r="H1538">
        <v>-6500</v>
      </c>
      <c r="I1538">
        <v>-1.82</v>
      </c>
      <c r="J1538">
        <v>350500</v>
      </c>
      <c r="K1538">
        <v>353000</v>
      </c>
      <c r="L1538">
        <v>343000</v>
      </c>
      <c r="M1538">
        <v>690004</v>
      </c>
      <c r="N1538">
        <v>240511726000</v>
      </c>
      <c r="O1538">
        <v>80932952</v>
      </c>
      <c r="P1538">
        <v>28407466152000</v>
      </c>
    </row>
    <row r="1539" spans="1:16">
      <c r="A1539" t="s">
        <v>65</v>
      </c>
      <c r="B1539">
        <v>20260120</v>
      </c>
      <c r="C1539">
        <v>5490</v>
      </c>
      <c r="D1539" t="s">
        <v>66</v>
      </c>
      <c r="E1539" t="s">
        <v>65</v>
      </c>
      <c r="F1539" t="s">
        <v>17</v>
      </c>
      <c r="G1539">
        <v>357500</v>
      </c>
      <c r="H1539">
        <v>10000</v>
      </c>
      <c r="I1539">
        <v>2.88</v>
      </c>
      <c r="J1539">
        <v>349000</v>
      </c>
      <c r="K1539">
        <v>360500</v>
      </c>
      <c r="L1539">
        <v>345500</v>
      </c>
      <c r="M1539">
        <v>897663</v>
      </c>
      <c r="N1539">
        <v>317371860250</v>
      </c>
      <c r="O1539">
        <v>80932952</v>
      </c>
      <c r="P1539">
        <v>28933530340000</v>
      </c>
    </row>
    <row r="1540" spans="1:16">
      <c r="A1540" t="s">
        <v>65</v>
      </c>
      <c r="B1540">
        <v>20260119</v>
      </c>
      <c r="C1540">
        <v>5490</v>
      </c>
      <c r="D1540" t="s">
        <v>66</v>
      </c>
      <c r="E1540" t="s">
        <v>65</v>
      </c>
      <c r="F1540" t="s">
        <v>17</v>
      </c>
      <c r="G1540">
        <v>347500</v>
      </c>
      <c r="H1540">
        <v>16000</v>
      </c>
      <c r="I1540">
        <v>4.83</v>
      </c>
      <c r="J1540">
        <v>334500</v>
      </c>
      <c r="K1540">
        <v>350000</v>
      </c>
      <c r="L1540">
        <v>333000</v>
      </c>
      <c r="M1540">
        <v>765012</v>
      </c>
      <c r="N1540">
        <v>261634424500</v>
      </c>
      <c r="O1540">
        <v>80932952</v>
      </c>
      <c r="P1540">
        <v>28124200820000</v>
      </c>
    </row>
    <row r="1541" spans="1:16">
      <c r="A1541" t="s">
        <v>65</v>
      </c>
      <c r="B1541">
        <v>20260116</v>
      </c>
      <c r="C1541">
        <v>5490</v>
      </c>
      <c r="D1541" t="s">
        <v>66</v>
      </c>
      <c r="E1541" t="s">
        <v>65</v>
      </c>
      <c r="F1541" t="s">
        <v>17</v>
      </c>
      <c r="G1541">
        <v>331500</v>
      </c>
      <c r="H1541">
        <v>-20000</v>
      </c>
      <c r="I1541">
        <v>-5.69</v>
      </c>
      <c r="J1541">
        <v>353500</v>
      </c>
      <c r="K1541">
        <v>354000</v>
      </c>
      <c r="L1541">
        <v>326000</v>
      </c>
      <c r="M1541">
        <v>1093617</v>
      </c>
      <c r="N1541">
        <v>368542369500</v>
      </c>
      <c r="O1541">
        <v>80932952</v>
      </c>
      <c r="P1541">
        <v>26829273588000</v>
      </c>
    </row>
    <row r="1542" spans="1:16">
      <c r="A1542" t="s">
        <v>65</v>
      </c>
      <c r="B1542">
        <v>20260115</v>
      </c>
      <c r="C1542">
        <v>5490</v>
      </c>
      <c r="D1542" t="s">
        <v>66</v>
      </c>
      <c r="E1542" t="s">
        <v>65</v>
      </c>
      <c r="F1542" t="s">
        <v>17</v>
      </c>
      <c r="G1542">
        <v>351500</v>
      </c>
      <c r="H1542">
        <v>6500</v>
      </c>
      <c r="I1542">
        <v>1.88</v>
      </c>
      <c r="J1542">
        <v>352000</v>
      </c>
      <c r="K1542">
        <v>360000</v>
      </c>
      <c r="L1542">
        <v>342000</v>
      </c>
      <c r="M1542">
        <v>938661</v>
      </c>
      <c r="N1542">
        <v>329762325000</v>
      </c>
      <c r="O1542">
        <v>80932952</v>
      </c>
      <c r="P1542">
        <v>28447932628000</v>
      </c>
    </row>
    <row r="1543" spans="1:16">
      <c r="A1543" t="s">
        <v>65</v>
      </c>
      <c r="B1543">
        <v>20260114</v>
      </c>
      <c r="C1543">
        <v>5490</v>
      </c>
      <c r="D1543" t="s">
        <v>66</v>
      </c>
      <c r="E1543" t="s">
        <v>65</v>
      </c>
      <c r="F1543" t="s">
        <v>17</v>
      </c>
      <c r="G1543">
        <v>345000</v>
      </c>
      <c r="H1543">
        <v>-7500</v>
      </c>
      <c r="I1543">
        <v>-2.13</v>
      </c>
      <c r="J1543">
        <v>352500</v>
      </c>
      <c r="K1543">
        <v>353000</v>
      </c>
      <c r="L1543">
        <v>341000</v>
      </c>
      <c r="M1543">
        <v>808650</v>
      </c>
      <c r="N1543">
        <v>279406474750</v>
      </c>
      <c r="O1543">
        <v>80932952</v>
      </c>
      <c r="P1543">
        <v>27921868440000</v>
      </c>
    </row>
    <row r="1544" spans="1:16">
      <c r="A1544" t="s">
        <v>65</v>
      </c>
      <c r="B1544">
        <v>20260113</v>
      </c>
      <c r="C1544">
        <v>5490</v>
      </c>
      <c r="D1544" t="s">
        <v>66</v>
      </c>
      <c r="E1544" t="s">
        <v>65</v>
      </c>
      <c r="F1544" t="s">
        <v>17</v>
      </c>
      <c r="G1544">
        <v>352500</v>
      </c>
      <c r="H1544">
        <v>43000</v>
      </c>
      <c r="I1544">
        <v>13.89</v>
      </c>
      <c r="J1544">
        <v>313500</v>
      </c>
      <c r="K1544">
        <v>354000</v>
      </c>
      <c r="L1544">
        <v>312000</v>
      </c>
      <c r="M1544">
        <v>2435748</v>
      </c>
      <c r="N1544">
        <v>826358939500</v>
      </c>
      <c r="O1544">
        <v>80932952</v>
      </c>
      <c r="P1544">
        <v>28528865580000</v>
      </c>
    </row>
    <row r="1545" spans="1:16">
      <c r="A1545" t="s">
        <v>65</v>
      </c>
      <c r="B1545">
        <v>20260112</v>
      </c>
      <c r="C1545">
        <v>5490</v>
      </c>
      <c r="D1545" t="s">
        <v>66</v>
      </c>
      <c r="E1545" t="s">
        <v>65</v>
      </c>
      <c r="F1545" t="s">
        <v>17</v>
      </c>
      <c r="G1545">
        <v>309500</v>
      </c>
      <c r="H1545">
        <v>5500</v>
      </c>
      <c r="I1545">
        <v>1.81</v>
      </c>
      <c r="J1545">
        <v>302000</v>
      </c>
      <c r="K1545">
        <v>310500</v>
      </c>
      <c r="L1545">
        <v>301500</v>
      </c>
      <c r="M1545">
        <v>448195</v>
      </c>
      <c r="N1545">
        <v>138045158500</v>
      </c>
      <c r="O1545">
        <v>80932952</v>
      </c>
      <c r="P1545">
        <v>25048748644000</v>
      </c>
    </row>
    <row r="1546" spans="1:16">
      <c r="A1546" t="s">
        <v>65</v>
      </c>
      <c r="B1546">
        <v>20260109</v>
      </c>
      <c r="C1546">
        <v>5490</v>
      </c>
      <c r="D1546" t="s">
        <v>66</v>
      </c>
      <c r="E1546" t="s">
        <v>65</v>
      </c>
      <c r="F1546" t="s">
        <v>17</v>
      </c>
      <c r="G1546">
        <v>304000</v>
      </c>
      <c r="H1546">
        <v>3500</v>
      </c>
      <c r="I1546">
        <v>1.1599999999999999</v>
      </c>
      <c r="J1546">
        <v>302000</v>
      </c>
      <c r="K1546">
        <v>304000</v>
      </c>
      <c r="L1546">
        <v>298000</v>
      </c>
      <c r="M1546">
        <v>338091</v>
      </c>
      <c r="N1546">
        <v>101713444500</v>
      </c>
      <c r="O1546">
        <v>80932952</v>
      </c>
      <c r="P1546">
        <v>24603617408000</v>
      </c>
    </row>
    <row r="1547" spans="1:16">
      <c r="A1547" t="s">
        <v>65</v>
      </c>
      <c r="B1547">
        <v>20260108</v>
      </c>
      <c r="C1547">
        <v>5490</v>
      </c>
      <c r="D1547" t="s">
        <v>66</v>
      </c>
      <c r="E1547" t="s">
        <v>65</v>
      </c>
      <c r="F1547" t="s">
        <v>17</v>
      </c>
      <c r="G1547">
        <v>300500</v>
      </c>
      <c r="H1547">
        <v>-7500</v>
      </c>
      <c r="I1547">
        <v>-2.44</v>
      </c>
      <c r="J1547">
        <v>305500</v>
      </c>
      <c r="K1547">
        <v>306500</v>
      </c>
      <c r="L1547">
        <v>300500</v>
      </c>
      <c r="M1547">
        <v>443693</v>
      </c>
      <c r="N1547">
        <v>134023997500</v>
      </c>
      <c r="O1547">
        <v>80932952</v>
      </c>
      <c r="P1547">
        <v>24320352076000</v>
      </c>
    </row>
    <row r="1548" spans="1:16">
      <c r="A1548" t="s">
        <v>65</v>
      </c>
      <c r="B1548">
        <v>20260107</v>
      </c>
      <c r="C1548">
        <v>5490</v>
      </c>
      <c r="D1548" t="s">
        <v>66</v>
      </c>
      <c r="E1548" t="s">
        <v>65</v>
      </c>
      <c r="F1548" t="s">
        <v>17</v>
      </c>
      <c r="G1548">
        <v>308000</v>
      </c>
      <c r="H1548">
        <v>4000</v>
      </c>
      <c r="I1548">
        <v>1.32</v>
      </c>
      <c r="J1548">
        <v>305500</v>
      </c>
      <c r="K1548">
        <v>313000</v>
      </c>
      <c r="L1548">
        <v>303000</v>
      </c>
      <c r="M1548">
        <v>496291</v>
      </c>
      <c r="N1548">
        <v>152693660750</v>
      </c>
      <c r="O1548">
        <v>80932952</v>
      </c>
      <c r="P1548">
        <v>24927349216000</v>
      </c>
    </row>
    <row r="1549" spans="1:16">
      <c r="A1549" t="s">
        <v>65</v>
      </c>
      <c r="B1549">
        <v>20260106</v>
      </c>
      <c r="C1549">
        <v>5490</v>
      </c>
      <c r="D1549" t="s">
        <v>66</v>
      </c>
      <c r="E1549" t="s">
        <v>65</v>
      </c>
      <c r="F1549" t="s">
        <v>17</v>
      </c>
      <c r="G1549">
        <v>304000</v>
      </c>
      <c r="H1549">
        <v>1500</v>
      </c>
      <c r="I1549">
        <v>0.5</v>
      </c>
      <c r="J1549">
        <v>305500</v>
      </c>
      <c r="K1549">
        <v>306500</v>
      </c>
      <c r="L1549">
        <v>301500</v>
      </c>
      <c r="M1549">
        <v>303658</v>
      </c>
      <c r="N1549">
        <v>91946425750</v>
      </c>
      <c r="O1549">
        <v>80932952</v>
      </c>
      <c r="P1549">
        <v>24603617408000</v>
      </c>
    </row>
    <row r="1550" spans="1:16">
      <c r="A1550" t="s">
        <v>65</v>
      </c>
      <c r="B1550">
        <v>20260105</v>
      </c>
      <c r="C1550">
        <v>5490</v>
      </c>
      <c r="D1550" t="s">
        <v>66</v>
      </c>
      <c r="E1550" t="s">
        <v>65</v>
      </c>
      <c r="F1550" t="s">
        <v>17</v>
      </c>
      <c r="G1550">
        <v>302500</v>
      </c>
      <c r="H1550">
        <v>5000</v>
      </c>
      <c r="I1550">
        <v>1.68</v>
      </c>
      <c r="J1550">
        <v>297500</v>
      </c>
      <c r="K1550">
        <v>308000</v>
      </c>
      <c r="L1550">
        <v>297000</v>
      </c>
      <c r="M1550">
        <v>371941</v>
      </c>
      <c r="N1550">
        <v>112633555000</v>
      </c>
      <c r="O1550">
        <v>80932952</v>
      </c>
      <c r="P1550">
        <v>24482217980000</v>
      </c>
    </row>
    <row r="1551" spans="1:16">
      <c r="A1551" t="s">
        <v>65</v>
      </c>
      <c r="B1551">
        <v>20260102</v>
      </c>
      <c r="C1551">
        <v>5490</v>
      </c>
      <c r="D1551" t="s">
        <v>66</v>
      </c>
      <c r="E1551" t="s">
        <v>65</v>
      </c>
      <c r="F1551" t="s">
        <v>17</v>
      </c>
      <c r="G1551">
        <v>297500</v>
      </c>
      <c r="H1551">
        <v>-7500</v>
      </c>
      <c r="I1551">
        <v>-2.46</v>
      </c>
      <c r="J1551">
        <v>305500</v>
      </c>
      <c r="K1551">
        <v>307000</v>
      </c>
      <c r="L1551">
        <v>297000</v>
      </c>
      <c r="M1551">
        <v>424246</v>
      </c>
      <c r="N1551">
        <v>126622440500</v>
      </c>
      <c r="O1551">
        <v>80932952</v>
      </c>
      <c r="P1551">
        <v>24077553220000</v>
      </c>
    </row>
    <row r="1552" spans="1:16">
      <c r="A1552" t="s">
        <v>67</v>
      </c>
      <c r="B1552">
        <v>20260403</v>
      </c>
      <c r="C1552">
        <v>9540</v>
      </c>
      <c r="D1552" t="s">
        <v>68</v>
      </c>
      <c r="E1552" t="s">
        <v>67</v>
      </c>
      <c r="F1552" t="s">
        <v>17</v>
      </c>
      <c r="G1552">
        <v>375000</v>
      </c>
      <c r="H1552">
        <v>24500</v>
      </c>
      <c r="I1552">
        <v>6.99</v>
      </c>
      <c r="J1552">
        <v>355000</v>
      </c>
      <c r="K1552">
        <v>383500</v>
      </c>
      <c r="L1552">
        <v>355000</v>
      </c>
      <c r="M1552">
        <v>267498</v>
      </c>
      <c r="N1552">
        <v>100153492000</v>
      </c>
      <c r="O1552">
        <v>70773116</v>
      </c>
      <c r="P1552">
        <v>26539918500000</v>
      </c>
    </row>
    <row r="1553" spans="1:16">
      <c r="A1553" t="s">
        <v>67</v>
      </c>
      <c r="B1553">
        <v>20260402</v>
      </c>
      <c r="C1553">
        <v>9540</v>
      </c>
      <c r="D1553" t="s">
        <v>68</v>
      </c>
      <c r="E1553" t="s">
        <v>67</v>
      </c>
      <c r="F1553" t="s">
        <v>17</v>
      </c>
      <c r="G1553">
        <v>350500</v>
      </c>
      <c r="H1553">
        <v>-22000</v>
      </c>
      <c r="I1553">
        <v>-5.91</v>
      </c>
      <c r="J1553">
        <v>376000</v>
      </c>
      <c r="K1553">
        <v>377500</v>
      </c>
      <c r="L1553">
        <v>347500</v>
      </c>
      <c r="M1553">
        <v>315667</v>
      </c>
      <c r="N1553">
        <v>113148178250</v>
      </c>
      <c r="O1553">
        <v>70773116</v>
      </c>
      <c r="P1553">
        <v>24805977158000</v>
      </c>
    </row>
    <row r="1554" spans="1:16">
      <c r="A1554" t="s">
        <v>67</v>
      </c>
      <c r="B1554">
        <v>20260401</v>
      </c>
      <c r="C1554">
        <v>9540</v>
      </c>
      <c r="D1554" t="s">
        <v>68</v>
      </c>
      <c r="E1554" t="s">
        <v>67</v>
      </c>
      <c r="F1554" t="s">
        <v>17</v>
      </c>
      <c r="G1554">
        <v>372500</v>
      </c>
      <c r="H1554">
        <v>28500</v>
      </c>
      <c r="I1554">
        <v>8.2799999999999994</v>
      </c>
      <c r="J1554">
        <v>368500</v>
      </c>
      <c r="K1554">
        <v>378500</v>
      </c>
      <c r="L1554">
        <v>351000</v>
      </c>
      <c r="M1554">
        <v>354564</v>
      </c>
      <c r="N1554">
        <v>130261541750</v>
      </c>
      <c r="O1554">
        <v>70773116</v>
      </c>
      <c r="P1554">
        <v>26362985710000</v>
      </c>
    </row>
    <row r="1555" spans="1:16">
      <c r="A1555" t="s">
        <v>67</v>
      </c>
      <c r="B1555">
        <v>20260331</v>
      </c>
      <c r="C1555">
        <v>9540</v>
      </c>
      <c r="D1555" t="s">
        <v>68</v>
      </c>
      <c r="E1555" t="s">
        <v>67</v>
      </c>
      <c r="F1555" t="s">
        <v>17</v>
      </c>
      <c r="G1555">
        <v>344000</v>
      </c>
      <c r="H1555">
        <v>-3000</v>
      </c>
      <c r="I1555">
        <v>-0.86</v>
      </c>
      <c r="J1555">
        <v>351000</v>
      </c>
      <c r="K1555">
        <v>354500</v>
      </c>
      <c r="L1555">
        <v>340500</v>
      </c>
      <c r="M1555">
        <v>235792</v>
      </c>
      <c r="N1555">
        <v>81883148500</v>
      </c>
      <c r="O1555">
        <v>70773116</v>
      </c>
      <c r="P1555">
        <v>24345951904000</v>
      </c>
    </row>
    <row r="1556" spans="1:16">
      <c r="A1556" t="s">
        <v>67</v>
      </c>
      <c r="B1556">
        <v>20260330</v>
      </c>
      <c r="C1556">
        <v>9540</v>
      </c>
      <c r="D1556" t="s">
        <v>68</v>
      </c>
      <c r="E1556" t="s">
        <v>67</v>
      </c>
      <c r="F1556" t="s">
        <v>17</v>
      </c>
      <c r="G1556">
        <v>347000</v>
      </c>
      <c r="H1556">
        <v>-20000</v>
      </c>
      <c r="I1556">
        <v>-5.45</v>
      </c>
      <c r="J1556">
        <v>350000</v>
      </c>
      <c r="K1556">
        <v>352500</v>
      </c>
      <c r="L1556">
        <v>340500</v>
      </c>
      <c r="M1556">
        <v>278783</v>
      </c>
      <c r="N1556">
        <v>96573493818</v>
      </c>
      <c r="O1556">
        <v>70773116</v>
      </c>
      <c r="P1556">
        <v>24558271252000</v>
      </c>
    </row>
    <row r="1557" spans="1:16">
      <c r="A1557" t="s">
        <v>67</v>
      </c>
      <c r="B1557">
        <v>20260327</v>
      </c>
      <c r="C1557">
        <v>9540</v>
      </c>
      <c r="D1557" t="s">
        <v>68</v>
      </c>
      <c r="E1557" t="s">
        <v>67</v>
      </c>
      <c r="F1557" t="s">
        <v>17</v>
      </c>
      <c r="G1557">
        <v>367000</v>
      </c>
      <c r="H1557">
        <v>-8000</v>
      </c>
      <c r="I1557">
        <v>-2.13</v>
      </c>
      <c r="J1557">
        <v>364000</v>
      </c>
      <c r="K1557">
        <v>369500</v>
      </c>
      <c r="L1557">
        <v>354000</v>
      </c>
      <c r="M1557">
        <v>227372</v>
      </c>
      <c r="N1557">
        <v>82031314750</v>
      </c>
      <c r="O1557">
        <v>70773116</v>
      </c>
      <c r="P1557">
        <v>25973733572000</v>
      </c>
    </row>
    <row r="1558" spans="1:16">
      <c r="A1558" t="s">
        <v>67</v>
      </c>
      <c r="B1558">
        <v>20260326</v>
      </c>
      <c r="C1558">
        <v>9540</v>
      </c>
      <c r="D1558" t="s">
        <v>68</v>
      </c>
      <c r="E1558" t="s">
        <v>67</v>
      </c>
      <c r="F1558" t="s">
        <v>17</v>
      </c>
      <c r="G1558">
        <v>375000</v>
      </c>
      <c r="H1558">
        <v>-10000</v>
      </c>
      <c r="I1558">
        <v>-2.6</v>
      </c>
      <c r="J1558">
        <v>390000</v>
      </c>
      <c r="K1558">
        <v>390500</v>
      </c>
      <c r="L1558">
        <v>373500</v>
      </c>
      <c r="M1558">
        <v>171517</v>
      </c>
      <c r="N1558">
        <v>65116858000</v>
      </c>
      <c r="O1558">
        <v>70773116</v>
      </c>
      <c r="P1558">
        <v>26539918500000</v>
      </c>
    </row>
    <row r="1559" spans="1:16">
      <c r="A1559" t="s">
        <v>67</v>
      </c>
      <c r="B1559">
        <v>20260325</v>
      </c>
      <c r="C1559">
        <v>9540</v>
      </c>
      <c r="D1559" t="s">
        <v>68</v>
      </c>
      <c r="E1559" t="s">
        <v>67</v>
      </c>
      <c r="F1559" t="s">
        <v>17</v>
      </c>
      <c r="G1559">
        <v>385000</v>
      </c>
      <c r="H1559">
        <v>5500</v>
      </c>
      <c r="I1559">
        <v>1.45</v>
      </c>
      <c r="J1559">
        <v>388000</v>
      </c>
      <c r="K1559">
        <v>389000</v>
      </c>
      <c r="L1559">
        <v>374000</v>
      </c>
      <c r="M1559">
        <v>209425</v>
      </c>
      <c r="N1559">
        <v>79839267000</v>
      </c>
      <c r="O1559">
        <v>70773116</v>
      </c>
      <c r="P1559">
        <v>27247649660000</v>
      </c>
    </row>
    <row r="1560" spans="1:16">
      <c r="A1560" t="s">
        <v>67</v>
      </c>
      <c r="B1560">
        <v>20260324</v>
      </c>
      <c r="C1560">
        <v>9540</v>
      </c>
      <c r="D1560" t="s">
        <v>68</v>
      </c>
      <c r="E1560" t="s">
        <v>67</v>
      </c>
      <c r="F1560" t="s">
        <v>17</v>
      </c>
      <c r="G1560">
        <v>379500</v>
      </c>
      <c r="H1560">
        <v>13500</v>
      </c>
      <c r="I1560">
        <v>3.69</v>
      </c>
      <c r="J1560">
        <v>380000</v>
      </c>
      <c r="K1560">
        <v>385000</v>
      </c>
      <c r="L1560">
        <v>365500</v>
      </c>
      <c r="M1560">
        <v>224853</v>
      </c>
      <c r="N1560">
        <v>84709898500</v>
      </c>
      <c r="O1560">
        <v>70773116</v>
      </c>
      <c r="P1560">
        <v>26858397522000</v>
      </c>
    </row>
    <row r="1561" spans="1:16">
      <c r="A1561" t="s">
        <v>67</v>
      </c>
      <c r="B1561">
        <v>20260323</v>
      </c>
      <c r="C1561">
        <v>9540</v>
      </c>
      <c r="D1561" t="s">
        <v>68</v>
      </c>
      <c r="E1561" t="s">
        <v>67</v>
      </c>
      <c r="F1561" t="s">
        <v>17</v>
      </c>
      <c r="G1561">
        <v>366000</v>
      </c>
      <c r="H1561">
        <v>-38500</v>
      </c>
      <c r="I1561">
        <v>-9.52</v>
      </c>
      <c r="J1561">
        <v>392000</v>
      </c>
      <c r="K1561">
        <v>394500</v>
      </c>
      <c r="L1561">
        <v>365500</v>
      </c>
      <c r="M1561">
        <v>278996</v>
      </c>
      <c r="N1561">
        <v>104881981750</v>
      </c>
      <c r="O1561">
        <v>70773116</v>
      </c>
      <c r="P1561">
        <v>25902960456000</v>
      </c>
    </row>
    <row r="1562" spans="1:16">
      <c r="A1562" t="s">
        <v>67</v>
      </c>
      <c r="B1562">
        <v>20260320</v>
      </c>
      <c r="C1562">
        <v>9540</v>
      </c>
      <c r="D1562" t="s">
        <v>68</v>
      </c>
      <c r="E1562" t="s">
        <v>67</v>
      </c>
      <c r="F1562" t="s">
        <v>17</v>
      </c>
      <c r="G1562">
        <v>404500</v>
      </c>
      <c r="H1562">
        <v>-9000</v>
      </c>
      <c r="I1562">
        <v>-2.1800000000000002</v>
      </c>
      <c r="J1562">
        <v>416000</v>
      </c>
      <c r="K1562">
        <v>422500</v>
      </c>
      <c r="L1562">
        <v>404000</v>
      </c>
      <c r="M1562">
        <v>271901</v>
      </c>
      <c r="N1562">
        <v>110719514500</v>
      </c>
      <c r="O1562">
        <v>70773116</v>
      </c>
      <c r="P1562">
        <v>28627725422000</v>
      </c>
    </row>
    <row r="1563" spans="1:16">
      <c r="A1563" t="s">
        <v>67</v>
      </c>
      <c r="B1563">
        <v>20260319</v>
      </c>
      <c r="C1563">
        <v>9540</v>
      </c>
      <c r="D1563" t="s">
        <v>68</v>
      </c>
      <c r="E1563" t="s">
        <v>67</v>
      </c>
      <c r="F1563" t="s">
        <v>17</v>
      </c>
      <c r="G1563">
        <v>413500</v>
      </c>
      <c r="H1563">
        <v>-11500</v>
      </c>
      <c r="I1563">
        <v>-2.71</v>
      </c>
      <c r="J1563">
        <v>416500</v>
      </c>
      <c r="K1563">
        <v>422500</v>
      </c>
      <c r="L1563">
        <v>412000</v>
      </c>
      <c r="M1563">
        <v>120128</v>
      </c>
      <c r="N1563">
        <v>49884181250</v>
      </c>
      <c r="O1563">
        <v>70773116</v>
      </c>
      <c r="P1563">
        <v>29264683466000</v>
      </c>
    </row>
    <row r="1564" spans="1:16">
      <c r="A1564" t="s">
        <v>67</v>
      </c>
      <c r="B1564">
        <v>20260318</v>
      </c>
      <c r="C1564">
        <v>9540</v>
      </c>
      <c r="D1564" t="s">
        <v>68</v>
      </c>
      <c r="E1564" t="s">
        <v>67</v>
      </c>
      <c r="F1564" t="s">
        <v>17</v>
      </c>
      <c r="G1564">
        <v>425000</v>
      </c>
      <c r="H1564">
        <v>5000</v>
      </c>
      <c r="I1564">
        <v>1.19</v>
      </c>
      <c r="J1564">
        <v>421000</v>
      </c>
      <c r="K1564">
        <v>434500</v>
      </c>
      <c r="L1564">
        <v>419500</v>
      </c>
      <c r="M1564">
        <v>175008</v>
      </c>
      <c r="N1564">
        <v>74775759750</v>
      </c>
      <c r="O1564">
        <v>70773116</v>
      </c>
      <c r="P1564">
        <v>30078574300000</v>
      </c>
    </row>
    <row r="1565" spans="1:16">
      <c r="A1565" t="s">
        <v>67</v>
      </c>
      <c r="B1565">
        <v>20260317</v>
      </c>
      <c r="C1565">
        <v>9540</v>
      </c>
      <c r="D1565" t="s">
        <v>68</v>
      </c>
      <c r="E1565" t="s">
        <v>67</v>
      </c>
      <c r="F1565" t="s">
        <v>17</v>
      </c>
      <c r="G1565">
        <v>420000</v>
      </c>
      <c r="H1565">
        <v>10500</v>
      </c>
      <c r="I1565">
        <v>2.56</v>
      </c>
      <c r="J1565">
        <v>413000</v>
      </c>
      <c r="K1565">
        <v>422000</v>
      </c>
      <c r="L1565">
        <v>410500</v>
      </c>
      <c r="M1565">
        <v>114908</v>
      </c>
      <c r="N1565">
        <v>47926665250</v>
      </c>
      <c r="O1565">
        <v>70773116</v>
      </c>
      <c r="P1565">
        <v>29724708720000</v>
      </c>
    </row>
    <row r="1566" spans="1:16">
      <c r="A1566" t="s">
        <v>67</v>
      </c>
      <c r="B1566">
        <v>20260316</v>
      </c>
      <c r="C1566">
        <v>9540</v>
      </c>
      <c r="D1566" t="s">
        <v>68</v>
      </c>
      <c r="E1566" t="s">
        <v>67</v>
      </c>
      <c r="F1566" t="s">
        <v>17</v>
      </c>
      <c r="G1566">
        <v>409500</v>
      </c>
      <c r="H1566">
        <v>-6500</v>
      </c>
      <c r="I1566">
        <v>-1.56</v>
      </c>
      <c r="J1566">
        <v>413500</v>
      </c>
      <c r="K1566">
        <v>421000</v>
      </c>
      <c r="L1566">
        <v>404000</v>
      </c>
      <c r="M1566">
        <v>123247</v>
      </c>
      <c r="N1566">
        <v>50584173500</v>
      </c>
      <c r="O1566">
        <v>70773116</v>
      </c>
      <c r="P1566">
        <v>28981591002000</v>
      </c>
    </row>
    <row r="1567" spans="1:16">
      <c r="A1567" t="s">
        <v>67</v>
      </c>
      <c r="B1567">
        <v>20260313</v>
      </c>
      <c r="C1567">
        <v>9540</v>
      </c>
      <c r="D1567" t="s">
        <v>68</v>
      </c>
      <c r="E1567" t="s">
        <v>67</v>
      </c>
      <c r="F1567" t="s">
        <v>17</v>
      </c>
      <c r="G1567">
        <v>416000</v>
      </c>
      <c r="H1567">
        <v>-9000</v>
      </c>
      <c r="I1567">
        <v>-2.12</v>
      </c>
      <c r="J1567">
        <v>414000</v>
      </c>
      <c r="K1567">
        <v>418500</v>
      </c>
      <c r="L1567">
        <v>410000</v>
      </c>
      <c r="M1567">
        <v>180646</v>
      </c>
      <c r="N1567">
        <v>74695999500</v>
      </c>
      <c r="O1567">
        <v>70773116</v>
      </c>
      <c r="P1567">
        <v>29441616256000</v>
      </c>
    </row>
    <row r="1568" spans="1:16">
      <c r="A1568" t="s">
        <v>67</v>
      </c>
      <c r="B1568">
        <v>20260312</v>
      </c>
      <c r="C1568">
        <v>9540</v>
      </c>
      <c r="D1568" t="s">
        <v>68</v>
      </c>
      <c r="E1568" t="s">
        <v>67</v>
      </c>
      <c r="F1568" t="s">
        <v>17</v>
      </c>
      <c r="G1568">
        <v>425000</v>
      </c>
      <c r="H1568">
        <v>5000</v>
      </c>
      <c r="I1568">
        <v>1.19</v>
      </c>
      <c r="J1568">
        <v>416000</v>
      </c>
      <c r="K1568">
        <v>432000</v>
      </c>
      <c r="L1568">
        <v>413000</v>
      </c>
      <c r="M1568">
        <v>229434</v>
      </c>
      <c r="N1568">
        <v>97447898750</v>
      </c>
      <c r="O1568">
        <v>70773116</v>
      </c>
      <c r="P1568">
        <v>30078574300000</v>
      </c>
    </row>
    <row r="1569" spans="1:16">
      <c r="A1569" t="s">
        <v>67</v>
      </c>
      <c r="B1569">
        <v>20260311</v>
      </c>
      <c r="C1569">
        <v>9540</v>
      </c>
      <c r="D1569" t="s">
        <v>68</v>
      </c>
      <c r="E1569" t="s">
        <v>67</v>
      </c>
      <c r="F1569" t="s">
        <v>17</v>
      </c>
      <c r="G1569">
        <v>420000</v>
      </c>
      <c r="H1569">
        <v>16000</v>
      </c>
      <c r="I1569">
        <v>3.96</v>
      </c>
      <c r="J1569">
        <v>410000</v>
      </c>
      <c r="K1569">
        <v>439000</v>
      </c>
      <c r="L1569">
        <v>409500</v>
      </c>
      <c r="M1569">
        <v>374609</v>
      </c>
      <c r="N1569">
        <v>159925911250</v>
      </c>
      <c r="O1569">
        <v>70773116</v>
      </c>
      <c r="P1569">
        <v>29724708720000</v>
      </c>
    </row>
    <row r="1570" spans="1:16">
      <c r="A1570" t="s">
        <v>67</v>
      </c>
      <c r="B1570">
        <v>20260310</v>
      </c>
      <c r="C1570">
        <v>9540</v>
      </c>
      <c r="D1570" t="s">
        <v>68</v>
      </c>
      <c r="E1570" t="s">
        <v>67</v>
      </c>
      <c r="F1570" t="s">
        <v>17</v>
      </c>
      <c r="G1570">
        <v>404000</v>
      </c>
      <c r="H1570">
        <v>4000</v>
      </c>
      <c r="I1570">
        <v>1</v>
      </c>
      <c r="J1570">
        <v>405500</v>
      </c>
      <c r="K1570">
        <v>411500</v>
      </c>
      <c r="L1570">
        <v>390000</v>
      </c>
      <c r="M1570">
        <v>244474</v>
      </c>
      <c r="N1570">
        <v>97827477750</v>
      </c>
      <c r="O1570">
        <v>70773116</v>
      </c>
      <c r="P1570">
        <v>28592338864000</v>
      </c>
    </row>
    <row r="1571" spans="1:16">
      <c r="A1571" t="s">
        <v>67</v>
      </c>
      <c r="B1571">
        <v>20260309</v>
      </c>
      <c r="C1571">
        <v>9540</v>
      </c>
      <c r="D1571" t="s">
        <v>68</v>
      </c>
      <c r="E1571" t="s">
        <v>67</v>
      </c>
      <c r="F1571" t="s">
        <v>17</v>
      </c>
      <c r="G1571">
        <v>400000</v>
      </c>
      <c r="H1571">
        <v>-2000</v>
      </c>
      <c r="I1571">
        <v>-0.5</v>
      </c>
      <c r="J1571">
        <v>390000</v>
      </c>
      <c r="K1571">
        <v>411000</v>
      </c>
      <c r="L1571">
        <v>379500</v>
      </c>
      <c r="M1571">
        <v>277990</v>
      </c>
      <c r="N1571">
        <v>109430133750</v>
      </c>
      <c r="O1571">
        <v>70773116</v>
      </c>
      <c r="P1571">
        <v>28309246400000</v>
      </c>
    </row>
    <row r="1572" spans="1:16">
      <c r="A1572" t="s">
        <v>67</v>
      </c>
      <c r="B1572">
        <v>20260306</v>
      </c>
      <c r="C1572">
        <v>9540</v>
      </c>
      <c r="D1572" t="s">
        <v>68</v>
      </c>
      <c r="E1572" t="s">
        <v>67</v>
      </c>
      <c r="F1572" t="s">
        <v>17</v>
      </c>
      <c r="G1572">
        <v>402000</v>
      </c>
      <c r="H1572">
        <v>-5000</v>
      </c>
      <c r="I1572">
        <v>-1.23</v>
      </c>
      <c r="J1572">
        <v>395500</v>
      </c>
      <c r="K1572">
        <v>415500</v>
      </c>
      <c r="L1572">
        <v>395000</v>
      </c>
      <c r="M1572">
        <v>296184</v>
      </c>
      <c r="N1572">
        <v>119250636750</v>
      </c>
      <c r="O1572">
        <v>70773116</v>
      </c>
      <c r="P1572">
        <v>28450792632000</v>
      </c>
    </row>
    <row r="1573" spans="1:16">
      <c r="A1573" t="s">
        <v>67</v>
      </c>
      <c r="B1573">
        <v>20260305</v>
      </c>
      <c r="C1573">
        <v>9540</v>
      </c>
      <c r="D1573" t="s">
        <v>68</v>
      </c>
      <c r="E1573" t="s">
        <v>67</v>
      </c>
      <c r="F1573" t="s">
        <v>17</v>
      </c>
      <c r="G1573">
        <v>407000</v>
      </c>
      <c r="H1573">
        <v>28000</v>
      </c>
      <c r="I1573">
        <v>7.39</v>
      </c>
      <c r="J1573">
        <v>409500</v>
      </c>
      <c r="K1573">
        <v>415000</v>
      </c>
      <c r="L1573">
        <v>399000</v>
      </c>
      <c r="M1573">
        <v>287942</v>
      </c>
      <c r="N1573">
        <v>117444573000</v>
      </c>
      <c r="O1573">
        <v>70773116</v>
      </c>
      <c r="P1573">
        <v>28804658212000</v>
      </c>
    </row>
    <row r="1574" spans="1:16">
      <c r="A1574" t="s">
        <v>67</v>
      </c>
      <c r="B1574">
        <v>20260304</v>
      </c>
      <c r="C1574">
        <v>9540</v>
      </c>
      <c r="D1574" t="s">
        <v>68</v>
      </c>
      <c r="E1574" t="s">
        <v>67</v>
      </c>
      <c r="F1574" t="s">
        <v>17</v>
      </c>
      <c r="G1574">
        <v>379000</v>
      </c>
      <c r="H1574">
        <v>-62500</v>
      </c>
      <c r="I1574">
        <v>-14.16</v>
      </c>
      <c r="J1574">
        <v>414500</v>
      </c>
      <c r="K1574">
        <v>423500</v>
      </c>
      <c r="L1574">
        <v>374000</v>
      </c>
      <c r="M1574">
        <v>556756</v>
      </c>
      <c r="N1574">
        <v>220038612250</v>
      </c>
      <c r="O1574">
        <v>70773116</v>
      </c>
      <c r="P1574">
        <v>26823010964000</v>
      </c>
    </row>
    <row r="1575" spans="1:16">
      <c r="A1575" t="s">
        <v>67</v>
      </c>
      <c r="B1575">
        <v>20260303</v>
      </c>
      <c r="C1575">
        <v>9540</v>
      </c>
      <c r="D1575" t="s">
        <v>68</v>
      </c>
      <c r="E1575" t="s">
        <v>67</v>
      </c>
      <c r="F1575" t="s">
        <v>17</v>
      </c>
      <c r="G1575">
        <v>441500</v>
      </c>
      <c r="H1575">
        <v>-8500</v>
      </c>
      <c r="I1575">
        <v>-1.89</v>
      </c>
      <c r="J1575">
        <v>451000</v>
      </c>
      <c r="K1575">
        <v>465500</v>
      </c>
      <c r="L1575">
        <v>440000</v>
      </c>
      <c r="M1575">
        <v>295829</v>
      </c>
      <c r="N1575">
        <v>133360309750</v>
      </c>
      <c r="O1575">
        <v>70773116</v>
      </c>
      <c r="P1575">
        <v>31246330714000</v>
      </c>
    </row>
    <row r="1576" spans="1:16">
      <c r="A1576" t="s">
        <v>67</v>
      </c>
      <c r="B1576">
        <v>20260227</v>
      </c>
      <c r="C1576">
        <v>9540</v>
      </c>
      <c r="D1576" t="s">
        <v>68</v>
      </c>
      <c r="E1576" t="s">
        <v>67</v>
      </c>
      <c r="F1576" t="s">
        <v>17</v>
      </c>
      <c r="G1576">
        <v>450000</v>
      </c>
      <c r="H1576">
        <v>-2000</v>
      </c>
      <c r="I1576">
        <v>-0.44</v>
      </c>
      <c r="J1576">
        <v>452500</v>
      </c>
      <c r="K1576">
        <v>457000</v>
      </c>
      <c r="L1576">
        <v>445000</v>
      </c>
      <c r="M1576">
        <v>346778</v>
      </c>
      <c r="N1576">
        <v>156480252500</v>
      </c>
      <c r="O1576">
        <v>70773116</v>
      </c>
      <c r="P1576">
        <v>31847902200000</v>
      </c>
    </row>
    <row r="1577" spans="1:16">
      <c r="A1577" t="s">
        <v>67</v>
      </c>
      <c r="B1577">
        <v>20260226</v>
      </c>
      <c r="C1577">
        <v>9540</v>
      </c>
      <c r="D1577" t="s">
        <v>68</v>
      </c>
      <c r="E1577" t="s">
        <v>67</v>
      </c>
      <c r="F1577" t="s">
        <v>17</v>
      </c>
      <c r="G1577">
        <v>452000</v>
      </c>
      <c r="H1577">
        <v>-15500</v>
      </c>
      <c r="I1577">
        <v>-3.32</v>
      </c>
      <c r="J1577">
        <v>460000</v>
      </c>
      <c r="K1577">
        <v>461000</v>
      </c>
      <c r="L1577">
        <v>450000</v>
      </c>
      <c r="M1577">
        <v>232365</v>
      </c>
      <c r="N1577">
        <v>105286035750</v>
      </c>
      <c r="O1577">
        <v>70773116</v>
      </c>
      <c r="P1577">
        <v>31989448432000</v>
      </c>
    </row>
    <row r="1578" spans="1:16">
      <c r="A1578" t="s">
        <v>67</v>
      </c>
      <c r="B1578">
        <v>20260225</v>
      </c>
      <c r="C1578">
        <v>9540</v>
      </c>
      <c r="D1578" t="s">
        <v>68</v>
      </c>
      <c r="E1578" t="s">
        <v>67</v>
      </c>
      <c r="F1578" t="s">
        <v>17</v>
      </c>
      <c r="G1578">
        <v>467500</v>
      </c>
      <c r="H1578">
        <v>10000</v>
      </c>
      <c r="I1578">
        <v>2.19</v>
      </c>
      <c r="J1578">
        <v>458000</v>
      </c>
      <c r="K1578">
        <v>473000</v>
      </c>
      <c r="L1578">
        <v>456000</v>
      </c>
      <c r="M1578">
        <v>292537</v>
      </c>
      <c r="N1578">
        <v>136637958500</v>
      </c>
      <c r="O1578">
        <v>70773116</v>
      </c>
      <c r="P1578">
        <v>33086431730000</v>
      </c>
    </row>
    <row r="1579" spans="1:16">
      <c r="A1579" t="s">
        <v>67</v>
      </c>
      <c r="B1579">
        <v>20260224</v>
      </c>
      <c r="C1579">
        <v>9540</v>
      </c>
      <c r="D1579" t="s">
        <v>68</v>
      </c>
      <c r="E1579" t="s">
        <v>67</v>
      </c>
      <c r="F1579" t="s">
        <v>17</v>
      </c>
      <c r="G1579">
        <v>457500</v>
      </c>
      <c r="H1579">
        <v>-14500</v>
      </c>
      <c r="I1579">
        <v>-3.07</v>
      </c>
      <c r="J1579">
        <v>460000</v>
      </c>
      <c r="K1579">
        <v>461000</v>
      </c>
      <c r="L1579">
        <v>443000</v>
      </c>
      <c r="M1579">
        <v>313269</v>
      </c>
      <c r="N1579">
        <v>141671023750</v>
      </c>
      <c r="O1579">
        <v>70773116</v>
      </c>
      <c r="P1579">
        <v>32378700570000</v>
      </c>
    </row>
    <row r="1580" spans="1:16">
      <c r="A1580" t="s">
        <v>67</v>
      </c>
      <c r="B1580">
        <v>20260223</v>
      </c>
      <c r="C1580">
        <v>9540</v>
      </c>
      <c r="D1580" t="s">
        <v>68</v>
      </c>
      <c r="E1580" t="s">
        <v>67</v>
      </c>
      <c r="F1580" t="s">
        <v>17</v>
      </c>
      <c r="G1580">
        <v>472000</v>
      </c>
      <c r="H1580">
        <v>20000</v>
      </c>
      <c r="I1580">
        <v>4.42</v>
      </c>
      <c r="J1580">
        <v>453000</v>
      </c>
      <c r="K1580">
        <v>474000</v>
      </c>
      <c r="L1580">
        <v>447500</v>
      </c>
      <c r="M1580">
        <v>384448</v>
      </c>
      <c r="N1580">
        <v>178388177250</v>
      </c>
      <c r="O1580">
        <v>70773116</v>
      </c>
      <c r="P1580">
        <v>33404910752000</v>
      </c>
    </row>
    <row r="1581" spans="1:16">
      <c r="A1581" t="s">
        <v>67</v>
      </c>
      <c r="B1581">
        <v>20260220</v>
      </c>
      <c r="C1581">
        <v>9540</v>
      </c>
      <c r="D1581" t="s">
        <v>68</v>
      </c>
      <c r="E1581" t="s">
        <v>67</v>
      </c>
      <c r="F1581" t="s">
        <v>17</v>
      </c>
      <c r="G1581">
        <v>452000</v>
      </c>
      <c r="H1581">
        <v>29500</v>
      </c>
      <c r="I1581">
        <v>6.98</v>
      </c>
      <c r="J1581">
        <v>423000</v>
      </c>
      <c r="K1581">
        <v>452000</v>
      </c>
      <c r="L1581">
        <v>416500</v>
      </c>
      <c r="M1581">
        <v>367661</v>
      </c>
      <c r="N1581">
        <v>162278811000</v>
      </c>
      <c r="O1581">
        <v>70773116</v>
      </c>
      <c r="P1581">
        <v>31989448432000</v>
      </c>
    </row>
    <row r="1582" spans="1:16">
      <c r="A1582" t="s">
        <v>67</v>
      </c>
      <c r="B1582">
        <v>20260219</v>
      </c>
      <c r="C1582">
        <v>9540</v>
      </c>
      <c r="D1582" t="s">
        <v>68</v>
      </c>
      <c r="E1582" t="s">
        <v>67</v>
      </c>
      <c r="F1582" t="s">
        <v>17</v>
      </c>
      <c r="G1582">
        <v>422500</v>
      </c>
      <c r="H1582">
        <v>25000</v>
      </c>
      <c r="I1582">
        <v>6.29</v>
      </c>
      <c r="J1582">
        <v>404000</v>
      </c>
      <c r="K1582">
        <v>422500</v>
      </c>
      <c r="L1582">
        <v>404000</v>
      </c>
      <c r="M1582">
        <v>275641</v>
      </c>
      <c r="N1582">
        <v>115178622250</v>
      </c>
      <c r="O1582">
        <v>70773116</v>
      </c>
      <c r="P1582">
        <v>29901641510000</v>
      </c>
    </row>
    <row r="1583" spans="1:16">
      <c r="A1583" t="s">
        <v>67</v>
      </c>
      <c r="B1583">
        <v>20260213</v>
      </c>
      <c r="C1583">
        <v>9540</v>
      </c>
      <c r="D1583" t="s">
        <v>68</v>
      </c>
      <c r="E1583" t="s">
        <v>67</v>
      </c>
      <c r="F1583" t="s">
        <v>17</v>
      </c>
      <c r="G1583">
        <v>397500</v>
      </c>
      <c r="H1583">
        <v>500</v>
      </c>
      <c r="I1583">
        <v>0.13</v>
      </c>
      <c r="J1583">
        <v>395000</v>
      </c>
      <c r="K1583">
        <v>405500</v>
      </c>
      <c r="L1583">
        <v>393500</v>
      </c>
      <c r="M1583">
        <v>181379</v>
      </c>
      <c r="N1583">
        <v>72445757750</v>
      </c>
      <c r="O1583">
        <v>70773116</v>
      </c>
      <c r="P1583">
        <v>28132313610000</v>
      </c>
    </row>
    <row r="1584" spans="1:16">
      <c r="A1584" t="s">
        <v>67</v>
      </c>
      <c r="B1584">
        <v>20260212</v>
      </c>
      <c r="C1584">
        <v>9540</v>
      </c>
      <c r="D1584" t="s">
        <v>68</v>
      </c>
      <c r="E1584" t="s">
        <v>67</v>
      </c>
      <c r="F1584" t="s">
        <v>17</v>
      </c>
      <c r="G1584">
        <v>397000</v>
      </c>
      <c r="H1584">
        <v>7000</v>
      </c>
      <c r="I1584">
        <v>1.79</v>
      </c>
      <c r="J1584">
        <v>392000</v>
      </c>
      <c r="K1584">
        <v>402500</v>
      </c>
      <c r="L1584">
        <v>391000</v>
      </c>
      <c r="M1584">
        <v>231984</v>
      </c>
      <c r="N1584">
        <v>92046847750</v>
      </c>
      <c r="O1584">
        <v>70773116</v>
      </c>
      <c r="P1584">
        <v>28096927052000</v>
      </c>
    </row>
    <row r="1585" spans="1:16">
      <c r="A1585" t="s">
        <v>67</v>
      </c>
      <c r="B1585">
        <v>20260211</v>
      </c>
      <c r="C1585">
        <v>9540</v>
      </c>
      <c r="D1585" t="s">
        <v>68</v>
      </c>
      <c r="E1585" t="s">
        <v>67</v>
      </c>
      <c r="F1585" t="s">
        <v>17</v>
      </c>
      <c r="G1585">
        <v>390000</v>
      </c>
      <c r="H1585">
        <v>8000</v>
      </c>
      <c r="I1585">
        <v>2.09</v>
      </c>
      <c r="J1585">
        <v>385500</v>
      </c>
      <c r="K1585">
        <v>391500</v>
      </c>
      <c r="L1585">
        <v>384000</v>
      </c>
      <c r="M1585">
        <v>200412</v>
      </c>
      <c r="N1585">
        <v>77972557000</v>
      </c>
      <c r="O1585">
        <v>70773116</v>
      </c>
      <c r="P1585">
        <v>27601515240000</v>
      </c>
    </row>
    <row r="1586" spans="1:16">
      <c r="A1586" t="s">
        <v>67</v>
      </c>
      <c r="B1586">
        <v>20260210</v>
      </c>
      <c r="C1586">
        <v>9540</v>
      </c>
      <c r="D1586" t="s">
        <v>68</v>
      </c>
      <c r="E1586" t="s">
        <v>67</v>
      </c>
      <c r="F1586" t="s">
        <v>17</v>
      </c>
      <c r="G1586">
        <v>382000</v>
      </c>
      <c r="H1586">
        <v>-8000</v>
      </c>
      <c r="I1586">
        <v>-2.0499999999999998</v>
      </c>
      <c r="J1586">
        <v>394000</v>
      </c>
      <c r="K1586">
        <v>397000</v>
      </c>
      <c r="L1586">
        <v>378000</v>
      </c>
      <c r="M1586">
        <v>422004</v>
      </c>
      <c r="N1586">
        <v>161605703750</v>
      </c>
      <c r="O1586">
        <v>70773116</v>
      </c>
      <c r="P1586">
        <v>27035330312000</v>
      </c>
    </row>
    <row r="1587" spans="1:16">
      <c r="A1587" t="s">
        <v>67</v>
      </c>
      <c r="B1587">
        <v>20260209</v>
      </c>
      <c r="C1587">
        <v>9540</v>
      </c>
      <c r="D1587" t="s">
        <v>68</v>
      </c>
      <c r="E1587" t="s">
        <v>67</v>
      </c>
      <c r="F1587" t="s">
        <v>17</v>
      </c>
      <c r="G1587">
        <v>390000</v>
      </c>
      <c r="H1587">
        <v>-5500</v>
      </c>
      <c r="I1587">
        <v>-1.39</v>
      </c>
      <c r="J1587">
        <v>410000</v>
      </c>
      <c r="K1587">
        <v>412000</v>
      </c>
      <c r="L1587">
        <v>375000</v>
      </c>
      <c r="M1587">
        <v>398048</v>
      </c>
      <c r="N1587">
        <v>156751665000</v>
      </c>
      <c r="O1587">
        <v>70773116</v>
      </c>
      <c r="P1587">
        <v>27601515240000</v>
      </c>
    </row>
    <row r="1588" spans="1:16">
      <c r="A1588" t="s">
        <v>67</v>
      </c>
      <c r="B1588">
        <v>20260206</v>
      </c>
      <c r="C1588">
        <v>9540</v>
      </c>
      <c r="D1588" t="s">
        <v>68</v>
      </c>
      <c r="E1588" t="s">
        <v>67</v>
      </c>
      <c r="F1588" t="s">
        <v>17</v>
      </c>
      <c r="G1588">
        <v>395500</v>
      </c>
      <c r="H1588">
        <v>-13500</v>
      </c>
      <c r="I1588">
        <v>-3.3</v>
      </c>
      <c r="J1588">
        <v>403000</v>
      </c>
      <c r="K1588">
        <v>403500</v>
      </c>
      <c r="L1588">
        <v>384000</v>
      </c>
      <c r="M1588">
        <v>266977</v>
      </c>
      <c r="N1588">
        <v>104504658250</v>
      </c>
      <c r="O1588">
        <v>70773116</v>
      </c>
      <c r="P1588">
        <v>27990767378000</v>
      </c>
    </row>
    <row r="1589" spans="1:16">
      <c r="A1589" t="s">
        <v>67</v>
      </c>
      <c r="B1589">
        <v>20260205</v>
      </c>
      <c r="C1589">
        <v>9540</v>
      </c>
      <c r="D1589" t="s">
        <v>68</v>
      </c>
      <c r="E1589" t="s">
        <v>67</v>
      </c>
      <c r="F1589" t="s">
        <v>17</v>
      </c>
      <c r="G1589">
        <v>409000</v>
      </c>
      <c r="H1589">
        <v>-15500</v>
      </c>
      <c r="I1589">
        <v>-3.65</v>
      </c>
      <c r="J1589">
        <v>424000</v>
      </c>
      <c r="K1589">
        <v>429500</v>
      </c>
      <c r="L1589">
        <v>407000</v>
      </c>
      <c r="M1589">
        <v>221378</v>
      </c>
      <c r="N1589">
        <v>92159914500</v>
      </c>
      <c r="O1589">
        <v>70773116</v>
      </c>
      <c r="P1589">
        <v>28946204444000</v>
      </c>
    </row>
    <row r="1590" spans="1:16">
      <c r="A1590" t="s">
        <v>67</v>
      </c>
      <c r="B1590">
        <v>20260204</v>
      </c>
      <c r="C1590">
        <v>9540</v>
      </c>
      <c r="D1590" t="s">
        <v>68</v>
      </c>
      <c r="E1590" t="s">
        <v>67</v>
      </c>
      <c r="F1590" t="s">
        <v>17</v>
      </c>
      <c r="G1590">
        <v>424500</v>
      </c>
      <c r="H1590">
        <v>7000</v>
      </c>
      <c r="I1590">
        <v>1.68</v>
      </c>
      <c r="J1590">
        <v>425000</v>
      </c>
      <c r="K1590">
        <v>430000</v>
      </c>
      <c r="L1590">
        <v>414000</v>
      </c>
      <c r="M1590">
        <v>164182</v>
      </c>
      <c r="N1590">
        <v>69507867500</v>
      </c>
      <c r="O1590">
        <v>70773116</v>
      </c>
      <c r="P1590">
        <v>30043187742000</v>
      </c>
    </row>
    <row r="1591" spans="1:16">
      <c r="A1591" t="s">
        <v>67</v>
      </c>
      <c r="B1591">
        <v>20260203</v>
      </c>
      <c r="C1591">
        <v>9540</v>
      </c>
      <c r="D1591" t="s">
        <v>68</v>
      </c>
      <c r="E1591" t="s">
        <v>67</v>
      </c>
      <c r="F1591" t="s">
        <v>17</v>
      </c>
      <c r="G1591">
        <v>417500</v>
      </c>
      <c r="H1591">
        <v>16000</v>
      </c>
      <c r="I1591">
        <v>3.99</v>
      </c>
      <c r="J1591">
        <v>413500</v>
      </c>
      <c r="K1591">
        <v>417500</v>
      </c>
      <c r="L1591">
        <v>406500</v>
      </c>
      <c r="M1591">
        <v>154311</v>
      </c>
      <c r="N1591">
        <v>63801087658</v>
      </c>
      <c r="O1591">
        <v>70773116</v>
      </c>
      <c r="P1591">
        <v>29547775930000</v>
      </c>
    </row>
    <row r="1592" spans="1:16">
      <c r="A1592" t="s">
        <v>67</v>
      </c>
      <c r="B1592">
        <v>20260202</v>
      </c>
      <c r="C1592">
        <v>9540</v>
      </c>
      <c r="D1592" t="s">
        <v>68</v>
      </c>
      <c r="E1592" t="s">
        <v>67</v>
      </c>
      <c r="F1592" t="s">
        <v>17</v>
      </c>
      <c r="G1592">
        <v>401500</v>
      </c>
      <c r="H1592">
        <v>-12000</v>
      </c>
      <c r="I1592">
        <v>-2.9</v>
      </c>
      <c r="J1592">
        <v>414500</v>
      </c>
      <c r="K1592">
        <v>424000</v>
      </c>
      <c r="L1592">
        <v>395500</v>
      </c>
      <c r="M1592">
        <v>224516</v>
      </c>
      <c r="N1592">
        <v>91359672500</v>
      </c>
      <c r="O1592">
        <v>70773116</v>
      </c>
      <c r="P1592">
        <v>28415406074000</v>
      </c>
    </row>
    <row r="1593" spans="1:16">
      <c r="A1593" t="s">
        <v>67</v>
      </c>
      <c r="B1593">
        <v>20260130</v>
      </c>
      <c r="C1593">
        <v>9540</v>
      </c>
      <c r="D1593" t="s">
        <v>68</v>
      </c>
      <c r="E1593" t="s">
        <v>67</v>
      </c>
      <c r="F1593" t="s">
        <v>17</v>
      </c>
      <c r="G1593">
        <v>413500</v>
      </c>
      <c r="H1593">
        <v>-7500</v>
      </c>
      <c r="I1593">
        <v>-1.78</v>
      </c>
      <c r="J1593">
        <v>422000</v>
      </c>
      <c r="K1593">
        <v>425000</v>
      </c>
      <c r="L1593">
        <v>413000</v>
      </c>
      <c r="M1593">
        <v>206319</v>
      </c>
      <c r="N1593">
        <v>85942718750</v>
      </c>
      <c r="O1593">
        <v>70773116</v>
      </c>
      <c r="P1593">
        <v>29264683466000</v>
      </c>
    </row>
    <row r="1594" spans="1:16">
      <c r="A1594" t="s">
        <v>67</v>
      </c>
      <c r="B1594">
        <v>20260129</v>
      </c>
      <c r="C1594">
        <v>9540</v>
      </c>
      <c r="D1594" t="s">
        <v>68</v>
      </c>
      <c r="E1594" t="s">
        <v>67</v>
      </c>
      <c r="F1594" t="s">
        <v>17</v>
      </c>
      <c r="G1594">
        <v>421000</v>
      </c>
      <c r="H1594">
        <v>-1500</v>
      </c>
      <c r="I1594">
        <v>-0.36</v>
      </c>
      <c r="J1594">
        <v>420000</v>
      </c>
      <c r="K1594">
        <v>422000</v>
      </c>
      <c r="L1594">
        <v>410000</v>
      </c>
      <c r="M1594">
        <v>276565</v>
      </c>
      <c r="N1594">
        <v>115009742500</v>
      </c>
      <c r="O1594">
        <v>70773116</v>
      </c>
      <c r="P1594">
        <v>29795481836000</v>
      </c>
    </row>
    <row r="1595" spans="1:16">
      <c r="A1595" t="s">
        <v>67</v>
      </c>
      <c r="B1595">
        <v>20260128</v>
      </c>
      <c r="C1595">
        <v>9540</v>
      </c>
      <c r="D1595" t="s">
        <v>68</v>
      </c>
      <c r="E1595" t="s">
        <v>67</v>
      </c>
      <c r="F1595" t="s">
        <v>17</v>
      </c>
      <c r="G1595">
        <v>422500</v>
      </c>
      <c r="H1595">
        <v>-4000</v>
      </c>
      <c r="I1595">
        <v>-0.94</v>
      </c>
      <c r="J1595">
        <v>428000</v>
      </c>
      <c r="K1595">
        <v>431500</v>
      </c>
      <c r="L1595">
        <v>418500</v>
      </c>
      <c r="M1595">
        <v>207240</v>
      </c>
      <c r="N1595">
        <v>87641305750</v>
      </c>
      <c r="O1595">
        <v>70773116</v>
      </c>
      <c r="P1595">
        <v>29901641510000</v>
      </c>
    </row>
    <row r="1596" spans="1:16">
      <c r="A1596" t="s">
        <v>67</v>
      </c>
      <c r="B1596">
        <v>20260127</v>
      </c>
      <c r="C1596">
        <v>9540</v>
      </c>
      <c r="D1596" t="s">
        <v>68</v>
      </c>
      <c r="E1596" t="s">
        <v>67</v>
      </c>
      <c r="F1596" t="s">
        <v>17</v>
      </c>
      <c r="G1596">
        <v>426500</v>
      </c>
      <c r="H1596">
        <v>2500</v>
      </c>
      <c r="I1596">
        <v>0.59</v>
      </c>
      <c r="J1596">
        <v>430000</v>
      </c>
      <c r="K1596">
        <v>430500</v>
      </c>
      <c r="L1596">
        <v>414000</v>
      </c>
      <c r="M1596">
        <v>172467</v>
      </c>
      <c r="N1596">
        <v>73186246250</v>
      </c>
      <c r="O1596">
        <v>70773116</v>
      </c>
      <c r="P1596">
        <v>30184733974000</v>
      </c>
    </row>
    <row r="1597" spans="1:16">
      <c r="A1597" t="s">
        <v>67</v>
      </c>
      <c r="B1597">
        <v>20260126</v>
      </c>
      <c r="C1597">
        <v>9540</v>
      </c>
      <c r="D1597" t="s">
        <v>68</v>
      </c>
      <c r="E1597" t="s">
        <v>67</v>
      </c>
      <c r="F1597" t="s">
        <v>17</v>
      </c>
      <c r="G1597">
        <v>424000</v>
      </c>
      <c r="H1597">
        <v>-12000</v>
      </c>
      <c r="I1597">
        <v>-2.75</v>
      </c>
      <c r="J1597">
        <v>433500</v>
      </c>
      <c r="K1597">
        <v>436000</v>
      </c>
      <c r="L1597">
        <v>423000</v>
      </c>
      <c r="M1597">
        <v>142650</v>
      </c>
      <c r="N1597">
        <v>60979544750</v>
      </c>
      <c r="O1597">
        <v>70773116</v>
      </c>
      <c r="P1597">
        <v>30007801184000</v>
      </c>
    </row>
    <row r="1598" spans="1:16">
      <c r="A1598" t="s">
        <v>67</v>
      </c>
      <c r="B1598">
        <v>20260123</v>
      </c>
      <c r="C1598">
        <v>9540</v>
      </c>
      <c r="D1598" t="s">
        <v>68</v>
      </c>
      <c r="E1598" t="s">
        <v>67</v>
      </c>
      <c r="F1598" t="s">
        <v>17</v>
      </c>
      <c r="G1598">
        <v>436000</v>
      </c>
      <c r="H1598">
        <v>11500</v>
      </c>
      <c r="I1598">
        <v>2.71</v>
      </c>
      <c r="J1598">
        <v>428000</v>
      </c>
      <c r="K1598">
        <v>436500</v>
      </c>
      <c r="L1598">
        <v>426500</v>
      </c>
      <c r="M1598">
        <v>266054</v>
      </c>
      <c r="N1598">
        <v>114932983500</v>
      </c>
      <c r="O1598">
        <v>70773116</v>
      </c>
      <c r="P1598">
        <v>30857078576000</v>
      </c>
    </row>
    <row r="1599" spans="1:16">
      <c r="A1599" t="s">
        <v>67</v>
      </c>
      <c r="B1599">
        <v>20260122</v>
      </c>
      <c r="C1599">
        <v>9540</v>
      </c>
      <c r="D1599" t="s">
        <v>68</v>
      </c>
      <c r="E1599" t="s">
        <v>67</v>
      </c>
      <c r="F1599" t="s">
        <v>17</v>
      </c>
      <c r="G1599">
        <v>424500</v>
      </c>
      <c r="H1599">
        <v>-4000</v>
      </c>
      <c r="I1599">
        <v>-0.93</v>
      </c>
      <c r="J1599">
        <v>430000</v>
      </c>
      <c r="K1599">
        <v>433000</v>
      </c>
      <c r="L1599">
        <v>419500</v>
      </c>
      <c r="M1599">
        <v>279196</v>
      </c>
      <c r="N1599">
        <v>118782415750</v>
      </c>
      <c r="O1599">
        <v>70773116</v>
      </c>
      <c r="P1599">
        <v>30043187742000</v>
      </c>
    </row>
    <row r="1600" spans="1:16">
      <c r="A1600" t="s">
        <v>67</v>
      </c>
      <c r="B1600">
        <v>20260121</v>
      </c>
      <c r="C1600">
        <v>9540</v>
      </c>
      <c r="D1600" t="s">
        <v>68</v>
      </c>
      <c r="E1600" t="s">
        <v>67</v>
      </c>
      <c r="F1600" t="s">
        <v>17</v>
      </c>
      <c r="G1600">
        <v>428500</v>
      </c>
      <c r="H1600">
        <v>-14500</v>
      </c>
      <c r="I1600">
        <v>-3.27</v>
      </c>
      <c r="J1600">
        <v>440000</v>
      </c>
      <c r="K1600">
        <v>440000</v>
      </c>
      <c r="L1600">
        <v>425000</v>
      </c>
      <c r="M1600">
        <v>203782</v>
      </c>
      <c r="N1600">
        <v>87525936000</v>
      </c>
      <c r="O1600">
        <v>70773116</v>
      </c>
      <c r="P1600">
        <v>30326280206000</v>
      </c>
    </row>
    <row r="1601" spans="1:16">
      <c r="A1601" t="s">
        <v>67</v>
      </c>
      <c r="B1601">
        <v>20260120</v>
      </c>
      <c r="C1601">
        <v>9540</v>
      </c>
      <c r="D1601" t="s">
        <v>68</v>
      </c>
      <c r="E1601" t="s">
        <v>67</v>
      </c>
      <c r="F1601" t="s">
        <v>17</v>
      </c>
      <c r="G1601">
        <v>443000</v>
      </c>
      <c r="H1601">
        <v>-1500</v>
      </c>
      <c r="I1601">
        <v>-0.34</v>
      </c>
      <c r="J1601">
        <v>439000</v>
      </c>
      <c r="K1601">
        <v>444500</v>
      </c>
      <c r="L1601">
        <v>428500</v>
      </c>
      <c r="M1601">
        <v>132606</v>
      </c>
      <c r="N1601">
        <v>58258083750</v>
      </c>
      <c r="O1601">
        <v>70773116</v>
      </c>
      <c r="P1601">
        <v>31352490388000</v>
      </c>
    </row>
    <row r="1602" spans="1:16">
      <c r="A1602" t="s">
        <v>67</v>
      </c>
      <c r="B1602">
        <v>20260119</v>
      </c>
      <c r="C1602">
        <v>9540</v>
      </c>
      <c r="D1602" t="s">
        <v>68</v>
      </c>
      <c r="E1602" t="s">
        <v>67</v>
      </c>
      <c r="F1602" t="s">
        <v>17</v>
      </c>
      <c r="G1602">
        <v>444500</v>
      </c>
      <c r="H1602">
        <v>6000</v>
      </c>
      <c r="I1602">
        <v>1.37</v>
      </c>
      <c r="J1602">
        <v>442500</v>
      </c>
      <c r="K1602">
        <v>447500</v>
      </c>
      <c r="L1602">
        <v>437000</v>
      </c>
      <c r="M1602">
        <v>189587</v>
      </c>
      <c r="N1602">
        <v>84058502500</v>
      </c>
      <c r="O1602">
        <v>70773116</v>
      </c>
      <c r="P1602">
        <v>31458650062000</v>
      </c>
    </row>
    <row r="1603" spans="1:16">
      <c r="A1603" t="s">
        <v>67</v>
      </c>
      <c r="B1603">
        <v>20260116</v>
      </c>
      <c r="C1603">
        <v>9540</v>
      </c>
      <c r="D1603" t="s">
        <v>68</v>
      </c>
      <c r="E1603" t="s">
        <v>67</v>
      </c>
      <c r="F1603" t="s">
        <v>17</v>
      </c>
      <c r="G1603">
        <v>438500</v>
      </c>
      <c r="H1603">
        <v>-1500</v>
      </c>
      <c r="I1603">
        <v>-0.34</v>
      </c>
      <c r="J1603">
        <v>439000</v>
      </c>
      <c r="K1603">
        <v>441000</v>
      </c>
      <c r="L1603">
        <v>427000</v>
      </c>
      <c r="M1603">
        <v>172331</v>
      </c>
      <c r="N1603">
        <v>74973561250</v>
      </c>
      <c r="O1603">
        <v>70773116</v>
      </c>
      <c r="P1603">
        <v>31034011366000</v>
      </c>
    </row>
    <row r="1604" spans="1:16">
      <c r="A1604" t="s">
        <v>67</v>
      </c>
      <c r="B1604">
        <v>20260115</v>
      </c>
      <c r="C1604">
        <v>9540</v>
      </c>
      <c r="D1604" t="s">
        <v>68</v>
      </c>
      <c r="E1604" t="s">
        <v>67</v>
      </c>
      <c r="F1604" t="s">
        <v>17</v>
      </c>
      <c r="G1604">
        <v>440000</v>
      </c>
      <c r="H1604">
        <v>12500</v>
      </c>
      <c r="I1604">
        <v>2.92</v>
      </c>
      <c r="J1604">
        <v>432500</v>
      </c>
      <c r="K1604">
        <v>440000</v>
      </c>
      <c r="L1604">
        <v>426500</v>
      </c>
      <c r="M1604">
        <v>231895</v>
      </c>
      <c r="N1604">
        <v>101312216000</v>
      </c>
      <c r="O1604">
        <v>70773116</v>
      </c>
      <c r="P1604">
        <v>31140171040000</v>
      </c>
    </row>
    <row r="1605" spans="1:16">
      <c r="A1605" t="s">
        <v>67</v>
      </c>
      <c r="B1605">
        <v>20260114</v>
      </c>
      <c r="C1605">
        <v>9540</v>
      </c>
      <c r="D1605" t="s">
        <v>68</v>
      </c>
      <c r="E1605" t="s">
        <v>67</v>
      </c>
      <c r="F1605" t="s">
        <v>17</v>
      </c>
      <c r="G1605">
        <v>427500</v>
      </c>
      <c r="H1605">
        <v>-35000</v>
      </c>
      <c r="I1605">
        <v>-7.57</v>
      </c>
      <c r="J1605">
        <v>458500</v>
      </c>
      <c r="K1605">
        <v>458500</v>
      </c>
      <c r="L1605">
        <v>424500</v>
      </c>
      <c r="M1605">
        <v>388404</v>
      </c>
      <c r="N1605">
        <v>168864437000</v>
      </c>
      <c r="O1605">
        <v>70773116</v>
      </c>
      <c r="P1605">
        <v>30255507090000</v>
      </c>
    </row>
    <row r="1606" spans="1:16">
      <c r="A1606" t="s">
        <v>67</v>
      </c>
      <c r="B1606">
        <v>20260113</v>
      </c>
      <c r="C1606">
        <v>9540</v>
      </c>
      <c r="D1606" t="s">
        <v>68</v>
      </c>
      <c r="E1606" t="s">
        <v>67</v>
      </c>
      <c r="F1606" t="s">
        <v>17</v>
      </c>
      <c r="G1606">
        <v>462500</v>
      </c>
      <c r="H1606">
        <v>12000</v>
      </c>
      <c r="I1606">
        <v>2.66</v>
      </c>
      <c r="J1606">
        <v>452000</v>
      </c>
      <c r="K1606">
        <v>463000</v>
      </c>
      <c r="L1606">
        <v>449000</v>
      </c>
      <c r="M1606">
        <v>283454</v>
      </c>
      <c r="N1606">
        <v>129871488250</v>
      </c>
      <c r="O1606">
        <v>70773116</v>
      </c>
      <c r="P1606">
        <v>32732566150000</v>
      </c>
    </row>
    <row r="1607" spans="1:16">
      <c r="A1607" t="s">
        <v>67</v>
      </c>
      <c r="B1607">
        <v>20260112</v>
      </c>
      <c r="C1607">
        <v>9540</v>
      </c>
      <c r="D1607" t="s">
        <v>68</v>
      </c>
      <c r="E1607" t="s">
        <v>67</v>
      </c>
      <c r="F1607" t="s">
        <v>17</v>
      </c>
      <c r="G1607">
        <v>450500</v>
      </c>
      <c r="H1607">
        <v>3500</v>
      </c>
      <c r="I1607">
        <v>0.78</v>
      </c>
      <c r="J1607">
        <v>445000</v>
      </c>
      <c r="K1607">
        <v>453000</v>
      </c>
      <c r="L1607">
        <v>433000</v>
      </c>
      <c r="M1607">
        <v>336951</v>
      </c>
      <c r="N1607">
        <v>151148206500</v>
      </c>
      <c r="O1607">
        <v>70773116</v>
      </c>
      <c r="P1607">
        <v>31883288758000</v>
      </c>
    </row>
    <row r="1608" spans="1:16">
      <c r="A1608" t="s">
        <v>67</v>
      </c>
      <c r="B1608">
        <v>20260109</v>
      </c>
      <c r="C1608">
        <v>9540</v>
      </c>
      <c r="D1608" t="s">
        <v>68</v>
      </c>
      <c r="E1608" t="s">
        <v>67</v>
      </c>
      <c r="F1608" t="s">
        <v>17</v>
      </c>
      <c r="G1608">
        <v>447000</v>
      </c>
      <c r="H1608">
        <v>22500</v>
      </c>
      <c r="I1608">
        <v>5.3</v>
      </c>
      <c r="J1608">
        <v>426500</v>
      </c>
      <c r="K1608">
        <v>447000</v>
      </c>
      <c r="L1608">
        <v>422500</v>
      </c>
      <c r="M1608">
        <v>425836</v>
      </c>
      <c r="N1608">
        <v>187540580500</v>
      </c>
      <c r="O1608">
        <v>70773116</v>
      </c>
      <c r="P1608">
        <v>31635582852000</v>
      </c>
    </row>
    <row r="1609" spans="1:16">
      <c r="A1609" t="s">
        <v>67</v>
      </c>
      <c r="B1609">
        <v>20260108</v>
      </c>
      <c r="C1609">
        <v>9540</v>
      </c>
      <c r="D1609" t="s">
        <v>68</v>
      </c>
      <c r="E1609" t="s">
        <v>67</v>
      </c>
      <c r="F1609" t="s">
        <v>17</v>
      </c>
      <c r="G1609">
        <v>424500</v>
      </c>
      <c r="H1609">
        <v>6500</v>
      </c>
      <c r="I1609">
        <v>1.56</v>
      </c>
      <c r="J1609">
        <v>417500</v>
      </c>
      <c r="K1609">
        <v>429500</v>
      </c>
      <c r="L1609">
        <v>417500</v>
      </c>
      <c r="M1609">
        <v>279906</v>
      </c>
      <c r="N1609">
        <v>119143493250</v>
      </c>
      <c r="O1609">
        <v>70773116</v>
      </c>
      <c r="P1609">
        <v>30043187742000</v>
      </c>
    </row>
    <row r="1610" spans="1:16">
      <c r="A1610" t="s">
        <v>67</v>
      </c>
      <c r="B1610">
        <v>20260107</v>
      </c>
      <c r="C1610">
        <v>9540</v>
      </c>
      <c r="D1610" t="s">
        <v>68</v>
      </c>
      <c r="E1610" t="s">
        <v>67</v>
      </c>
      <c r="F1610" t="s">
        <v>17</v>
      </c>
      <c r="G1610">
        <v>418000</v>
      </c>
      <c r="H1610">
        <v>4000</v>
      </c>
      <c r="I1610">
        <v>0.97</v>
      </c>
      <c r="J1610">
        <v>412000</v>
      </c>
      <c r="K1610">
        <v>423000</v>
      </c>
      <c r="L1610">
        <v>408500</v>
      </c>
      <c r="M1610">
        <v>251207</v>
      </c>
      <c r="N1610">
        <v>104843140776</v>
      </c>
      <c r="O1610">
        <v>70773116</v>
      </c>
      <c r="P1610">
        <v>29583162488000</v>
      </c>
    </row>
    <row r="1611" spans="1:16">
      <c r="A1611" t="s">
        <v>67</v>
      </c>
      <c r="B1611">
        <v>20260106</v>
      </c>
      <c r="C1611">
        <v>9540</v>
      </c>
      <c r="D1611" t="s">
        <v>68</v>
      </c>
      <c r="E1611" t="s">
        <v>67</v>
      </c>
      <c r="F1611" t="s">
        <v>17</v>
      </c>
      <c r="G1611">
        <v>414000</v>
      </c>
      <c r="H1611">
        <v>13000</v>
      </c>
      <c r="I1611">
        <v>3.24</v>
      </c>
      <c r="J1611">
        <v>403500</v>
      </c>
      <c r="K1611">
        <v>415000</v>
      </c>
      <c r="L1611">
        <v>395500</v>
      </c>
      <c r="M1611">
        <v>249294</v>
      </c>
      <c r="N1611">
        <v>101978669500</v>
      </c>
      <c r="O1611">
        <v>70773116</v>
      </c>
      <c r="P1611">
        <v>29300070024000</v>
      </c>
    </row>
    <row r="1612" spans="1:16">
      <c r="A1612" t="s">
        <v>67</v>
      </c>
      <c r="B1612">
        <v>20260105</v>
      </c>
      <c r="C1612">
        <v>9540</v>
      </c>
      <c r="D1612" t="s">
        <v>68</v>
      </c>
      <c r="E1612" t="s">
        <v>67</v>
      </c>
      <c r="F1612" t="s">
        <v>17</v>
      </c>
      <c r="G1612">
        <v>401000</v>
      </c>
      <c r="H1612">
        <v>7500</v>
      </c>
      <c r="I1612">
        <v>1.91</v>
      </c>
      <c r="J1612">
        <v>385000</v>
      </c>
      <c r="K1612">
        <v>402500</v>
      </c>
      <c r="L1612">
        <v>385000</v>
      </c>
      <c r="M1612">
        <v>299340</v>
      </c>
      <c r="N1612">
        <v>118903627250</v>
      </c>
      <c r="O1612">
        <v>70773116</v>
      </c>
      <c r="P1612">
        <v>28380019516000</v>
      </c>
    </row>
    <row r="1613" spans="1:16">
      <c r="A1613" t="s">
        <v>67</v>
      </c>
      <c r="B1613">
        <v>20260102</v>
      </c>
      <c r="C1613">
        <v>9540</v>
      </c>
      <c r="D1613" t="s">
        <v>68</v>
      </c>
      <c r="E1613" t="s">
        <v>67</v>
      </c>
      <c r="F1613" t="s">
        <v>17</v>
      </c>
      <c r="G1613">
        <v>393500</v>
      </c>
      <c r="H1613">
        <v>-13500</v>
      </c>
      <c r="I1613">
        <v>-3.32</v>
      </c>
      <c r="J1613">
        <v>407000</v>
      </c>
      <c r="K1613">
        <v>407000</v>
      </c>
      <c r="L1613">
        <v>392000</v>
      </c>
      <c r="M1613">
        <v>256720</v>
      </c>
      <c r="N1613">
        <v>101451749350</v>
      </c>
      <c r="O1613">
        <v>70773116</v>
      </c>
      <c r="P1613">
        <v>27849221146000</v>
      </c>
    </row>
    <row r="1614" spans="1:16">
      <c r="A1614" t="s">
        <v>69</v>
      </c>
      <c r="B1614">
        <v>20260403</v>
      </c>
      <c r="C1614">
        <v>15760</v>
      </c>
      <c r="D1614" t="s">
        <v>70</v>
      </c>
      <c r="E1614" t="s">
        <v>69</v>
      </c>
      <c r="F1614" t="s">
        <v>17</v>
      </c>
      <c r="G1614">
        <v>40300</v>
      </c>
      <c r="H1614">
        <v>-950</v>
      </c>
      <c r="I1614">
        <v>-2.2999999999999998</v>
      </c>
      <c r="J1614">
        <v>41400</v>
      </c>
      <c r="K1614">
        <v>41450</v>
      </c>
      <c r="L1614">
        <v>39850</v>
      </c>
      <c r="M1614">
        <v>3757544</v>
      </c>
      <c r="N1614">
        <v>151869738250</v>
      </c>
      <c r="O1614">
        <v>641964077</v>
      </c>
      <c r="P1614">
        <v>25871152303100</v>
      </c>
    </row>
    <row r="1615" spans="1:16">
      <c r="A1615" t="s">
        <v>69</v>
      </c>
      <c r="B1615">
        <v>20260402</v>
      </c>
      <c r="C1615">
        <v>15760</v>
      </c>
      <c r="D1615" t="s">
        <v>70</v>
      </c>
      <c r="E1615" t="s">
        <v>69</v>
      </c>
      <c r="F1615" t="s">
        <v>17</v>
      </c>
      <c r="G1615">
        <v>41250</v>
      </c>
      <c r="H1615">
        <v>-2450</v>
      </c>
      <c r="I1615">
        <v>-5.61</v>
      </c>
      <c r="J1615">
        <v>44150</v>
      </c>
      <c r="K1615">
        <v>44200</v>
      </c>
      <c r="L1615">
        <v>40800</v>
      </c>
      <c r="M1615">
        <v>2931271</v>
      </c>
      <c r="N1615">
        <v>123252797525</v>
      </c>
      <c r="O1615">
        <v>641964077</v>
      </c>
      <c r="P1615">
        <v>26481018176250</v>
      </c>
    </row>
    <row r="1616" spans="1:16">
      <c r="A1616" t="s">
        <v>69</v>
      </c>
      <c r="B1616">
        <v>20260401</v>
      </c>
      <c r="C1616">
        <v>15760</v>
      </c>
      <c r="D1616" t="s">
        <v>70</v>
      </c>
      <c r="E1616" t="s">
        <v>69</v>
      </c>
      <c r="F1616" t="s">
        <v>17</v>
      </c>
      <c r="G1616">
        <v>43700</v>
      </c>
      <c r="H1616">
        <v>2050</v>
      </c>
      <c r="I1616">
        <v>4.92</v>
      </c>
      <c r="J1616">
        <v>43500</v>
      </c>
      <c r="K1616">
        <v>43800</v>
      </c>
      <c r="L1616">
        <v>42350</v>
      </c>
      <c r="M1616">
        <v>2095081</v>
      </c>
      <c r="N1616">
        <v>90333391125</v>
      </c>
      <c r="O1616">
        <v>641964077</v>
      </c>
      <c r="P1616">
        <v>28053830164900</v>
      </c>
    </row>
    <row r="1617" spans="1:16">
      <c r="A1617" t="s">
        <v>69</v>
      </c>
      <c r="B1617">
        <v>20260331</v>
      </c>
      <c r="C1617">
        <v>15760</v>
      </c>
      <c r="D1617" t="s">
        <v>70</v>
      </c>
      <c r="E1617" t="s">
        <v>69</v>
      </c>
      <c r="F1617" t="s">
        <v>17</v>
      </c>
      <c r="G1617">
        <v>41650</v>
      </c>
      <c r="H1617">
        <v>-550</v>
      </c>
      <c r="I1617">
        <v>-1.3</v>
      </c>
      <c r="J1617">
        <v>41250</v>
      </c>
      <c r="K1617">
        <v>43450</v>
      </c>
      <c r="L1617">
        <v>40700</v>
      </c>
      <c r="M1617">
        <v>3163086</v>
      </c>
      <c r="N1617">
        <v>132793009775</v>
      </c>
      <c r="O1617">
        <v>641964077</v>
      </c>
      <c r="P1617">
        <v>26737803807050</v>
      </c>
    </row>
    <row r="1618" spans="1:16">
      <c r="A1618" t="s">
        <v>69</v>
      </c>
      <c r="B1618">
        <v>20260330</v>
      </c>
      <c r="C1618">
        <v>15760</v>
      </c>
      <c r="D1618" t="s">
        <v>70</v>
      </c>
      <c r="E1618" t="s">
        <v>69</v>
      </c>
      <c r="F1618" t="s">
        <v>17</v>
      </c>
      <c r="G1618">
        <v>42200</v>
      </c>
      <c r="H1618">
        <v>-1700</v>
      </c>
      <c r="I1618">
        <v>-3.87</v>
      </c>
      <c r="J1618">
        <v>41650</v>
      </c>
      <c r="K1618">
        <v>42400</v>
      </c>
      <c r="L1618">
        <v>41500</v>
      </c>
      <c r="M1618">
        <v>2837692</v>
      </c>
      <c r="N1618">
        <v>118716016475</v>
      </c>
      <c r="O1618">
        <v>641964077</v>
      </c>
      <c r="P1618">
        <v>27090884049400</v>
      </c>
    </row>
    <row r="1619" spans="1:16">
      <c r="A1619" t="s">
        <v>69</v>
      </c>
      <c r="B1619">
        <v>20260327</v>
      </c>
      <c r="C1619">
        <v>15760</v>
      </c>
      <c r="D1619" t="s">
        <v>70</v>
      </c>
      <c r="E1619" t="s">
        <v>69</v>
      </c>
      <c r="F1619" t="s">
        <v>17</v>
      </c>
      <c r="G1619">
        <v>43900</v>
      </c>
      <c r="H1619">
        <v>-2100</v>
      </c>
      <c r="I1619">
        <v>-4.57</v>
      </c>
      <c r="J1619">
        <v>44150</v>
      </c>
      <c r="K1619">
        <v>44400</v>
      </c>
      <c r="L1619">
        <v>42200</v>
      </c>
      <c r="M1619">
        <v>2748626</v>
      </c>
      <c r="N1619">
        <v>119273278525</v>
      </c>
      <c r="O1619">
        <v>641964077</v>
      </c>
      <c r="P1619">
        <v>28182222980300</v>
      </c>
    </row>
    <row r="1620" spans="1:16">
      <c r="A1620" t="s">
        <v>69</v>
      </c>
      <c r="B1620">
        <v>20260326</v>
      </c>
      <c r="C1620">
        <v>15760</v>
      </c>
      <c r="D1620" t="s">
        <v>70</v>
      </c>
      <c r="E1620" t="s">
        <v>69</v>
      </c>
      <c r="F1620" t="s">
        <v>17</v>
      </c>
      <c r="G1620">
        <v>46000</v>
      </c>
      <c r="H1620">
        <v>-450</v>
      </c>
      <c r="I1620">
        <v>-0.97</v>
      </c>
      <c r="J1620">
        <v>46400</v>
      </c>
      <c r="K1620">
        <v>46700</v>
      </c>
      <c r="L1620">
        <v>45550</v>
      </c>
      <c r="M1620">
        <v>1499179</v>
      </c>
      <c r="N1620">
        <v>69036907025</v>
      </c>
      <c r="O1620">
        <v>641964077</v>
      </c>
      <c r="P1620">
        <v>29530347542000</v>
      </c>
    </row>
    <row r="1621" spans="1:16">
      <c r="A1621" t="s">
        <v>69</v>
      </c>
      <c r="B1621">
        <v>20260325</v>
      </c>
      <c r="C1621">
        <v>15760</v>
      </c>
      <c r="D1621" t="s">
        <v>70</v>
      </c>
      <c r="E1621" t="s">
        <v>69</v>
      </c>
      <c r="F1621" t="s">
        <v>17</v>
      </c>
      <c r="G1621">
        <v>46450</v>
      </c>
      <c r="H1621">
        <v>-300</v>
      </c>
      <c r="I1621">
        <v>-0.64</v>
      </c>
      <c r="J1621">
        <v>47450</v>
      </c>
      <c r="K1621">
        <v>47750</v>
      </c>
      <c r="L1621">
        <v>46200</v>
      </c>
      <c r="M1621">
        <v>2477570</v>
      </c>
      <c r="N1621">
        <v>115361520750</v>
      </c>
      <c r="O1621">
        <v>641964077</v>
      </c>
      <c r="P1621">
        <v>29819231376650</v>
      </c>
    </row>
    <row r="1622" spans="1:16">
      <c r="A1622" t="s">
        <v>69</v>
      </c>
      <c r="B1622">
        <v>20260324</v>
      </c>
      <c r="C1622">
        <v>15760</v>
      </c>
      <c r="D1622" t="s">
        <v>70</v>
      </c>
      <c r="E1622" t="s">
        <v>69</v>
      </c>
      <c r="F1622" t="s">
        <v>17</v>
      </c>
      <c r="G1622">
        <v>46750</v>
      </c>
      <c r="H1622">
        <v>1150</v>
      </c>
      <c r="I1622">
        <v>2.52</v>
      </c>
      <c r="J1622">
        <v>47600</v>
      </c>
      <c r="K1622">
        <v>47700</v>
      </c>
      <c r="L1622">
        <v>46000</v>
      </c>
      <c r="M1622">
        <v>1670679</v>
      </c>
      <c r="N1622">
        <v>78077499525</v>
      </c>
      <c r="O1622">
        <v>641964077</v>
      </c>
      <c r="P1622">
        <v>30011820599750</v>
      </c>
    </row>
    <row r="1623" spans="1:16">
      <c r="A1623" t="s">
        <v>69</v>
      </c>
      <c r="B1623">
        <v>20260323</v>
      </c>
      <c r="C1623">
        <v>15760</v>
      </c>
      <c r="D1623" t="s">
        <v>70</v>
      </c>
      <c r="E1623" t="s">
        <v>69</v>
      </c>
      <c r="F1623" t="s">
        <v>17</v>
      </c>
      <c r="G1623">
        <v>45600</v>
      </c>
      <c r="H1623">
        <v>-3550</v>
      </c>
      <c r="I1623">
        <v>-7.22</v>
      </c>
      <c r="J1623">
        <v>47300</v>
      </c>
      <c r="K1623">
        <v>47400</v>
      </c>
      <c r="L1623">
        <v>45500</v>
      </c>
      <c r="M1623">
        <v>2521427</v>
      </c>
      <c r="N1623">
        <v>116071699150</v>
      </c>
      <c r="O1623">
        <v>641964077</v>
      </c>
      <c r="P1623">
        <v>29273561911200</v>
      </c>
    </row>
    <row r="1624" spans="1:16">
      <c r="A1624" t="s">
        <v>69</v>
      </c>
      <c r="B1624">
        <v>20260320</v>
      </c>
      <c r="C1624">
        <v>15760</v>
      </c>
      <c r="D1624" t="s">
        <v>70</v>
      </c>
      <c r="E1624" t="s">
        <v>69</v>
      </c>
      <c r="F1624" t="s">
        <v>17</v>
      </c>
      <c r="G1624">
        <v>49150</v>
      </c>
      <c r="H1624">
        <v>850</v>
      </c>
      <c r="I1624">
        <v>1.76</v>
      </c>
      <c r="J1624">
        <v>49000</v>
      </c>
      <c r="K1624">
        <v>49850</v>
      </c>
      <c r="L1624">
        <v>48550</v>
      </c>
      <c r="M1624">
        <v>3110094</v>
      </c>
      <c r="N1624">
        <v>152671474175</v>
      </c>
      <c r="O1624">
        <v>641964077</v>
      </c>
      <c r="P1624">
        <v>31552534384550</v>
      </c>
    </row>
    <row r="1625" spans="1:16">
      <c r="A1625" t="s">
        <v>69</v>
      </c>
      <c r="B1625">
        <v>20260319</v>
      </c>
      <c r="C1625">
        <v>15760</v>
      </c>
      <c r="D1625" t="s">
        <v>70</v>
      </c>
      <c r="E1625" t="s">
        <v>69</v>
      </c>
      <c r="F1625" t="s">
        <v>17</v>
      </c>
      <c r="G1625">
        <v>48300</v>
      </c>
      <c r="H1625">
        <v>-1650</v>
      </c>
      <c r="I1625">
        <v>-3.3</v>
      </c>
      <c r="J1625">
        <v>48850</v>
      </c>
      <c r="K1625">
        <v>48950</v>
      </c>
      <c r="L1625">
        <v>48100</v>
      </c>
      <c r="M1625">
        <v>1725030</v>
      </c>
      <c r="N1625">
        <v>83589714200</v>
      </c>
      <c r="O1625">
        <v>641964077</v>
      </c>
      <c r="P1625">
        <v>31006864919100</v>
      </c>
    </row>
    <row r="1626" spans="1:16">
      <c r="A1626" t="s">
        <v>69</v>
      </c>
      <c r="B1626">
        <v>20260318</v>
      </c>
      <c r="C1626">
        <v>15760</v>
      </c>
      <c r="D1626" t="s">
        <v>70</v>
      </c>
      <c r="E1626" t="s">
        <v>69</v>
      </c>
      <c r="F1626" t="s">
        <v>17</v>
      </c>
      <c r="G1626">
        <v>49950</v>
      </c>
      <c r="H1626">
        <v>1750</v>
      </c>
      <c r="I1626">
        <v>3.63</v>
      </c>
      <c r="J1626">
        <v>48850</v>
      </c>
      <c r="K1626">
        <v>50300</v>
      </c>
      <c r="L1626">
        <v>48500</v>
      </c>
      <c r="M1626">
        <v>2236833</v>
      </c>
      <c r="N1626">
        <v>110653539900</v>
      </c>
      <c r="O1626">
        <v>641964077</v>
      </c>
      <c r="P1626">
        <v>32066105646150</v>
      </c>
    </row>
    <row r="1627" spans="1:16">
      <c r="A1627" t="s">
        <v>69</v>
      </c>
      <c r="B1627">
        <v>20260317</v>
      </c>
      <c r="C1627">
        <v>15760</v>
      </c>
      <c r="D1627" t="s">
        <v>70</v>
      </c>
      <c r="E1627" t="s">
        <v>69</v>
      </c>
      <c r="F1627" t="s">
        <v>17</v>
      </c>
      <c r="G1627">
        <v>48200</v>
      </c>
      <c r="H1627">
        <v>1300</v>
      </c>
      <c r="I1627">
        <v>2.77</v>
      </c>
      <c r="J1627">
        <v>48350</v>
      </c>
      <c r="K1627">
        <v>49500</v>
      </c>
      <c r="L1627">
        <v>47800</v>
      </c>
      <c r="M1627">
        <v>2131127</v>
      </c>
      <c r="N1627">
        <v>103452574325</v>
      </c>
      <c r="O1627">
        <v>641964077</v>
      </c>
      <c r="P1627">
        <v>30942668511400</v>
      </c>
    </row>
    <row r="1628" spans="1:16">
      <c r="A1628" t="s">
        <v>69</v>
      </c>
      <c r="B1628">
        <v>20260316</v>
      </c>
      <c r="C1628">
        <v>15760</v>
      </c>
      <c r="D1628" t="s">
        <v>70</v>
      </c>
      <c r="E1628" t="s">
        <v>69</v>
      </c>
      <c r="F1628" t="s">
        <v>17</v>
      </c>
      <c r="G1628">
        <v>46900</v>
      </c>
      <c r="H1628">
        <v>-1400</v>
      </c>
      <c r="I1628">
        <v>-2.9</v>
      </c>
      <c r="J1628">
        <v>48550</v>
      </c>
      <c r="K1628">
        <v>48600</v>
      </c>
      <c r="L1628">
        <v>46500</v>
      </c>
      <c r="M1628">
        <v>1903043</v>
      </c>
      <c r="N1628">
        <v>90032283225</v>
      </c>
      <c r="O1628">
        <v>641964077</v>
      </c>
      <c r="P1628">
        <v>30108115211300</v>
      </c>
    </row>
    <row r="1629" spans="1:16">
      <c r="A1629" t="s">
        <v>69</v>
      </c>
      <c r="B1629">
        <v>20260313</v>
      </c>
      <c r="C1629">
        <v>15760</v>
      </c>
      <c r="D1629" t="s">
        <v>70</v>
      </c>
      <c r="E1629" t="s">
        <v>69</v>
      </c>
      <c r="F1629" t="s">
        <v>17</v>
      </c>
      <c r="G1629">
        <v>48300</v>
      </c>
      <c r="H1629">
        <v>700</v>
      </c>
      <c r="I1629">
        <v>1.47</v>
      </c>
      <c r="J1629">
        <v>46000</v>
      </c>
      <c r="K1629">
        <v>49950</v>
      </c>
      <c r="L1629">
        <v>45950</v>
      </c>
      <c r="M1629">
        <v>4084749</v>
      </c>
      <c r="N1629">
        <v>198603664750</v>
      </c>
      <c r="O1629">
        <v>641964077</v>
      </c>
      <c r="P1629">
        <v>31006864919100</v>
      </c>
    </row>
    <row r="1630" spans="1:16">
      <c r="A1630" t="s">
        <v>69</v>
      </c>
      <c r="B1630">
        <v>20260312</v>
      </c>
      <c r="C1630">
        <v>15760</v>
      </c>
      <c r="D1630" t="s">
        <v>70</v>
      </c>
      <c r="E1630" t="s">
        <v>69</v>
      </c>
      <c r="F1630" t="s">
        <v>17</v>
      </c>
      <c r="G1630">
        <v>47600</v>
      </c>
      <c r="H1630">
        <v>-350</v>
      </c>
      <c r="I1630">
        <v>-0.73</v>
      </c>
      <c r="J1630">
        <v>47950</v>
      </c>
      <c r="K1630">
        <v>49050</v>
      </c>
      <c r="L1630">
        <v>47150</v>
      </c>
      <c r="M1630">
        <v>1798205</v>
      </c>
      <c r="N1630">
        <v>85734303850</v>
      </c>
      <c r="O1630">
        <v>641964077</v>
      </c>
      <c r="P1630">
        <v>30557490065200</v>
      </c>
    </row>
    <row r="1631" spans="1:16">
      <c r="A1631" t="s">
        <v>69</v>
      </c>
      <c r="B1631">
        <v>20260311</v>
      </c>
      <c r="C1631">
        <v>15760</v>
      </c>
      <c r="D1631" t="s">
        <v>70</v>
      </c>
      <c r="E1631" t="s">
        <v>69</v>
      </c>
      <c r="F1631" t="s">
        <v>17</v>
      </c>
      <c r="G1631">
        <v>47950</v>
      </c>
      <c r="H1631">
        <v>350</v>
      </c>
      <c r="I1631">
        <v>0.74</v>
      </c>
      <c r="J1631">
        <v>49950</v>
      </c>
      <c r="K1631">
        <v>50600</v>
      </c>
      <c r="L1631">
        <v>47300</v>
      </c>
      <c r="M1631">
        <v>3092394</v>
      </c>
      <c r="N1631">
        <v>151951053200</v>
      </c>
      <c r="O1631">
        <v>641964077</v>
      </c>
      <c r="P1631">
        <v>30782177492150</v>
      </c>
    </row>
    <row r="1632" spans="1:16">
      <c r="A1632" t="s">
        <v>69</v>
      </c>
      <c r="B1632">
        <v>20260310</v>
      </c>
      <c r="C1632">
        <v>15760</v>
      </c>
      <c r="D1632" t="s">
        <v>70</v>
      </c>
      <c r="E1632" t="s">
        <v>69</v>
      </c>
      <c r="F1632" t="s">
        <v>17</v>
      </c>
      <c r="G1632">
        <v>47600</v>
      </c>
      <c r="H1632">
        <v>2800</v>
      </c>
      <c r="I1632">
        <v>6.25</v>
      </c>
      <c r="J1632">
        <v>48000</v>
      </c>
      <c r="K1632">
        <v>48450</v>
      </c>
      <c r="L1632">
        <v>46500</v>
      </c>
      <c r="M1632">
        <v>2886391</v>
      </c>
      <c r="N1632">
        <v>136953184825</v>
      </c>
      <c r="O1632">
        <v>641964077</v>
      </c>
      <c r="P1632">
        <v>30557490065200</v>
      </c>
    </row>
    <row r="1633" spans="1:16">
      <c r="A1633" t="s">
        <v>69</v>
      </c>
      <c r="B1633">
        <v>20260309</v>
      </c>
      <c r="C1633">
        <v>15760</v>
      </c>
      <c r="D1633" t="s">
        <v>70</v>
      </c>
      <c r="E1633" t="s">
        <v>69</v>
      </c>
      <c r="F1633" t="s">
        <v>17</v>
      </c>
      <c r="G1633">
        <v>44800</v>
      </c>
      <c r="H1633">
        <v>-4000</v>
      </c>
      <c r="I1633">
        <v>-8.1999999999999993</v>
      </c>
      <c r="J1633">
        <v>45150</v>
      </c>
      <c r="K1633">
        <v>45800</v>
      </c>
      <c r="L1633">
        <v>43550</v>
      </c>
      <c r="M1633">
        <v>5198826</v>
      </c>
      <c r="N1633">
        <v>230765902750</v>
      </c>
      <c r="O1633">
        <v>641964077</v>
      </c>
      <c r="P1633">
        <v>28759990649600</v>
      </c>
    </row>
    <row r="1634" spans="1:16">
      <c r="A1634" t="s">
        <v>69</v>
      </c>
      <c r="B1634">
        <v>20260306</v>
      </c>
      <c r="C1634">
        <v>15760</v>
      </c>
      <c r="D1634" t="s">
        <v>70</v>
      </c>
      <c r="E1634" t="s">
        <v>69</v>
      </c>
      <c r="F1634" t="s">
        <v>17</v>
      </c>
      <c r="G1634">
        <v>48800</v>
      </c>
      <c r="H1634">
        <v>600</v>
      </c>
      <c r="I1634">
        <v>1.24</v>
      </c>
      <c r="J1634">
        <v>47100</v>
      </c>
      <c r="K1634">
        <v>49500</v>
      </c>
      <c r="L1634">
        <v>47000</v>
      </c>
      <c r="M1634">
        <v>2921520</v>
      </c>
      <c r="N1634">
        <v>141831285575</v>
      </c>
      <c r="O1634">
        <v>641964077</v>
      </c>
      <c r="P1634">
        <v>31327846957600</v>
      </c>
    </row>
    <row r="1635" spans="1:16">
      <c r="A1635" t="s">
        <v>69</v>
      </c>
      <c r="B1635">
        <v>20260305</v>
      </c>
      <c r="C1635">
        <v>15760</v>
      </c>
      <c r="D1635" t="s">
        <v>70</v>
      </c>
      <c r="E1635" t="s">
        <v>69</v>
      </c>
      <c r="F1635" t="s">
        <v>17</v>
      </c>
      <c r="G1635">
        <v>48200</v>
      </c>
      <c r="H1635">
        <v>2650</v>
      </c>
      <c r="I1635">
        <v>5.82</v>
      </c>
      <c r="J1635">
        <v>50100</v>
      </c>
      <c r="K1635">
        <v>50600</v>
      </c>
      <c r="L1635">
        <v>47150</v>
      </c>
      <c r="M1635">
        <v>4828975</v>
      </c>
      <c r="N1635">
        <v>235442839750</v>
      </c>
      <c r="O1635">
        <v>641964077</v>
      </c>
      <c r="P1635">
        <v>30942668511400</v>
      </c>
    </row>
    <row r="1636" spans="1:16">
      <c r="A1636" t="s">
        <v>69</v>
      </c>
      <c r="B1636">
        <v>20260304</v>
      </c>
      <c r="C1636">
        <v>15760</v>
      </c>
      <c r="D1636" t="s">
        <v>70</v>
      </c>
      <c r="E1636" t="s">
        <v>69</v>
      </c>
      <c r="F1636" t="s">
        <v>17</v>
      </c>
      <c r="G1636">
        <v>45550</v>
      </c>
      <c r="H1636">
        <v>-5350</v>
      </c>
      <c r="I1636">
        <v>-10.51</v>
      </c>
      <c r="J1636">
        <v>48200</v>
      </c>
      <c r="K1636">
        <v>49800</v>
      </c>
      <c r="L1636">
        <v>44600</v>
      </c>
      <c r="M1636">
        <v>6777742</v>
      </c>
      <c r="N1636">
        <v>319318534125</v>
      </c>
      <c r="O1636">
        <v>641964077</v>
      </c>
      <c r="P1636">
        <v>29241463707350</v>
      </c>
    </row>
    <row r="1637" spans="1:16">
      <c r="A1637" t="s">
        <v>69</v>
      </c>
      <c r="B1637">
        <v>20260303</v>
      </c>
      <c r="C1637">
        <v>15760</v>
      </c>
      <c r="D1637" t="s">
        <v>70</v>
      </c>
      <c r="E1637" t="s">
        <v>69</v>
      </c>
      <c r="F1637" t="s">
        <v>17</v>
      </c>
      <c r="G1637">
        <v>50900</v>
      </c>
      <c r="H1637">
        <v>-7600</v>
      </c>
      <c r="I1637">
        <v>-12.99</v>
      </c>
      <c r="J1637">
        <v>56400</v>
      </c>
      <c r="K1637">
        <v>56800</v>
      </c>
      <c r="L1637">
        <v>50700</v>
      </c>
      <c r="M1637">
        <v>8463135</v>
      </c>
      <c r="N1637">
        <v>447828639250</v>
      </c>
      <c r="O1637">
        <v>641964077</v>
      </c>
      <c r="P1637">
        <v>32675971519300</v>
      </c>
    </row>
    <row r="1638" spans="1:16">
      <c r="A1638" t="s">
        <v>69</v>
      </c>
      <c r="B1638">
        <v>20260227</v>
      </c>
      <c r="C1638">
        <v>15760</v>
      </c>
      <c r="D1638" t="s">
        <v>70</v>
      </c>
      <c r="E1638" t="s">
        <v>69</v>
      </c>
      <c r="F1638" t="s">
        <v>17</v>
      </c>
      <c r="G1638">
        <v>58500</v>
      </c>
      <c r="H1638">
        <v>-4800</v>
      </c>
      <c r="I1638">
        <v>-7.58</v>
      </c>
      <c r="J1638">
        <v>61500</v>
      </c>
      <c r="K1638">
        <v>61800</v>
      </c>
      <c r="L1638">
        <v>58200</v>
      </c>
      <c r="M1638">
        <v>9721473</v>
      </c>
      <c r="N1638">
        <v>574249007100</v>
      </c>
      <c r="O1638">
        <v>641964077</v>
      </c>
      <c r="P1638">
        <v>37554898504500</v>
      </c>
    </row>
    <row r="1639" spans="1:16">
      <c r="A1639" t="s">
        <v>69</v>
      </c>
      <c r="B1639">
        <v>20260226</v>
      </c>
      <c r="C1639">
        <v>15760</v>
      </c>
      <c r="D1639" t="s">
        <v>70</v>
      </c>
      <c r="E1639" t="s">
        <v>69</v>
      </c>
      <c r="F1639" t="s">
        <v>17</v>
      </c>
      <c r="G1639">
        <v>63300</v>
      </c>
      <c r="H1639">
        <v>-1000</v>
      </c>
      <c r="I1639">
        <v>-1.56</v>
      </c>
      <c r="J1639">
        <v>65100</v>
      </c>
      <c r="K1639">
        <v>65200</v>
      </c>
      <c r="L1639">
        <v>62700</v>
      </c>
      <c r="M1639">
        <v>2436442</v>
      </c>
      <c r="N1639">
        <v>155075983150</v>
      </c>
      <c r="O1639">
        <v>641964077</v>
      </c>
      <c r="P1639">
        <v>40636326074100</v>
      </c>
    </row>
    <row r="1640" spans="1:16">
      <c r="A1640" t="s">
        <v>69</v>
      </c>
      <c r="B1640">
        <v>20260225</v>
      </c>
      <c r="C1640">
        <v>15760</v>
      </c>
      <c r="D1640" t="s">
        <v>70</v>
      </c>
      <c r="E1640" t="s">
        <v>69</v>
      </c>
      <c r="F1640" t="s">
        <v>17</v>
      </c>
      <c r="G1640">
        <v>64300</v>
      </c>
      <c r="H1640">
        <v>1500</v>
      </c>
      <c r="I1640">
        <v>2.39</v>
      </c>
      <c r="J1640">
        <v>64100</v>
      </c>
      <c r="K1640">
        <v>65300</v>
      </c>
      <c r="L1640">
        <v>63400</v>
      </c>
      <c r="M1640">
        <v>3153351</v>
      </c>
      <c r="N1640">
        <v>203344699700</v>
      </c>
      <c r="O1640">
        <v>641964077</v>
      </c>
      <c r="P1640">
        <v>41278290151100</v>
      </c>
    </row>
    <row r="1641" spans="1:16">
      <c r="A1641" t="s">
        <v>69</v>
      </c>
      <c r="B1641">
        <v>20260224</v>
      </c>
      <c r="C1641">
        <v>15760</v>
      </c>
      <c r="D1641" t="s">
        <v>70</v>
      </c>
      <c r="E1641" t="s">
        <v>69</v>
      </c>
      <c r="F1641" t="s">
        <v>17</v>
      </c>
      <c r="G1641">
        <v>62800</v>
      </c>
      <c r="H1641">
        <v>100</v>
      </c>
      <c r="I1641">
        <v>0.16</v>
      </c>
      <c r="J1641">
        <v>62500</v>
      </c>
      <c r="K1641">
        <v>63100</v>
      </c>
      <c r="L1641">
        <v>61200</v>
      </c>
      <c r="M1641">
        <v>1629831</v>
      </c>
      <c r="N1641">
        <v>101726995600</v>
      </c>
      <c r="O1641">
        <v>641964077</v>
      </c>
      <c r="P1641">
        <v>40315344035600</v>
      </c>
    </row>
    <row r="1642" spans="1:16">
      <c r="A1642" t="s">
        <v>69</v>
      </c>
      <c r="B1642">
        <v>20260223</v>
      </c>
      <c r="C1642">
        <v>15760</v>
      </c>
      <c r="D1642" t="s">
        <v>70</v>
      </c>
      <c r="E1642" t="s">
        <v>69</v>
      </c>
      <c r="F1642" t="s">
        <v>17</v>
      </c>
      <c r="G1642">
        <v>62700</v>
      </c>
      <c r="H1642">
        <v>-300</v>
      </c>
      <c r="I1642">
        <v>-0.48</v>
      </c>
      <c r="J1642">
        <v>63800</v>
      </c>
      <c r="K1642">
        <v>63900</v>
      </c>
      <c r="L1642">
        <v>61800</v>
      </c>
      <c r="M1642">
        <v>1907525</v>
      </c>
      <c r="N1642">
        <v>119366762750</v>
      </c>
      <c r="O1642">
        <v>641964077</v>
      </c>
      <c r="P1642">
        <v>40251147627900</v>
      </c>
    </row>
    <row r="1643" spans="1:16">
      <c r="A1643" t="s">
        <v>69</v>
      </c>
      <c r="B1643">
        <v>20260220</v>
      </c>
      <c r="C1643">
        <v>15760</v>
      </c>
      <c r="D1643" t="s">
        <v>70</v>
      </c>
      <c r="E1643" t="s">
        <v>69</v>
      </c>
      <c r="F1643" t="s">
        <v>17</v>
      </c>
      <c r="G1643">
        <v>63000</v>
      </c>
      <c r="H1643">
        <v>900</v>
      </c>
      <c r="I1643">
        <v>1.45</v>
      </c>
      <c r="J1643">
        <v>62100</v>
      </c>
      <c r="K1643">
        <v>64300</v>
      </c>
      <c r="L1643">
        <v>61700</v>
      </c>
      <c r="M1643">
        <v>2851514</v>
      </c>
      <c r="N1643">
        <v>180490343900</v>
      </c>
      <c r="O1643">
        <v>641964077</v>
      </c>
      <c r="P1643">
        <v>40443736851000</v>
      </c>
    </row>
    <row r="1644" spans="1:16">
      <c r="A1644" t="s">
        <v>69</v>
      </c>
      <c r="B1644">
        <v>20260219</v>
      </c>
      <c r="C1644">
        <v>15760</v>
      </c>
      <c r="D1644" t="s">
        <v>70</v>
      </c>
      <c r="E1644" t="s">
        <v>69</v>
      </c>
      <c r="F1644" t="s">
        <v>17</v>
      </c>
      <c r="G1644">
        <v>62100</v>
      </c>
      <c r="H1644">
        <v>2300</v>
      </c>
      <c r="I1644">
        <v>3.85</v>
      </c>
      <c r="J1644">
        <v>61100</v>
      </c>
      <c r="K1644">
        <v>63400</v>
      </c>
      <c r="L1644">
        <v>60800</v>
      </c>
      <c r="M1644">
        <v>3404380</v>
      </c>
      <c r="N1644">
        <v>212968316100</v>
      </c>
      <c r="O1644">
        <v>641964077</v>
      </c>
      <c r="P1644">
        <v>39865969181700</v>
      </c>
    </row>
    <row r="1645" spans="1:16">
      <c r="A1645" t="s">
        <v>69</v>
      </c>
      <c r="B1645">
        <v>20260213</v>
      </c>
      <c r="C1645">
        <v>15760</v>
      </c>
      <c r="D1645" t="s">
        <v>70</v>
      </c>
      <c r="E1645" t="s">
        <v>69</v>
      </c>
      <c r="F1645" t="s">
        <v>17</v>
      </c>
      <c r="G1645">
        <v>59800</v>
      </c>
      <c r="H1645">
        <v>-300</v>
      </c>
      <c r="I1645">
        <v>-0.5</v>
      </c>
      <c r="J1645">
        <v>60400</v>
      </c>
      <c r="K1645">
        <v>61200</v>
      </c>
      <c r="L1645">
        <v>59400</v>
      </c>
      <c r="M1645">
        <v>2009683</v>
      </c>
      <c r="N1645">
        <v>120989949900</v>
      </c>
      <c r="O1645">
        <v>641964077</v>
      </c>
      <c r="P1645">
        <v>38389451804600</v>
      </c>
    </row>
    <row r="1646" spans="1:16">
      <c r="A1646" t="s">
        <v>69</v>
      </c>
      <c r="B1646">
        <v>20260212</v>
      </c>
      <c r="C1646">
        <v>15760</v>
      </c>
      <c r="D1646" t="s">
        <v>70</v>
      </c>
      <c r="E1646" t="s">
        <v>69</v>
      </c>
      <c r="F1646" t="s">
        <v>17</v>
      </c>
      <c r="G1646">
        <v>60100</v>
      </c>
      <c r="H1646">
        <v>-900</v>
      </c>
      <c r="I1646">
        <v>-1.48</v>
      </c>
      <c r="J1646">
        <v>61700</v>
      </c>
      <c r="K1646">
        <v>61700</v>
      </c>
      <c r="L1646">
        <v>60100</v>
      </c>
      <c r="M1646">
        <v>2950481</v>
      </c>
      <c r="N1646">
        <v>178873707800</v>
      </c>
      <c r="O1646">
        <v>641964077</v>
      </c>
      <c r="P1646">
        <v>38582041027700</v>
      </c>
    </row>
    <row r="1647" spans="1:16">
      <c r="A1647" t="s">
        <v>69</v>
      </c>
      <c r="B1647">
        <v>20260211</v>
      </c>
      <c r="C1647">
        <v>15760</v>
      </c>
      <c r="D1647" t="s">
        <v>70</v>
      </c>
      <c r="E1647" t="s">
        <v>69</v>
      </c>
      <c r="F1647" t="s">
        <v>17</v>
      </c>
      <c r="G1647">
        <v>61000</v>
      </c>
      <c r="H1647">
        <v>200</v>
      </c>
      <c r="I1647">
        <v>0.33</v>
      </c>
      <c r="J1647">
        <v>61300</v>
      </c>
      <c r="K1647">
        <v>62100</v>
      </c>
      <c r="L1647">
        <v>60600</v>
      </c>
      <c r="M1647">
        <v>1790091</v>
      </c>
      <c r="N1647">
        <v>109731719400</v>
      </c>
      <c r="O1647">
        <v>641964077</v>
      </c>
      <c r="P1647">
        <v>39159808697000</v>
      </c>
    </row>
    <row r="1648" spans="1:16">
      <c r="A1648" t="s">
        <v>69</v>
      </c>
      <c r="B1648">
        <v>20260210</v>
      </c>
      <c r="C1648">
        <v>15760</v>
      </c>
      <c r="D1648" t="s">
        <v>70</v>
      </c>
      <c r="E1648" t="s">
        <v>69</v>
      </c>
      <c r="F1648" t="s">
        <v>17</v>
      </c>
      <c r="G1648">
        <v>60800</v>
      </c>
      <c r="H1648">
        <v>-1800</v>
      </c>
      <c r="I1648">
        <v>-2.88</v>
      </c>
      <c r="J1648">
        <v>62700</v>
      </c>
      <c r="K1648">
        <v>62900</v>
      </c>
      <c r="L1648">
        <v>60500</v>
      </c>
      <c r="M1648">
        <v>1920960</v>
      </c>
      <c r="N1648">
        <v>117539413650</v>
      </c>
      <c r="O1648">
        <v>641964077</v>
      </c>
      <c r="P1648">
        <v>39031415881600</v>
      </c>
    </row>
    <row r="1649" spans="1:16">
      <c r="A1649" t="s">
        <v>69</v>
      </c>
      <c r="B1649">
        <v>20260209</v>
      </c>
      <c r="C1649">
        <v>15760</v>
      </c>
      <c r="D1649" t="s">
        <v>70</v>
      </c>
      <c r="E1649" t="s">
        <v>69</v>
      </c>
      <c r="F1649" t="s">
        <v>17</v>
      </c>
      <c r="G1649">
        <v>62600</v>
      </c>
      <c r="H1649">
        <v>1900</v>
      </c>
      <c r="I1649">
        <v>3.13</v>
      </c>
      <c r="J1649">
        <v>62300</v>
      </c>
      <c r="K1649">
        <v>62700</v>
      </c>
      <c r="L1649">
        <v>60700</v>
      </c>
      <c r="M1649">
        <v>2719421</v>
      </c>
      <c r="N1649">
        <v>168793564550</v>
      </c>
      <c r="O1649">
        <v>641964077</v>
      </c>
      <c r="P1649">
        <v>40186951220200</v>
      </c>
    </row>
    <row r="1650" spans="1:16">
      <c r="A1650" t="s">
        <v>69</v>
      </c>
      <c r="B1650">
        <v>20260206</v>
      </c>
      <c r="C1650">
        <v>15760</v>
      </c>
      <c r="D1650" t="s">
        <v>70</v>
      </c>
      <c r="E1650" t="s">
        <v>69</v>
      </c>
      <c r="F1650" t="s">
        <v>17</v>
      </c>
      <c r="G1650">
        <v>60700</v>
      </c>
      <c r="H1650">
        <v>-1200</v>
      </c>
      <c r="I1650">
        <v>-1.94</v>
      </c>
      <c r="J1650">
        <v>60100</v>
      </c>
      <c r="K1650">
        <v>61300</v>
      </c>
      <c r="L1650">
        <v>58500</v>
      </c>
      <c r="M1650">
        <v>2464612</v>
      </c>
      <c r="N1650">
        <v>147927966300</v>
      </c>
      <c r="O1650">
        <v>641964077</v>
      </c>
      <c r="P1650">
        <v>38967219473900</v>
      </c>
    </row>
    <row r="1651" spans="1:16">
      <c r="A1651" t="s">
        <v>69</v>
      </c>
      <c r="B1651">
        <v>20260205</v>
      </c>
      <c r="C1651">
        <v>15760</v>
      </c>
      <c r="D1651" t="s">
        <v>70</v>
      </c>
      <c r="E1651" t="s">
        <v>69</v>
      </c>
      <c r="F1651" t="s">
        <v>17</v>
      </c>
      <c r="G1651">
        <v>61900</v>
      </c>
      <c r="H1651">
        <v>-800</v>
      </c>
      <c r="I1651">
        <v>-1.28</v>
      </c>
      <c r="J1651">
        <v>61700</v>
      </c>
      <c r="K1651">
        <v>62900</v>
      </c>
      <c r="L1651">
        <v>60400</v>
      </c>
      <c r="M1651">
        <v>2644001</v>
      </c>
      <c r="N1651">
        <v>162869931150</v>
      </c>
      <c r="O1651">
        <v>641964077</v>
      </c>
      <c r="P1651">
        <v>39737576366300</v>
      </c>
    </row>
    <row r="1652" spans="1:16">
      <c r="A1652" t="s">
        <v>69</v>
      </c>
      <c r="B1652">
        <v>20260204</v>
      </c>
      <c r="C1652">
        <v>15760</v>
      </c>
      <c r="D1652" t="s">
        <v>70</v>
      </c>
      <c r="E1652" t="s">
        <v>69</v>
      </c>
      <c r="F1652" t="s">
        <v>17</v>
      </c>
      <c r="G1652">
        <v>62700</v>
      </c>
      <c r="H1652">
        <v>3200</v>
      </c>
      <c r="I1652">
        <v>5.38</v>
      </c>
      <c r="J1652">
        <v>61400</v>
      </c>
      <c r="K1652">
        <v>64300</v>
      </c>
      <c r="L1652">
        <v>60500</v>
      </c>
      <c r="M1652">
        <v>6239572</v>
      </c>
      <c r="N1652">
        <v>392921654800</v>
      </c>
      <c r="O1652">
        <v>641964077</v>
      </c>
      <c r="P1652">
        <v>40251147627900</v>
      </c>
    </row>
    <row r="1653" spans="1:16">
      <c r="A1653" t="s">
        <v>69</v>
      </c>
      <c r="B1653">
        <v>20260203</v>
      </c>
      <c r="C1653">
        <v>15760</v>
      </c>
      <c r="D1653" t="s">
        <v>70</v>
      </c>
      <c r="E1653" t="s">
        <v>69</v>
      </c>
      <c r="F1653" t="s">
        <v>17</v>
      </c>
      <c r="G1653">
        <v>59500</v>
      </c>
      <c r="H1653">
        <v>2200</v>
      </c>
      <c r="I1653">
        <v>3.84</v>
      </c>
      <c r="J1653">
        <v>58700</v>
      </c>
      <c r="K1653">
        <v>59600</v>
      </c>
      <c r="L1653">
        <v>57500</v>
      </c>
      <c r="M1653">
        <v>2599478</v>
      </c>
      <c r="N1653">
        <v>153317541700</v>
      </c>
      <c r="O1653">
        <v>641964077</v>
      </c>
      <c r="P1653">
        <v>38196862581500</v>
      </c>
    </row>
    <row r="1654" spans="1:16">
      <c r="A1654" t="s">
        <v>69</v>
      </c>
      <c r="B1654">
        <v>20260202</v>
      </c>
      <c r="C1654">
        <v>15760</v>
      </c>
      <c r="D1654" t="s">
        <v>70</v>
      </c>
      <c r="E1654" t="s">
        <v>69</v>
      </c>
      <c r="F1654" t="s">
        <v>17</v>
      </c>
      <c r="G1654">
        <v>57300</v>
      </c>
      <c r="H1654">
        <v>-1000</v>
      </c>
      <c r="I1654">
        <v>-1.72</v>
      </c>
      <c r="J1654">
        <v>57300</v>
      </c>
      <c r="K1654">
        <v>59300</v>
      </c>
      <c r="L1654">
        <v>56100</v>
      </c>
      <c r="M1654">
        <v>2893501</v>
      </c>
      <c r="N1654">
        <v>166873604250</v>
      </c>
      <c r="O1654">
        <v>641964077</v>
      </c>
      <c r="P1654">
        <v>36784541612100</v>
      </c>
    </row>
    <row r="1655" spans="1:16">
      <c r="A1655" t="s">
        <v>69</v>
      </c>
      <c r="B1655">
        <v>20260130</v>
      </c>
      <c r="C1655">
        <v>15760</v>
      </c>
      <c r="D1655" t="s">
        <v>70</v>
      </c>
      <c r="E1655" t="s">
        <v>69</v>
      </c>
      <c r="F1655" t="s">
        <v>17</v>
      </c>
      <c r="G1655">
        <v>58300</v>
      </c>
      <c r="H1655">
        <v>-2700</v>
      </c>
      <c r="I1655">
        <v>-4.43</v>
      </c>
      <c r="J1655">
        <v>60100</v>
      </c>
      <c r="K1655">
        <v>60200</v>
      </c>
      <c r="L1655">
        <v>58000</v>
      </c>
      <c r="M1655">
        <v>3707847</v>
      </c>
      <c r="N1655">
        <v>217940287550</v>
      </c>
      <c r="O1655">
        <v>641964077</v>
      </c>
      <c r="P1655">
        <v>37426505689100</v>
      </c>
    </row>
    <row r="1656" spans="1:16">
      <c r="A1656" t="s">
        <v>69</v>
      </c>
      <c r="B1656">
        <v>20260129</v>
      </c>
      <c r="C1656">
        <v>15760</v>
      </c>
      <c r="D1656" t="s">
        <v>70</v>
      </c>
      <c r="E1656" t="s">
        <v>69</v>
      </c>
      <c r="F1656" t="s">
        <v>17</v>
      </c>
      <c r="G1656">
        <v>61000</v>
      </c>
      <c r="H1656">
        <v>1600</v>
      </c>
      <c r="I1656">
        <v>2.69</v>
      </c>
      <c r="J1656">
        <v>60600</v>
      </c>
      <c r="K1656">
        <v>61600</v>
      </c>
      <c r="L1656">
        <v>59800</v>
      </c>
      <c r="M1656">
        <v>3772465</v>
      </c>
      <c r="N1656">
        <v>228705408700</v>
      </c>
      <c r="O1656">
        <v>641964077</v>
      </c>
      <c r="P1656">
        <v>39159808697000</v>
      </c>
    </row>
    <row r="1657" spans="1:16">
      <c r="A1657" t="s">
        <v>69</v>
      </c>
      <c r="B1657">
        <v>20260128</v>
      </c>
      <c r="C1657">
        <v>15760</v>
      </c>
      <c r="D1657" t="s">
        <v>70</v>
      </c>
      <c r="E1657" t="s">
        <v>69</v>
      </c>
      <c r="F1657" t="s">
        <v>17</v>
      </c>
      <c r="G1657">
        <v>59400</v>
      </c>
      <c r="H1657">
        <v>-1100</v>
      </c>
      <c r="I1657">
        <v>-1.82</v>
      </c>
      <c r="J1657">
        <v>61100</v>
      </c>
      <c r="K1657">
        <v>61500</v>
      </c>
      <c r="L1657">
        <v>59000</v>
      </c>
      <c r="M1657">
        <v>3560872</v>
      </c>
      <c r="N1657">
        <v>212834752700</v>
      </c>
      <c r="O1657">
        <v>641964077</v>
      </c>
      <c r="P1657">
        <v>38132666173800</v>
      </c>
    </row>
    <row r="1658" spans="1:16">
      <c r="A1658" t="s">
        <v>69</v>
      </c>
      <c r="B1658">
        <v>20260127</v>
      </c>
      <c r="C1658">
        <v>15760</v>
      </c>
      <c r="D1658" t="s">
        <v>70</v>
      </c>
      <c r="E1658" t="s">
        <v>69</v>
      </c>
      <c r="F1658" t="s">
        <v>17</v>
      </c>
      <c r="G1658">
        <v>60500</v>
      </c>
      <c r="H1658">
        <v>100</v>
      </c>
      <c r="I1658">
        <v>0.17</v>
      </c>
      <c r="J1658">
        <v>64100</v>
      </c>
      <c r="K1658">
        <v>64200</v>
      </c>
      <c r="L1658">
        <v>60400</v>
      </c>
      <c r="M1658">
        <v>4426517</v>
      </c>
      <c r="N1658">
        <v>271690477800</v>
      </c>
      <c r="O1658">
        <v>641964077</v>
      </c>
      <c r="P1658">
        <v>38838826658500</v>
      </c>
    </row>
    <row r="1659" spans="1:16">
      <c r="A1659" t="s">
        <v>69</v>
      </c>
      <c r="B1659">
        <v>20260126</v>
      </c>
      <c r="C1659">
        <v>15760</v>
      </c>
      <c r="D1659" t="s">
        <v>70</v>
      </c>
      <c r="E1659" t="s">
        <v>69</v>
      </c>
      <c r="F1659" t="s">
        <v>17</v>
      </c>
      <c r="G1659">
        <v>60400</v>
      </c>
      <c r="H1659">
        <v>-800</v>
      </c>
      <c r="I1659">
        <v>-1.31</v>
      </c>
      <c r="J1659">
        <v>61600</v>
      </c>
      <c r="K1659">
        <v>62300</v>
      </c>
      <c r="L1659">
        <v>60100</v>
      </c>
      <c r="M1659">
        <v>3198151</v>
      </c>
      <c r="N1659">
        <v>194877021350</v>
      </c>
      <c r="O1659">
        <v>641964077</v>
      </c>
      <c r="P1659">
        <v>38774630250800</v>
      </c>
    </row>
    <row r="1660" spans="1:16">
      <c r="A1660" t="s">
        <v>69</v>
      </c>
      <c r="B1660">
        <v>20260123</v>
      </c>
      <c r="C1660">
        <v>15760</v>
      </c>
      <c r="D1660" t="s">
        <v>70</v>
      </c>
      <c r="E1660" t="s">
        <v>69</v>
      </c>
      <c r="F1660" t="s">
        <v>17</v>
      </c>
      <c r="G1660">
        <v>61200</v>
      </c>
      <c r="H1660">
        <v>-4800</v>
      </c>
      <c r="I1660">
        <v>-7.27</v>
      </c>
      <c r="J1660">
        <v>64400</v>
      </c>
      <c r="K1660">
        <v>64700</v>
      </c>
      <c r="L1660">
        <v>60100</v>
      </c>
      <c r="M1660">
        <v>8221947</v>
      </c>
      <c r="N1660">
        <v>507826047650</v>
      </c>
      <c r="O1660">
        <v>641964077</v>
      </c>
      <c r="P1660">
        <v>39288201512400</v>
      </c>
    </row>
    <row r="1661" spans="1:16">
      <c r="A1661" t="s">
        <v>69</v>
      </c>
      <c r="B1661">
        <v>20260122</v>
      </c>
      <c r="C1661">
        <v>15760</v>
      </c>
      <c r="D1661" t="s">
        <v>70</v>
      </c>
      <c r="E1661" t="s">
        <v>69</v>
      </c>
      <c r="F1661" t="s">
        <v>17</v>
      </c>
      <c r="G1661">
        <v>66000</v>
      </c>
      <c r="H1661">
        <v>-1900</v>
      </c>
      <c r="I1661">
        <v>-2.8</v>
      </c>
      <c r="J1661">
        <v>67800</v>
      </c>
      <c r="K1661">
        <v>68300</v>
      </c>
      <c r="L1661">
        <v>65600</v>
      </c>
      <c r="M1661">
        <v>5744688</v>
      </c>
      <c r="N1661">
        <v>383765642300</v>
      </c>
      <c r="O1661">
        <v>641964077</v>
      </c>
      <c r="P1661">
        <v>42369629082000</v>
      </c>
    </row>
    <row r="1662" spans="1:16">
      <c r="A1662" t="s">
        <v>69</v>
      </c>
      <c r="B1662">
        <v>20260121</v>
      </c>
      <c r="C1662">
        <v>15760</v>
      </c>
      <c r="D1662" t="s">
        <v>70</v>
      </c>
      <c r="E1662" t="s">
        <v>69</v>
      </c>
      <c r="F1662" t="s">
        <v>17</v>
      </c>
      <c r="G1662">
        <v>67900</v>
      </c>
      <c r="H1662">
        <v>2500</v>
      </c>
      <c r="I1662">
        <v>3.82</v>
      </c>
      <c r="J1662">
        <v>65300</v>
      </c>
      <c r="K1662">
        <v>69500</v>
      </c>
      <c r="L1662">
        <v>64900</v>
      </c>
      <c r="M1662">
        <v>12232205</v>
      </c>
      <c r="N1662">
        <v>826620216000</v>
      </c>
      <c r="O1662">
        <v>641964077</v>
      </c>
      <c r="P1662">
        <v>43589360828300</v>
      </c>
    </row>
    <row r="1663" spans="1:16">
      <c r="A1663" t="s">
        <v>69</v>
      </c>
      <c r="B1663">
        <v>20260120</v>
      </c>
      <c r="C1663">
        <v>15760</v>
      </c>
      <c r="D1663" t="s">
        <v>70</v>
      </c>
      <c r="E1663" t="s">
        <v>69</v>
      </c>
      <c r="F1663" t="s">
        <v>17</v>
      </c>
      <c r="G1663">
        <v>65400</v>
      </c>
      <c r="H1663">
        <v>9100</v>
      </c>
      <c r="I1663">
        <v>16.16</v>
      </c>
      <c r="J1663">
        <v>56000</v>
      </c>
      <c r="K1663">
        <v>67300</v>
      </c>
      <c r="L1663">
        <v>55800</v>
      </c>
      <c r="M1663">
        <v>18881532</v>
      </c>
      <c r="N1663">
        <v>1190861202550</v>
      </c>
      <c r="O1663">
        <v>641964077</v>
      </c>
      <c r="P1663">
        <v>41984450635800</v>
      </c>
    </row>
    <row r="1664" spans="1:16">
      <c r="A1664" t="s">
        <v>69</v>
      </c>
      <c r="B1664">
        <v>20260119</v>
      </c>
      <c r="C1664">
        <v>15760</v>
      </c>
      <c r="D1664" t="s">
        <v>70</v>
      </c>
      <c r="E1664" t="s">
        <v>69</v>
      </c>
      <c r="F1664" t="s">
        <v>17</v>
      </c>
      <c r="G1664">
        <v>56300</v>
      </c>
      <c r="H1664">
        <v>1600</v>
      </c>
      <c r="I1664">
        <v>2.93</v>
      </c>
      <c r="J1664">
        <v>55100</v>
      </c>
      <c r="K1664">
        <v>56700</v>
      </c>
      <c r="L1664">
        <v>54000</v>
      </c>
      <c r="M1664">
        <v>3627467</v>
      </c>
      <c r="N1664">
        <v>201654351000</v>
      </c>
      <c r="O1664">
        <v>641964077</v>
      </c>
      <c r="P1664">
        <v>36142577535100</v>
      </c>
    </row>
    <row r="1665" spans="1:16">
      <c r="A1665" t="s">
        <v>69</v>
      </c>
      <c r="B1665">
        <v>20260116</v>
      </c>
      <c r="C1665">
        <v>15760</v>
      </c>
      <c r="D1665" t="s">
        <v>70</v>
      </c>
      <c r="E1665" t="s">
        <v>69</v>
      </c>
      <c r="F1665" t="s">
        <v>17</v>
      </c>
      <c r="G1665">
        <v>54700</v>
      </c>
      <c r="H1665">
        <v>900</v>
      </c>
      <c r="I1665">
        <v>1.67</v>
      </c>
      <c r="J1665">
        <v>54300</v>
      </c>
      <c r="K1665">
        <v>55500</v>
      </c>
      <c r="L1665">
        <v>53900</v>
      </c>
      <c r="M1665">
        <v>3398110</v>
      </c>
      <c r="N1665">
        <v>185597737725</v>
      </c>
      <c r="O1665">
        <v>641964077</v>
      </c>
      <c r="P1665">
        <v>35115435011900</v>
      </c>
    </row>
    <row r="1666" spans="1:16">
      <c r="A1666" t="s">
        <v>69</v>
      </c>
      <c r="B1666">
        <v>20260115</v>
      </c>
      <c r="C1666">
        <v>15760</v>
      </c>
      <c r="D1666" t="s">
        <v>70</v>
      </c>
      <c r="E1666" t="s">
        <v>69</v>
      </c>
      <c r="F1666" t="s">
        <v>17</v>
      </c>
      <c r="G1666">
        <v>53800</v>
      </c>
      <c r="H1666">
        <v>200</v>
      </c>
      <c r="I1666">
        <v>0.37</v>
      </c>
      <c r="J1666">
        <v>54400</v>
      </c>
      <c r="K1666">
        <v>54400</v>
      </c>
      <c r="L1666">
        <v>52700</v>
      </c>
      <c r="M1666">
        <v>2398352</v>
      </c>
      <c r="N1666">
        <v>128114936600</v>
      </c>
      <c r="O1666">
        <v>641964077</v>
      </c>
      <c r="P1666">
        <v>34537667342600</v>
      </c>
    </row>
    <row r="1667" spans="1:16">
      <c r="A1667" t="s">
        <v>69</v>
      </c>
      <c r="B1667">
        <v>20260114</v>
      </c>
      <c r="C1667">
        <v>15760</v>
      </c>
      <c r="D1667" t="s">
        <v>70</v>
      </c>
      <c r="E1667" t="s">
        <v>69</v>
      </c>
      <c r="F1667" t="s">
        <v>17</v>
      </c>
      <c r="G1667">
        <v>53600</v>
      </c>
      <c r="H1667">
        <v>-2100</v>
      </c>
      <c r="I1667">
        <v>-3.77</v>
      </c>
      <c r="J1667">
        <v>55000</v>
      </c>
      <c r="K1667">
        <v>55000</v>
      </c>
      <c r="L1667">
        <v>53100</v>
      </c>
      <c r="M1667">
        <v>3811192</v>
      </c>
      <c r="N1667">
        <v>205363869500</v>
      </c>
      <c r="O1667">
        <v>641964077</v>
      </c>
      <c r="P1667">
        <v>34409274527200</v>
      </c>
    </row>
    <row r="1668" spans="1:16">
      <c r="A1668" t="s">
        <v>69</v>
      </c>
      <c r="B1668">
        <v>20260113</v>
      </c>
      <c r="C1668">
        <v>15760</v>
      </c>
      <c r="D1668" t="s">
        <v>70</v>
      </c>
      <c r="E1668" t="s">
        <v>69</v>
      </c>
      <c r="F1668" t="s">
        <v>17</v>
      </c>
      <c r="G1668">
        <v>55700</v>
      </c>
      <c r="H1668">
        <v>4700</v>
      </c>
      <c r="I1668">
        <v>9.2200000000000006</v>
      </c>
      <c r="J1668">
        <v>51800</v>
      </c>
      <c r="K1668">
        <v>55800</v>
      </c>
      <c r="L1668">
        <v>51100</v>
      </c>
      <c r="M1668">
        <v>7092857</v>
      </c>
      <c r="N1668">
        <v>381799119100</v>
      </c>
      <c r="O1668">
        <v>641964077</v>
      </c>
      <c r="P1668">
        <v>35757399088900</v>
      </c>
    </row>
    <row r="1669" spans="1:16">
      <c r="A1669" t="s">
        <v>69</v>
      </c>
      <c r="B1669">
        <v>20260112</v>
      </c>
      <c r="C1669">
        <v>15760</v>
      </c>
      <c r="D1669" t="s">
        <v>70</v>
      </c>
      <c r="E1669" t="s">
        <v>69</v>
      </c>
      <c r="F1669" t="s">
        <v>17</v>
      </c>
      <c r="G1669">
        <v>51000</v>
      </c>
      <c r="H1669">
        <v>1600</v>
      </c>
      <c r="I1669">
        <v>3.24</v>
      </c>
      <c r="J1669">
        <v>50400</v>
      </c>
      <c r="K1669">
        <v>51300</v>
      </c>
      <c r="L1669">
        <v>50200</v>
      </c>
      <c r="M1669">
        <v>2639091</v>
      </c>
      <c r="N1669">
        <v>133831581050</v>
      </c>
      <c r="O1669">
        <v>641964077</v>
      </c>
      <c r="P1669">
        <v>32740167927000</v>
      </c>
    </row>
    <row r="1670" spans="1:16">
      <c r="A1670" t="s">
        <v>69</v>
      </c>
      <c r="B1670">
        <v>20260109</v>
      </c>
      <c r="C1670">
        <v>15760</v>
      </c>
      <c r="D1670" t="s">
        <v>70</v>
      </c>
      <c r="E1670" t="s">
        <v>69</v>
      </c>
      <c r="F1670" t="s">
        <v>17</v>
      </c>
      <c r="G1670">
        <v>49400</v>
      </c>
      <c r="H1670">
        <v>250</v>
      </c>
      <c r="I1670">
        <v>0.51</v>
      </c>
      <c r="J1670">
        <v>49550</v>
      </c>
      <c r="K1670">
        <v>50000</v>
      </c>
      <c r="L1670">
        <v>48950</v>
      </c>
      <c r="M1670">
        <v>1260933</v>
      </c>
      <c r="N1670">
        <v>62283130325</v>
      </c>
      <c r="O1670">
        <v>641964077</v>
      </c>
      <c r="P1670">
        <v>31713025403800</v>
      </c>
    </row>
    <row r="1671" spans="1:16">
      <c r="A1671" t="s">
        <v>69</v>
      </c>
      <c r="B1671">
        <v>20260108</v>
      </c>
      <c r="C1671">
        <v>15760</v>
      </c>
      <c r="D1671" t="s">
        <v>70</v>
      </c>
      <c r="E1671" t="s">
        <v>69</v>
      </c>
      <c r="F1671" t="s">
        <v>17</v>
      </c>
      <c r="G1671">
        <v>49150</v>
      </c>
      <c r="H1671">
        <v>-450</v>
      </c>
      <c r="I1671">
        <v>-0.91</v>
      </c>
      <c r="J1671">
        <v>49450</v>
      </c>
      <c r="K1671">
        <v>50100</v>
      </c>
      <c r="L1671">
        <v>48950</v>
      </c>
      <c r="M1671">
        <v>1966117</v>
      </c>
      <c r="N1671">
        <v>97124772100</v>
      </c>
      <c r="O1671">
        <v>641964077</v>
      </c>
      <c r="P1671">
        <v>31552534384550</v>
      </c>
    </row>
    <row r="1672" spans="1:16">
      <c r="A1672" t="s">
        <v>69</v>
      </c>
      <c r="B1672">
        <v>20260107</v>
      </c>
      <c r="C1672">
        <v>15760</v>
      </c>
      <c r="D1672" t="s">
        <v>70</v>
      </c>
      <c r="E1672" t="s">
        <v>69</v>
      </c>
      <c r="F1672" t="s">
        <v>17</v>
      </c>
      <c r="G1672">
        <v>49600</v>
      </c>
      <c r="H1672">
        <v>-900</v>
      </c>
      <c r="I1672">
        <v>-1.78</v>
      </c>
      <c r="J1672">
        <v>50500</v>
      </c>
      <c r="K1672">
        <v>51200</v>
      </c>
      <c r="L1672">
        <v>49250</v>
      </c>
      <c r="M1672">
        <v>2341553</v>
      </c>
      <c r="N1672">
        <v>116900322850</v>
      </c>
      <c r="O1672">
        <v>641964077</v>
      </c>
      <c r="P1672">
        <v>31841418219200</v>
      </c>
    </row>
    <row r="1673" spans="1:16">
      <c r="A1673" t="s">
        <v>69</v>
      </c>
      <c r="B1673">
        <v>20260106</v>
      </c>
      <c r="C1673">
        <v>15760</v>
      </c>
      <c r="D1673" t="s">
        <v>70</v>
      </c>
      <c r="E1673" t="s">
        <v>69</v>
      </c>
      <c r="F1673" t="s">
        <v>17</v>
      </c>
      <c r="G1673">
        <v>50500</v>
      </c>
      <c r="H1673">
        <v>650</v>
      </c>
      <c r="I1673">
        <v>1.3</v>
      </c>
      <c r="J1673">
        <v>50200</v>
      </c>
      <c r="K1673">
        <v>50500</v>
      </c>
      <c r="L1673">
        <v>49100</v>
      </c>
      <c r="M1673">
        <v>2117044</v>
      </c>
      <c r="N1673">
        <v>105982008525</v>
      </c>
      <c r="O1673">
        <v>641964077</v>
      </c>
      <c r="P1673">
        <v>32419185888500</v>
      </c>
    </row>
    <row r="1674" spans="1:16">
      <c r="A1674" t="s">
        <v>69</v>
      </c>
      <c r="B1674">
        <v>20260105</v>
      </c>
      <c r="C1674">
        <v>15760</v>
      </c>
      <c r="D1674" t="s">
        <v>70</v>
      </c>
      <c r="E1674" t="s">
        <v>69</v>
      </c>
      <c r="F1674" t="s">
        <v>17</v>
      </c>
      <c r="G1674">
        <v>49850</v>
      </c>
      <c r="H1674">
        <v>3350</v>
      </c>
      <c r="I1674">
        <v>7.2</v>
      </c>
      <c r="J1674">
        <v>47000</v>
      </c>
      <c r="K1674">
        <v>49850</v>
      </c>
      <c r="L1674">
        <v>47000</v>
      </c>
      <c r="M1674">
        <v>4063858</v>
      </c>
      <c r="N1674">
        <v>198912363600</v>
      </c>
      <c r="O1674">
        <v>641964077</v>
      </c>
      <c r="P1674">
        <v>32001909238450</v>
      </c>
    </row>
    <row r="1675" spans="1:16">
      <c r="A1675" t="s">
        <v>69</v>
      </c>
      <c r="B1675">
        <v>20260102</v>
      </c>
      <c r="C1675">
        <v>15760</v>
      </c>
      <c r="D1675" t="s">
        <v>70</v>
      </c>
      <c r="E1675" t="s">
        <v>69</v>
      </c>
      <c r="F1675" t="s">
        <v>17</v>
      </c>
      <c r="G1675">
        <v>46500</v>
      </c>
      <c r="H1675">
        <v>-700</v>
      </c>
      <c r="I1675">
        <v>-1.48</v>
      </c>
      <c r="J1675">
        <v>47200</v>
      </c>
      <c r="K1675">
        <v>47200</v>
      </c>
      <c r="L1675">
        <v>45700</v>
      </c>
      <c r="M1675">
        <v>2308514</v>
      </c>
      <c r="N1675">
        <v>106595555125</v>
      </c>
      <c r="O1675">
        <v>641964077</v>
      </c>
      <c r="P1675">
        <v>29851329580500</v>
      </c>
    </row>
    <row r="1676" spans="1:16">
      <c r="A1676" t="s">
        <v>71</v>
      </c>
      <c r="B1676">
        <v>20260403</v>
      </c>
      <c r="C1676">
        <v>272210</v>
      </c>
      <c r="D1676" t="s">
        <v>72</v>
      </c>
      <c r="E1676" t="s">
        <v>71</v>
      </c>
      <c r="F1676" t="s">
        <v>17</v>
      </c>
      <c r="G1676">
        <v>135400</v>
      </c>
      <c r="H1676">
        <v>6200</v>
      </c>
      <c r="I1676">
        <v>4.8</v>
      </c>
      <c r="J1676">
        <v>132600</v>
      </c>
      <c r="K1676">
        <v>138800</v>
      </c>
      <c r="L1676">
        <v>130100</v>
      </c>
      <c r="M1676">
        <v>1927511</v>
      </c>
      <c r="N1676">
        <v>260424754550</v>
      </c>
      <c r="O1676">
        <v>188919389</v>
      </c>
      <c r="P1676">
        <v>25579685270600</v>
      </c>
    </row>
    <row r="1677" spans="1:16">
      <c r="A1677" t="s">
        <v>71</v>
      </c>
      <c r="B1677">
        <v>20260402</v>
      </c>
      <c r="C1677">
        <v>272210</v>
      </c>
      <c r="D1677" t="s">
        <v>72</v>
      </c>
      <c r="E1677" t="s">
        <v>71</v>
      </c>
      <c r="F1677" t="s">
        <v>17</v>
      </c>
      <c r="G1677">
        <v>129200</v>
      </c>
      <c r="H1677">
        <v>400</v>
      </c>
      <c r="I1677">
        <v>0.31</v>
      </c>
      <c r="J1677">
        <v>130700</v>
      </c>
      <c r="K1677">
        <v>138900</v>
      </c>
      <c r="L1677">
        <v>127000</v>
      </c>
      <c r="M1677">
        <v>2808950</v>
      </c>
      <c r="N1677">
        <v>373395076300</v>
      </c>
      <c r="O1677">
        <v>188919389</v>
      </c>
      <c r="P1677">
        <v>24408385058800</v>
      </c>
    </row>
    <row r="1678" spans="1:16">
      <c r="A1678" t="s">
        <v>71</v>
      </c>
      <c r="B1678">
        <v>20260401</v>
      </c>
      <c r="C1678">
        <v>272210</v>
      </c>
      <c r="D1678" t="s">
        <v>72</v>
      </c>
      <c r="E1678" t="s">
        <v>71</v>
      </c>
      <c r="F1678" t="s">
        <v>17</v>
      </c>
      <c r="G1678">
        <v>128800</v>
      </c>
      <c r="H1678">
        <v>14700</v>
      </c>
      <c r="I1678">
        <v>12.88</v>
      </c>
      <c r="J1678">
        <v>118600</v>
      </c>
      <c r="K1678">
        <v>135400</v>
      </c>
      <c r="L1678">
        <v>117700</v>
      </c>
      <c r="M1678">
        <v>2789138</v>
      </c>
      <c r="N1678">
        <v>359647680900</v>
      </c>
      <c r="O1678">
        <v>188919389</v>
      </c>
      <c r="P1678">
        <v>24332817303200</v>
      </c>
    </row>
    <row r="1679" spans="1:16">
      <c r="A1679" t="s">
        <v>71</v>
      </c>
      <c r="B1679">
        <v>20260331</v>
      </c>
      <c r="C1679">
        <v>272210</v>
      </c>
      <c r="D1679" t="s">
        <v>72</v>
      </c>
      <c r="E1679" t="s">
        <v>71</v>
      </c>
      <c r="F1679" t="s">
        <v>17</v>
      </c>
      <c r="G1679">
        <v>114100</v>
      </c>
      <c r="H1679">
        <v>-6600</v>
      </c>
      <c r="I1679">
        <v>-5.47</v>
      </c>
      <c r="J1679">
        <v>117000</v>
      </c>
      <c r="K1679">
        <v>119300</v>
      </c>
      <c r="L1679">
        <v>113500</v>
      </c>
      <c r="M1679">
        <v>1260315</v>
      </c>
      <c r="N1679">
        <v>145465033950</v>
      </c>
      <c r="O1679">
        <v>188919389</v>
      </c>
      <c r="P1679">
        <v>21555702284900</v>
      </c>
    </row>
    <row r="1680" spans="1:16">
      <c r="A1680" t="s">
        <v>71</v>
      </c>
      <c r="B1680">
        <v>20260330</v>
      </c>
      <c r="C1680">
        <v>272210</v>
      </c>
      <c r="D1680" t="s">
        <v>72</v>
      </c>
      <c r="E1680" t="s">
        <v>71</v>
      </c>
      <c r="F1680" t="s">
        <v>17</v>
      </c>
      <c r="G1680">
        <v>120700</v>
      </c>
      <c r="H1680">
        <v>-3400</v>
      </c>
      <c r="I1680">
        <v>-2.74</v>
      </c>
      <c r="J1680">
        <v>116100</v>
      </c>
      <c r="K1680">
        <v>122400</v>
      </c>
      <c r="L1680">
        <v>115400</v>
      </c>
      <c r="M1680">
        <v>821244</v>
      </c>
      <c r="N1680">
        <v>97546251700</v>
      </c>
      <c r="O1680">
        <v>188919389</v>
      </c>
      <c r="P1680">
        <v>22802570252300</v>
      </c>
    </row>
    <row r="1681" spans="1:16">
      <c r="A1681" t="s">
        <v>71</v>
      </c>
      <c r="B1681">
        <v>20260327</v>
      </c>
      <c r="C1681">
        <v>272210</v>
      </c>
      <c r="D1681" t="s">
        <v>72</v>
      </c>
      <c r="E1681" t="s">
        <v>71</v>
      </c>
      <c r="F1681" t="s">
        <v>17</v>
      </c>
      <c r="G1681">
        <v>124100</v>
      </c>
      <c r="H1681">
        <v>-5600</v>
      </c>
      <c r="I1681">
        <v>-4.32</v>
      </c>
      <c r="J1681">
        <v>123000</v>
      </c>
      <c r="K1681">
        <v>125000</v>
      </c>
      <c r="L1681">
        <v>118100</v>
      </c>
      <c r="M1681">
        <v>1112940</v>
      </c>
      <c r="N1681">
        <v>135492902950</v>
      </c>
      <c r="O1681">
        <v>188919389</v>
      </c>
      <c r="P1681">
        <v>23444896174900</v>
      </c>
    </row>
    <row r="1682" spans="1:16">
      <c r="A1682" t="s">
        <v>71</v>
      </c>
      <c r="B1682">
        <v>20260326</v>
      </c>
      <c r="C1682">
        <v>272210</v>
      </c>
      <c r="D1682" t="s">
        <v>72</v>
      </c>
      <c r="E1682" t="s">
        <v>71</v>
      </c>
      <c r="F1682" t="s">
        <v>17</v>
      </c>
      <c r="G1682">
        <v>129700</v>
      </c>
      <c r="H1682">
        <v>-6900</v>
      </c>
      <c r="I1682">
        <v>-5.05</v>
      </c>
      <c r="J1682">
        <v>136700</v>
      </c>
      <c r="K1682">
        <v>137200</v>
      </c>
      <c r="L1682">
        <v>129200</v>
      </c>
      <c r="M1682">
        <v>872674</v>
      </c>
      <c r="N1682">
        <v>116209700100</v>
      </c>
      <c r="O1682">
        <v>188919389</v>
      </c>
      <c r="P1682">
        <v>24502844753300</v>
      </c>
    </row>
    <row r="1683" spans="1:16">
      <c r="A1683" t="s">
        <v>71</v>
      </c>
      <c r="B1683">
        <v>20260325</v>
      </c>
      <c r="C1683">
        <v>272210</v>
      </c>
      <c r="D1683" t="s">
        <v>72</v>
      </c>
      <c r="E1683" t="s">
        <v>71</v>
      </c>
      <c r="F1683" t="s">
        <v>17</v>
      </c>
      <c r="G1683">
        <v>136600</v>
      </c>
      <c r="H1683">
        <v>9300</v>
      </c>
      <c r="I1683">
        <v>7.31</v>
      </c>
      <c r="J1683">
        <v>126900</v>
      </c>
      <c r="K1683">
        <v>136600</v>
      </c>
      <c r="L1683">
        <v>125100</v>
      </c>
      <c r="M1683">
        <v>1621725</v>
      </c>
      <c r="N1683">
        <v>214354102050</v>
      </c>
      <c r="O1683">
        <v>188919389</v>
      </c>
      <c r="P1683">
        <v>25806388537400</v>
      </c>
    </row>
    <row r="1684" spans="1:16">
      <c r="A1684" t="s">
        <v>71</v>
      </c>
      <c r="B1684">
        <v>20260324</v>
      </c>
      <c r="C1684">
        <v>272210</v>
      </c>
      <c r="D1684" t="s">
        <v>72</v>
      </c>
      <c r="E1684" t="s">
        <v>71</v>
      </c>
      <c r="F1684" t="s">
        <v>17</v>
      </c>
      <c r="G1684">
        <v>127300</v>
      </c>
      <c r="H1684">
        <v>3300</v>
      </c>
      <c r="I1684">
        <v>2.66</v>
      </c>
      <c r="J1684">
        <v>125600</v>
      </c>
      <c r="K1684">
        <v>128000</v>
      </c>
      <c r="L1684">
        <v>121100</v>
      </c>
      <c r="M1684">
        <v>1223824</v>
      </c>
      <c r="N1684">
        <v>153129648250</v>
      </c>
      <c r="O1684">
        <v>188919389</v>
      </c>
      <c r="P1684">
        <v>24049438219700</v>
      </c>
    </row>
    <row r="1685" spans="1:16">
      <c r="A1685" t="s">
        <v>71</v>
      </c>
      <c r="B1685">
        <v>20260323</v>
      </c>
      <c r="C1685">
        <v>272210</v>
      </c>
      <c r="D1685" t="s">
        <v>72</v>
      </c>
      <c r="E1685" t="s">
        <v>71</v>
      </c>
      <c r="F1685" t="s">
        <v>17</v>
      </c>
      <c r="G1685">
        <v>124000</v>
      </c>
      <c r="H1685">
        <v>-12000</v>
      </c>
      <c r="I1685">
        <v>-8.82</v>
      </c>
      <c r="J1685">
        <v>134700</v>
      </c>
      <c r="K1685">
        <v>136500</v>
      </c>
      <c r="L1685">
        <v>123500</v>
      </c>
      <c r="M1685">
        <v>1276217</v>
      </c>
      <c r="N1685">
        <v>162058312250</v>
      </c>
      <c r="O1685">
        <v>188919389</v>
      </c>
      <c r="P1685">
        <v>23426004236000</v>
      </c>
    </row>
    <row r="1686" spans="1:16">
      <c r="A1686" t="s">
        <v>71</v>
      </c>
      <c r="B1686">
        <v>20260320</v>
      </c>
      <c r="C1686">
        <v>272210</v>
      </c>
      <c r="D1686" t="s">
        <v>72</v>
      </c>
      <c r="E1686" t="s">
        <v>71</v>
      </c>
      <c r="F1686" t="s">
        <v>17</v>
      </c>
      <c r="G1686">
        <v>136000</v>
      </c>
      <c r="H1686">
        <v>-5000</v>
      </c>
      <c r="I1686">
        <v>-3.55</v>
      </c>
      <c r="J1686">
        <v>138200</v>
      </c>
      <c r="K1686">
        <v>140500</v>
      </c>
      <c r="L1686">
        <v>136000</v>
      </c>
      <c r="M1686">
        <v>1048257</v>
      </c>
      <c r="N1686">
        <v>143773032650</v>
      </c>
      <c r="O1686">
        <v>188919389</v>
      </c>
      <c r="P1686">
        <v>25693036904000</v>
      </c>
    </row>
    <row r="1687" spans="1:16">
      <c r="A1687" t="s">
        <v>71</v>
      </c>
      <c r="B1687">
        <v>20260319</v>
      </c>
      <c r="C1687">
        <v>272210</v>
      </c>
      <c r="D1687" t="s">
        <v>72</v>
      </c>
      <c r="E1687" t="s">
        <v>71</v>
      </c>
      <c r="F1687" t="s">
        <v>17</v>
      </c>
      <c r="G1687">
        <v>141000</v>
      </c>
      <c r="H1687">
        <v>1200</v>
      </c>
      <c r="I1687">
        <v>0.86</v>
      </c>
      <c r="J1687">
        <v>149000</v>
      </c>
      <c r="K1687">
        <v>149100</v>
      </c>
      <c r="L1687">
        <v>139500</v>
      </c>
      <c r="M1687">
        <v>1776465</v>
      </c>
      <c r="N1687">
        <v>252736889750</v>
      </c>
      <c r="O1687">
        <v>188919389</v>
      </c>
      <c r="P1687">
        <v>26637633849000</v>
      </c>
    </row>
    <row r="1688" spans="1:16">
      <c r="A1688" t="s">
        <v>71</v>
      </c>
      <c r="B1688">
        <v>20260318</v>
      </c>
      <c r="C1688">
        <v>272210</v>
      </c>
      <c r="D1688" t="s">
        <v>72</v>
      </c>
      <c r="E1688" t="s">
        <v>71</v>
      </c>
      <c r="F1688" t="s">
        <v>17</v>
      </c>
      <c r="G1688">
        <v>139800</v>
      </c>
      <c r="H1688">
        <v>900</v>
      </c>
      <c r="I1688">
        <v>0.65</v>
      </c>
      <c r="J1688">
        <v>139000</v>
      </c>
      <c r="K1688">
        <v>140700</v>
      </c>
      <c r="L1688">
        <v>137100</v>
      </c>
      <c r="M1688">
        <v>1109535</v>
      </c>
      <c r="N1688">
        <v>153981878300</v>
      </c>
      <c r="O1688">
        <v>188919389</v>
      </c>
      <c r="P1688">
        <v>26410930582200</v>
      </c>
    </row>
    <row r="1689" spans="1:16">
      <c r="A1689" t="s">
        <v>71</v>
      </c>
      <c r="B1689">
        <v>20260317</v>
      </c>
      <c r="C1689">
        <v>272210</v>
      </c>
      <c r="D1689" t="s">
        <v>72</v>
      </c>
      <c r="E1689" t="s">
        <v>71</v>
      </c>
      <c r="F1689" t="s">
        <v>17</v>
      </c>
      <c r="G1689">
        <v>138900</v>
      </c>
      <c r="H1689">
        <v>-1100</v>
      </c>
      <c r="I1689">
        <v>-0.79</v>
      </c>
      <c r="J1689">
        <v>140100</v>
      </c>
      <c r="K1689">
        <v>142500</v>
      </c>
      <c r="L1689">
        <v>135700</v>
      </c>
      <c r="M1689">
        <v>1443117</v>
      </c>
      <c r="N1689">
        <v>200803488350</v>
      </c>
      <c r="O1689">
        <v>188919389</v>
      </c>
      <c r="P1689">
        <v>26240903132100</v>
      </c>
    </row>
    <row r="1690" spans="1:16">
      <c r="A1690" t="s">
        <v>71</v>
      </c>
      <c r="B1690">
        <v>20260316</v>
      </c>
      <c r="C1690">
        <v>272210</v>
      </c>
      <c r="D1690" t="s">
        <v>72</v>
      </c>
      <c r="E1690" t="s">
        <v>71</v>
      </c>
      <c r="F1690" t="s">
        <v>17</v>
      </c>
      <c r="G1690">
        <v>140000</v>
      </c>
      <c r="H1690">
        <v>-4400</v>
      </c>
      <c r="I1690">
        <v>-3.05</v>
      </c>
      <c r="J1690">
        <v>141100</v>
      </c>
      <c r="K1690">
        <v>146700</v>
      </c>
      <c r="L1690">
        <v>139600</v>
      </c>
      <c r="M1690">
        <v>1759243</v>
      </c>
      <c r="N1690">
        <v>251605019450</v>
      </c>
      <c r="O1690">
        <v>188919389</v>
      </c>
      <c r="P1690">
        <v>26448714460000</v>
      </c>
    </row>
    <row r="1691" spans="1:16">
      <c r="A1691" t="s">
        <v>71</v>
      </c>
      <c r="B1691">
        <v>20260313</v>
      </c>
      <c r="C1691">
        <v>272210</v>
      </c>
      <c r="D1691" t="s">
        <v>72</v>
      </c>
      <c r="E1691" t="s">
        <v>71</v>
      </c>
      <c r="F1691" t="s">
        <v>17</v>
      </c>
      <c r="G1691">
        <v>144400</v>
      </c>
      <c r="H1691">
        <v>-7900</v>
      </c>
      <c r="I1691">
        <v>-5.19</v>
      </c>
      <c r="J1691">
        <v>148600</v>
      </c>
      <c r="K1691">
        <v>149300</v>
      </c>
      <c r="L1691">
        <v>140900</v>
      </c>
      <c r="M1691">
        <v>1667821</v>
      </c>
      <c r="N1691">
        <v>240112304550</v>
      </c>
      <c r="O1691">
        <v>188919389</v>
      </c>
      <c r="P1691">
        <v>27279959771600</v>
      </c>
    </row>
    <row r="1692" spans="1:16">
      <c r="A1692" t="s">
        <v>71</v>
      </c>
      <c r="B1692">
        <v>20260312</v>
      </c>
      <c r="C1692">
        <v>272210</v>
      </c>
      <c r="D1692" t="s">
        <v>72</v>
      </c>
      <c r="E1692" t="s">
        <v>71</v>
      </c>
      <c r="F1692" t="s">
        <v>17</v>
      </c>
      <c r="G1692">
        <v>152300</v>
      </c>
      <c r="H1692">
        <v>4600</v>
      </c>
      <c r="I1692">
        <v>3.11</v>
      </c>
      <c r="J1692">
        <v>150000</v>
      </c>
      <c r="K1692">
        <v>152300</v>
      </c>
      <c r="L1692">
        <v>143700</v>
      </c>
      <c r="M1692">
        <v>2373213</v>
      </c>
      <c r="N1692">
        <v>353176786500</v>
      </c>
      <c r="O1692">
        <v>188919389</v>
      </c>
      <c r="P1692">
        <v>28772422944700</v>
      </c>
    </row>
    <row r="1693" spans="1:16">
      <c r="A1693" t="s">
        <v>71</v>
      </c>
      <c r="B1693">
        <v>20260311</v>
      </c>
      <c r="C1693">
        <v>272210</v>
      </c>
      <c r="D1693" t="s">
        <v>72</v>
      </c>
      <c r="E1693" t="s">
        <v>71</v>
      </c>
      <c r="F1693" t="s">
        <v>17</v>
      </c>
      <c r="G1693">
        <v>147700</v>
      </c>
      <c r="H1693">
        <v>-8500</v>
      </c>
      <c r="I1693">
        <v>-5.44</v>
      </c>
      <c r="J1693">
        <v>150500</v>
      </c>
      <c r="K1693">
        <v>154400</v>
      </c>
      <c r="L1693">
        <v>145100</v>
      </c>
      <c r="M1693">
        <v>2897308</v>
      </c>
      <c r="N1693">
        <v>435029945300</v>
      </c>
      <c r="O1693">
        <v>188919389</v>
      </c>
      <c r="P1693">
        <v>27903393755300</v>
      </c>
    </row>
    <row r="1694" spans="1:16">
      <c r="A1694" t="s">
        <v>71</v>
      </c>
      <c r="B1694">
        <v>20260310</v>
      </c>
      <c r="C1694">
        <v>272210</v>
      </c>
      <c r="D1694" t="s">
        <v>72</v>
      </c>
      <c r="E1694" t="s">
        <v>71</v>
      </c>
      <c r="F1694" t="s">
        <v>17</v>
      </c>
      <c r="G1694">
        <v>156200</v>
      </c>
      <c r="H1694">
        <v>-6500</v>
      </c>
      <c r="I1694">
        <v>-4</v>
      </c>
      <c r="J1694">
        <v>151500</v>
      </c>
      <c r="K1694">
        <v>161700</v>
      </c>
      <c r="L1694">
        <v>150600</v>
      </c>
      <c r="M1694">
        <v>4123958</v>
      </c>
      <c r="N1694">
        <v>642434779500</v>
      </c>
      <c r="O1694">
        <v>188919389</v>
      </c>
      <c r="P1694">
        <v>29509208561800</v>
      </c>
    </row>
    <row r="1695" spans="1:16">
      <c r="A1695" t="s">
        <v>71</v>
      </c>
      <c r="B1695">
        <v>20260309</v>
      </c>
      <c r="C1695">
        <v>272210</v>
      </c>
      <c r="D1695" t="s">
        <v>72</v>
      </c>
      <c r="E1695" t="s">
        <v>71</v>
      </c>
      <c r="F1695" t="s">
        <v>17</v>
      </c>
      <c r="G1695">
        <v>162700</v>
      </c>
      <c r="H1695">
        <v>3800</v>
      </c>
      <c r="I1695">
        <v>2.39</v>
      </c>
      <c r="J1695">
        <v>173100</v>
      </c>
      <c r="K1695">
        <v>173500</v>
      </c>
      <c r="L1695">
        <v>158500</v>
      </c>
      <c r="M1695">
        <v>4891628</v>
      </c>
      <c r="N1695">
        <v>804247522200</v>
      </c>
      <c r="O1695">
        <v>188919389</v>
      </c>
      <c r="P1695">
        <v>30737184590300</v>
      </c>
    </row>
    <row r="1696" spans="1:16">
      <c r="A1696" t="s">
        <v>71</v>
      </c>
      <c r="B1696">
        <v>20260306</v>
      </c>
      <c r="C1696">
        <v>272210</v>
      </c>
      <c r="D1696" t="s">
        <v>72</v>
      </c>
      <c r="E1696" t="s">
        <v>71</v>
      </c>
      <c r="F1696" t="s">
        <v>17</v>
      </c>
      <c r="G1696">
        <v>158900</v>
      </c>
      <c r="H1696">
        <v>8100</v>
      </c>
      <c r="I1696">
        <v>5.37</v>
      </c>
      <c r="J1696">
        <v>163600</v>
      </c>
      <c r="K1696">
        <v>171600</v>
      </c>
      <c r="L1696">
        <v>151400</v>
      </c>
      <c r="M1696">
        <v>8756536</v>
      </c>
      <c r="N1696">
        <v>1411266296850</v>
      </c>
      <c r="O1696">
        <v>188919389</v>
      </c>
      <c r="P1696">
        <v>30019290912100</v>
      </c>
    </row>
    <row r="1697" spans="1:16">
      <c r="A1697" t="s">
        <v>71</v>
      </c>
      <c r="B1697">
        <v>20260305</v>
      </c>
      <c r="C1697">
        <v>272210</v>
      </c>
      <c r="D1697" t="s">
        <v>72</v>
      </c>
      <c r="E1697" t="s">
        <v>71</v>
      </c>
      <c r="F1697" t="s">
        <v>17</v>
      </c>
      <c r="G1697">
        <v>150800</v>
      </c>
      <c r="H1697">
        <v>34800</v>
      </c>
      <c r="I1697">
        <v>30</v>
      </c>
      <c r="J1697">
        <v>126900</v>
      </c>
      <c r="K1697">
        <v>150800</v>
      </c>
      <c r="L1697">
        <v>125700</v>
      </c>
      <c r="M1697">
        <v>8178416</v>
      </c>
      <c r="N1697">
        <v>1153494990850</v>
      </c>
      <c r="O1697">
        <v>188919389</v>
      </c>
      <c r="P1697">
        <v>28489043861200</v>
      </c>
    </row>
    <row r="1698" spans="1:16">
      <c r="A1698" t="s">
        <v>71</v>
      </c>
      <c r="B1698">
        <v>20260304</v>
      </c>
      <c r="C1698">
        <v>272210</v>
      </c>
      <c r="D1698" t="s">
        <v>72</v>
      </c>
      <c r="E1698" t="s">
        <v>71</v>
      </c>
      <c r="F1698" t="s">
        <v>17</v>
      </c>
      <c r="G1698">
        <v>116000</v>
      </c>
      <c r="H1698">
        <v>-30700</v>
      </c>
      <c r="I1698">
        <v>-20.93</v>
      </c>
      <c r="J1698">
        <v>176900</v>
      </c>
      <c r="K1698">
        <v>184000</v>
      </c>
      <c r="L1698">
        <v>112800</v>
      </c>
      <c r="M1698">
        <v>13590699</v>
      </c>
      <c r="N1698">
        <v>1951373602350</v>
      </c>
      <c r="O1698">
        <v>188919389</v>
      </c>
      <c r="P1698">
        <v>21914649124000</v>
      </c>
    </row>
    <row r="1699" spans="1:16">
      <c r="A1699" t="s">
        <v>71</v>
      </c>
      <c r="B1699">
        <v>20260303</v>
      </c>
      <c r="C1699">
        <v>272210</v>
      </c>
      <c r="D1699" t="s">
        <v>72</v>
      </c>
      <c r="E1699" t="s">
        <v>71</v>
      </c>
      <c r="F1699" t="s">
        <v>17</v>
      </c>
      <c r="G1699">
        <v>146700</v>
      </c>
      <c r="H1699">
        <v>33100</v>
      </c>
      <c r="I1699">
        <v>29.14</v>
      </c>
      <c r="J1699">
        <v>129800</v>
      </c>
      <c r="K1699">
        <v>147000</v>
      </c>
      <c r="L1699">
        <v>129500</v>
      </c>
      <c r="M1699">
        <v>10182766</v>
      </c>
      <c r="N1699">
        <v>1436532208300</v>
      </c>
      <c r="O1699">
        <v>188919389</v>
      </c>
      <c r="P1699">
        <v>27714474366300</v>
      </c>
    </row>
    <row r="1700" spans="1:16">
      <c r="A1700" t="s">
        <v>71</v>
      </c>
      <c r="B1700">
        <v>20260227</v>
      </c>
      <c r="C1700">
        <v>272210</v>
      </c>
      <c r="D1700" t="s">
        <v>72</v>
      </c>
      <c r="E1700" t="s">
        <v>71</v>
      </c>
      <c r="F1700" t="s">
        <v>17</v>
      </c>
      <c r="G1700">
        <v>113600</v>
      </c>
      <c r="H1700">
        <v>3000</v>
      </c>
      <c r="I1700">
        <v>2.71</v>
      </c>
      <c r="J1700">
        <v>121900</v>
      </c>
      <c r="K1700">
        <v>122900</v>
      </c>
      <c r="L1700">
        <v>112100</v>
      </c>
      <c r="M1700">
        <v>3066996</v>
      </c>
      <c r="N1700">
        <v>353862446100</v>
      </c>
      <c r="O1700">
        <v>188919389</v>
      </c>
      <c r="P1700">
        <v>21461242590400</v>
      </c>
    </row>
    <row r="1701" spans="1:16">
      <c r="A1701" t="s">
        <v>71</v>
      </c>
      <c r="B1701">
        <v>20260226</v>
      </c>
      <c r="C1701">
        <v>272210</v>
      </c>
      <c r="D1701" t="s">
        <v>72</v>
      </c>
      <c r="E1701" t="s">
        <v>71</v>
      </c>
      <c r="F1701" t="s">
        <v>17</v>
      </c>
      <c r="G1701">
        <v>110600</v>
      </c>
      <c r="H1701">
        <v>-800</v>
      </c>
      <c r="I1701">
        <v>-0.72</v>
      </c>
      <c r="J1701">
        <v>110500</v>
      </c>
      <c r="K1701">
        <v>111300</v>
      </c>
      <c r="L1701">
        <v>108400</v>
      </c>
      <c r="M1701">
        <v>1022298</v>
      </c>
      <c r="N1701">
        <v>112538129550</v>
      </c>
      <c r="O1701">
        <v>188919389</v>
      </c>
      <c r="P1701">
        <v>20894484423400</v>
      </c>
    </row>
    <row r="1702" spans="1:16">
      <c r="A1702" t="s">
        <v>71</v>
      </c>
      <c r="B1702">
        <v>20260225</v>
      </c>
      <c r="C1702">
        <v>272210</v>
      </c>
      <c r="D1702" t="s">
        <v>72</v>
      </c>
      <c r="E1702" t="s">
        <v>71</v>
      </c>
      <c r="F1702" t="s">
        <v>17</v>
      </c>
      <c r="G1702">
        <v>111400</v>
      </c>
      <c r="H1702">
        <v>600</v>
      </c>
      <c r="I1702">
        <v>0.54</v>
      </c>
      <c r="J1702">
        <v>110300</v>
      </c>
      <c r="K1702">
        <v>112000</v>
      </c>
      <c r="L1702">
        <v>107700</v>
      </c>
      <c r="M1702">
        <v>1007068</v>
      </c>
      <c r="N1702">
        <v>111138129450</v>
      </c>
      <c r="O1702">
        <v>188919389</v>
      </c>
      <c r="P1702">
        <v>21045619934600</v>
      </c>
    </row>
    <row r="1703" spans="1:16">
      <c r="A1703" t="s">
        <v>71</v>
      </c>
      <c r="B1703">
        <v>20260224</v>
      </c>
      <c r="C1703">
        <v>272210</v>
      </c>
      <c r="D1703" t="s">
        <v>72</v>
      </c>
      <c r="E1703" t="s">
        <v>71</v>
      </c>
      <c r="F1703" t="s">
        <v>17</v>
      </c>
      <c r="G1703">
        <v>110800</v>
      </c>
      <c r="H1703">
        <v>-500</v>
      </c>
      <c r="I1703">
        <v>-0.45</v>
      </c>
      <c r="J1703">
        <v>110500</v>
      </c>
      <c r="K1703">
        <v>111700</v>
      </c>
      <c r="L1703">
        <v>106500</v>
      </c>
      <c r="M1703">
        <v>1204746</v>
      </c>
      <c r="N1703">
        <v>131529848250</v>
      </c>
      <c r="O1703">
        <v>188919389</v>
      </c>
      <c r="P1703">
        <v>20932268301200</v>
      </c>
    </row>
    <row r="1704" spans="1:16">
      <c r="A1704" t="s">
        <v>71</v>
      </c>
      <c r="B1704">
        <v>20260223</v>
      </c>
      <c r="C1704">
        <v>272210</v>
      </c>
      <c r="D1704" t="s">
        <v>72</v>
      </c>
      <c r="E1704" t="s">
        <v>71</v>
      </c>
      <c r="F1704" t="s">
        <v>17</v>
      </c>
      <c r="G1704">
        <v>111300</v>
      </c>
      <c r="H1704">
        <v>-5200</v>
      </c>
      <c r="I1704">
        <v>-4.46</v>
      </c>
      <c r="J1704">
        <v>115000</v>
      </c>
      <c r="K1704">
        <v>116200</v>
      </c>
      <c r="L1704">
        <v>109600</v>
      </c>
      <c r="M1704">
        <v>1816020</v>
      </c>
      <c r="N1704">
        <v>202940102250</v>
      </c>
      <c r="O1704">
        <v>188919389</v>
      </c>
      <c r="P1704">
        <v>21026727995700</v>
      </c>
    </row>
    <row r="1705" spans="1:16">
      <c r="A1705" t="s">
        <v>71</v>
      </c>
      <c r="B1705">
        <v>20260220</v>
      </c>
      <c r="C1705">
        <v>272210</v>
      </c>
      <c r="D1705" t="s">
        <v>72</v>
      </c>
      <c r="E1705" t="s">
        <v>71</v>
      </c>
      <c r="F1705" t="s">
        <v>17</v>
      </c>
      <c r="G1705">
        <v>116500</v>
      </c>
      <c r="H1705">
        <v>10100</v>
      </c>
      <c r="I1705">
        <v>9.49</v>
      </c>
      <c r="J1705">
        <v>120300</v>
      </c>
      <c r="K1705">
        <v>121800</v>
      </c>
      <c r="L1705">
        <v>113400</v>
      </c>
      <c r="M1705">
        <v>3701380</v>
      </c>
      <c r="N1705">
        <v>433662783450</v>
      </c>
      <c r="O1705">
        <v>188919389</v>
      </c>
      <c r="P1705">
        <v>22009108818500</v>
      </c>
    </row>
    <row r="1706" spans="1:16">
      <c r="A1706" t="s">
        <v>71</v>
      </c>
      <c r="B1706">
        <v>20260219</v>
      </c>
      <c r="C1706">
        <v>272210</v>
      </c>
      <c r="D1706" t="s">
        <v>72</v>
      </c>
      <c r="E1706" t="s">
        <v>71</v>
      </c>
      <c r="F1706" t="s">
        <v>17</v>
      </c>
      <c r="G1706">
        <v>106400</v>
      </c>
      <c r="H1706">
        <v>3000</v>
      </c>
      <c r="I1706">
        <v>2.9</v>
      </c>
      <c r="J1706">
        <v>105900</v>
      </c>
      <c r="K1706">
        <v>106500</v>
      </c>
      <c r="L1706">
        <v>103700</v>
      </c>
      <c r="M1706">
        <v>1018464</v>
      </c>
      <c r="N1706">
        <v>107443058800</v>
      </c>
      <c r="O1706">
        <v>188919389</v>
      </c>
      <c r="P1706">
        <v>20101022989600</v>
      </c>
    </row>
    <row r="1707" spans="1:16">
      <c r="A1707" t="s">
        <v>71</v>
      </c>
      <c r="B1707">
        <v>20260213</v>
      </c>
      <c r="C1707">
        <v>272210</v>
      </c>
      <c r="D1707" t="s">
        <v>72</v>
      </c>
      <c r="E1707" t="s">
        <v>71</v>
      </c>
      <c r="F1707" t="s">
        <v>17</v>
      </c>
      <c r="G1707">
        <v>103400</v>
      </c>
      <c r="H1707">
        <v>-2400</v>
      </c>
      <c r="I1707">
        <v>-2.27</v>
      </c>
      <c r="J1707">
        <v>103500</v>
      </c>
      <c r="K1707">
        <v>106250</v>
      </c>
      <c r="L1707">
        <v>101800</v>
      </c>
      <c r="M1707">
        <v>1105572</v>
      </c>
      <c r="N1707">
        <v>114838400150</v>
      </c>
      <c r="O1707">
        <v>188919389</v>
      </c>
      <c r="P1707">
        <v>19534264822600</v>
      </c>
    </row>
    <row r="1708" spans="1:16">
      <c r="A1708" t="s">
        <v>71</v>
      </c>
      <c r="B1708">
        <v>20260212</v>
      </c>
      <c r="C1708">
        <v>272210</v>
      </c>
      <c r="D1708" t="s">
        <v>72</v>
      </c>
      <c r="E1708" t="s">
        <v>71</v>
      </c>
      <c r="F1708" t="s">
        <v>17</v>
      </c>
      <c r="G1708">
        <v>105800</v>
      </c>
      <c r="H1708">
        <v>4400</v>
      </c>
      <c r="I1708">
        <v>4.34</v>
      </c>
      <c r="J1708">
        <v>104300</v>
      </c>
      <c r="K1708">
        <v>105800</v>
      </c>
      <c r="L1708">
        <v>102100</v>
      </c>
      <c r="M1708">
        <v>1666838</v>
      </c>
      <c r="N1708">
        <v>173830777350</v>
      </c>
      <c r="O1708">
        <v>188919389</v>
      </c>
      <c r="P1708">
        <v>19987671356200</v>
      </c>
    </row>
    <row r="1709" spans="1:16">
      <c r="A1709" t="s">
        <v>71</v>
      </c>
      <c r="B1709">
        <v>20260211</v>
      </c>
      <c r="C1709">
        <v>272210</v>
      </c>
      <c r="D1709" t="s">
        <v>72</v>
      </c>
      <c r="E1709" t="s">
        <v>71</v>
      </c>
      <c r="F1709" t="s">
        <v>17</v>
      </c>
      <c r="G1709">
        <v>101400</v>
      </c>
      <c r="H1709">
        <v>100</v>
      </c>
      <c r="I1709">
        <v>0.1</v>
      </c>
      <c r="J1709">
        <v>100800</v>
      </c>
      <c r="K1709">
        <v>102600</v>
      </c>
      <c r="L1709">
        <v>100300</v>
      </c>
      <c r="M1709">
        <v>828968</v>
      </c>
      <c r="N1709">
        <v>84101479150</v>
      </c>
      <c r="O1709">
        <v>188919389</v>
      </c>
      <c r="P1709">
        <v>19156426044600</v>
      </c>
    </row>
    <row r="1710" spans="1:16">
      <c r="A1710" t="s">
        <v>71</v>
      </c>
      <c r="B1710">
        <v>20260210</v>
      </c>
      <c r="C1710">
        <v>272210</v>
      </c>
      <c r="D1710" t="s">
        <v>72</v>
      </c>
      <c r="E1710" t="s">
        <v>71</v>
      </c>
      <c r="F1710" t="s">
        <v>17</v>
      </c>
      <c r="G1710">
        <v>101300</v>
      </c>
      <c r="H1710">
        <v>-3100</v>
      </c>
      <c r="I1710">
        <v>-2.97</v>
      </c>
      <c r="J1710">
        <v>105100</v>
      </c>
      <c r="K1710">
        <v>108300</v>
      </c>
      <c r="L1710">
        <v>99700</v>
      </c>
      <c r="M1710">
        <v>1815207</v>
      </c>
      <c r="N1710">
        <v>185978950900</v>
      </c>
      <c r="O1710">
        <v>188919389</v>
      </c>
      <c r="P1710">
        <v>19137534105700</v>
      </c>
    </row>
    <row r="1711" spans="1:16">
      <c r="A1711" t="s">
        <v>71</v>
      </c>
      <c r="B1711">
        <v>20260209</v>
      </c>
      <c r="C1711">
        <v>272210</v>
      </c>
      <c r="D1711" t="s">
        <v>72</v>
      </c>
      <c r="E1711" t="s">
        <v>71</v>
      </c>
      <c r="F1711" t="s">
        <v>17</v>
      </c>
      <c r="G1711">
        <v>104400</v>
      </c>
      <c r="H1711">
        <v>1400</v>
      </c>
      <c r="I1711">
        <v>1.36</v>
      </c>
      <c r="J1711">
        <v>106600</v>
      </c>
      <c r="K1711">
        <v>107100</v>
      </c>
      <c r="L1711">
        <v>101900</v>
      </c>
      <c r="M1711">
        <v>1930541</v>
      </c>
      <c r="N1711">
        <v>202478710150</v>
      </c>
      <c r="O1711">
        <v>188919389</v>
      </c>
      <c r="P1711">
        <v>19723184211600</v>
      </c>
    </row>
    <row r="1712" spans="1:16">
      <c r="A1712" t="s">
        <v>71</v>
      </c>
      <c r="B1712">
        <v>20260206</v>
      </c>
      <c r="C1712">
        <v>272210</v>
      </c>
      <c r="D1712" t="s">
        <v>72</v>
      </c>
      <c r="E1712" t="s">
        <v>71</v>
      </c>
      <c r="F1712" t="s">
        <v>17</v>
      </c>
      <c r="G1712">
        <v>103000</v>
      </c>
      <c r="H1712">
        <v>-8300</v>
      </c>
      <c r="I1712">
        <v>-7.46</v>
      </c>
      <c r="J1712">
        <v>103300</v>
      </c>
      <c r="K1712">
        <v>106300</v>
      </c>
      <c r="L1712">
        <v>98900</v>
      </c>
      <c r="M1712">
        <v>3168488</v>
      </c>
      <c r="N1712">
        <v>325616678250</v>
      </c>
      <c r="O1712">
        <v>188919389</v>
      </c>
      <c r="P1712">
        <v>19458697067000</v>
      </c>
    </row>
    <row r="1713" spans="1:16">
      <c r="A1713" t="s">
        <v>71</v>
      </c>
      <c r="B1713">
        <v>20260205</v>
      </c>
      <c r="C1713">
        <v>272210</v>
      </c>
      <c r="D1713" t="s">
        <v>72</v>
      </c>
      <c r="E1713" t="s">
        <v>71</v>
      </c>
      <c r="F1713" t="s">
        <v>17</v>
      </c>
      <c r="G1713">
        <v>111300</v>
      </c>
      <c r="H1713">
        <v>-11700</v>
      </c>
      <c r="I1713">
        <v>-9.51</v>
      </c>
      <c r="J1713">
        <v>118000</v>
      </c>
      <c r="K1713">
        <v>120800</v>
      </c>
      <c r="L1713">
        <v>110000</v>
      </c>
      <c r="M1713">
        <v>3507115</v>
      </c>
      <c r="N1713">
        <v>396337920950</v>
      </c>
      <c r="O1713">
        <v>188919389</v>
      </c>
      <c r="P1713">
        <v>21026727995700</v>
      </c>
    </row>
    <row r="1714" spans="1:16">
      <c r="A1714" t="s">
        <v>71</v>
      </c>
      <c r="B1714">
        <v>20260204</v>
      </c>
      <c r="C1714">
        <v>272210</v>
      </c>
      <c r="D1714" t="s">
        <v>72</v>
      </c>
      <c r="E1714" t="s">
        <v>71</v>
      </c>
      <c r="F1714" t="s">
        <v>17</v>
      </c>
      <c r="G1714">
        <v>123000</v>
      </c>
      <c r="H1714">
        <v>3500</v>
      </c>
      <c r="I1714">
        <v>2.93</v>
      </c>
      <c r="J1714">
        <v>124800</v>
      </c>
      <c r="K1714">
        <v>125000</v>
      </c>
      <c r="L1714">
        <v>118500</v>
      </c>
      <c r="M1714">
        <v>4235354</v>
      </c>
      <c r="N1714">
        <v>515401160500</v>
      </c>
      <c r="O1714">
        <v>188919389</v>
      </c>
      <c r="P1714">
        <v>23237084847000</v>
      </c>
    </row>
    <row r="1715" spans="1:16">
      <c r="A1715" t="s">
        <v>71</v>
      </c>
      <c r="B1715">
        <v>20260203</v>
      </c>
      <c r="C1715">
        <v>272210</v>
      </c>
      <c r="D1715" t="s">
        <v>72</v>
      </c>
      <c r="E1715" t="s">
        <v>71</v>
      </c>
      <c r="F1715" t="s">
        <v>17</v>
      </c>
      <c r="G1715">
        <v>119500</v>
      </c>
      <c r="H1715">
        <v>26600</v>
      </c>
      <c r="I1715">
        <v>28.63</v>
      </c>
      <c r="J1715">
        <v>96900</v>
      </c>
      <c r="K1715">
        <v>120300</v>
      </c>
      <c r="L1715">
        <v>95300</v>
      </c>
      <c r="M1715">
        <v>14174959</v>
      </c>
      <c r="N1715">
        <v>1569106813400</v>
      </c>
      <c r="O1715">
        <v>188919389</v>
      </c>
      <c r="P1715">
        <v>22575866985500</v>
      </c>
    </row>
    <row r="1716" spans="1:16">
      <c r="A1716" t="s">
        <v>71</v>
      </c>
      <c r="B1716">
        <v>20260202</v>
      </c>
      <c r="C1716">
        <v>272210</v>
      </c>
      <c r="D1716" t="s">
        <v>72</v>
      </c>
      <c r="E1716" t="s">
        <v>71</v>
      </c>
      <c r="F1716" t="s">
        <v>17</v>
      </c>
      <c r="G1716">
        <v>92900</v>
      </c>
      <c r="H1716">
        <v>-1300</v>
      </c>
      <c r="I1716">
        <v>-1.38</v>
      </c>
      <c r="J1716">
        <v>92300</v>
      </c>
      <c r="K1716">
        <v>101100</v>
      </c>
      <c r="L1716">
        <v>91100</v>
      </c>
      <c r="M1716">
        <v>5591351</v>
      </c>
      <c r="N1716">
        <v>541221745700</v>
      </c>
      <c r="O1716">
        <v>188919389</v>
      </c>
      <c r="P1716">
        <v>17550611238100</v>
      </c>
    </row>
    <row r="1717" spans="1:16">
      <c r="A1717" t="s">
        <v>71</v>
      </c>
      <c r="B1717">
        <v>20260130</v>
      </c>
      <c r="C1717">
        <v>272210</v>
      </c>
      <c r="D1717" t="s">
        <v>72</v>
      </c>
      <c r="E1717" t="s">
        <v>71</v>
      </c>
      <c r="F1717" t="s">
        <v>17</v>
      </c>
      <c r="G1717">
        <v>94200</v>
      </c>
      <c r="H1717">
        <v>1400</v>
      </c>
      <c r="I1717">
        <v>1.51</v>
      </c>
      <c r="J1717">
        <v>99700</v>
      </c>
      <c r="K1717">
        <v>99800</v>
      </c>
      <c r="L1717">
        <v>92900</v>
      </c>
      <c r="M1717">
        <v>3805684</v>
      </c>
      <c r="N1717">
        <v>364178199950</v>
      </c>
      <c r="O1717">
        <v>188919389</v>
      </c>
      <c r="P1717">
        <v>17796206443800</v>
      </c>
    </row>
    <row r="1718" spans="1:16">
      <c r="A1718" t="s">
        <v>71</v>
      </c>
      <c r="B1718">
        <v>20260129</v>
      </c>
      <c r="C1718">
        <v>272210</v>
      </c>
      <c r="D1718" t="s">
        <v>72</v>
      </c>
      <c r="E1718" t="s">
        <v>71</v>
      </c>
      <c r="F1718" t="s">
        <v>17</v>
      </c>
      <c r="G1718">
        <v>92800</v>
      </c>
      <c r="H1718">
        <v>3800</v>
      </c>
      <c r="I1718">
        <v>4.2699999999999996</v>
      </c>
      <c r="J1718">
        <v>88100</v>
      </c>
      <c r="K1718">
        <v>94200</v>
      </c>
      <c r="L1718">
        <v>86200</v>
      </c>
      <c r="M1718">
        <v>3062697</v>
      </c>
      <c r="N1718">
        <v>277820487200</v>
      </c>
      <c r="O1718">
        <v>188919389</v>
      </c>
      <c r="P1718">
        <v>17531719299200</v>
      </c>
    </row>
    <row r="1719" spans="1:16">
      <c r="A1719" t="s">
        <v>71</v>
      </c>
      <c r="B1719">
        <v>20260128</v>
      </c>
      <c r="C1719">
        <v>272210</v>
      </c>
      <c r="D1719" t="s">
        <v>72</v>
      </c>
      <c r="E1719" t="s">
        <v>71</v>
      </c>
      <c r="F1719" t="s">
        <v>17</v>
      </c>
      <c r="G1719">
        <v>89000</v>
      </c>
      <c r="H1719">
        <v>1400</v>
      </c>
      <c r="I1719">
        <v>1.6</v>
      </c>
      <c r="J1719">
        <v>88400</v>
      </c>
      <c r="K1719">
        <v>89100</v>
      </c>
      <c r="L1719">
        <v>87000</v>
      </c>
      <c r="M1719">
        <v>1266337</v>
      </c>
      <c r="N1719">
        <v>111600502500</v>
      </c>
      <c r="O1719">
        <v>188919389</v>
      </c>
      <c r="P1719">
        <v>16813825621000</v>
      </c>
    </row>
    <row r="1720" spans="1:16">
      <c r="A1720" t="s">
        <v>71</v>
      </c>
      <c r="B1720">
        <v>20260127</v>
      </c>
      <c r="C1720">
        <v>272210</v>
      </c>
      <c r="D1720" t="s">
        <v>72</v>
      </c>
      <c r="E1720" t="s">
        <v>71</v>
      </c>
      <c r="F1720" t="s">
        <v>17</v>
      </c>
      <c r="G1720">
        <v>87600</v>
      </c>
      <c r="H1720">
        <v>-1200</v>
      </c>
      <c r="I1720">
        <v>-1.35</v>
      </c>
      <c r="J1720">
        <v>90100</v>
      </c>
      <c r="K1720">
        <v>90200</v>
      </c>
      <c r="L1720">
        <v>85700</v>
      </c>
      <c r="M1720">
        <v>1077595</v>
      </c>
      <c r="N1720">
        <v>94252659050</v>
      </c>
      <c r="O1720">
        <v>188919389</v>
      </c>
      <c r="P1720">
        <v>16549338476400</v>
      </c>
    </row>
    <row r="1721" spans="1:16">
      <c r="A1721" t="s">
        <v>71</v>
      </c>
      <c r="B1721">
        <v>20260126</v>
      </c>
      <c r="C1721">
        <v>272210</v>
      </c>
      <c r="D1721" t="s">
        <v>72</v>
      </c>
      <c r="E1721" t="s">
        <v>71</v>
      </c>
      <c r="F1721" t="s">
        <v>17</v>
      </c>
      <c r="G1721">
        <v>88800</v>
      </c>
      <c r="H1721">
        <v>-1600</v>
      </c>
      <c r="I1721">
        <v>-1.77</v>
      </c>
      <c r="J1721">
        <v>90800</v>
      </c>
      <c r="K1721">
        <v>90800</v>
      </c>
      <c r="L1721">
        <v>87600</v>
      </c>
      <c r="M1721">
        <v>1497315</v>
      </c>
      <c r="N1721">
        <v>133186082000</v>
      </c>
      <c r="O1721">
        <v>188919389</v>
      </c>
      <c r="P1721">
        <v>16776041743200</v>
      </c>
    </row>
    <row r="1722" spans="1:16">
      <c r="A1722" t="s">
        <v>71</v>
      </c>
      <c r="B1722">
        <v>20260123</v>
      </c>
      <c r="C1722">
        <v>272210</v>
      </c>
      <c r="D1722" t="s">
        <v>72</v>
      </c>
      <c r="E1722" t="s">
        <v>71</v>
      </c>
      <c r="F1722" t="s">
        <v>17</v>
      </c>
      <c r="G1722">
        <v>90400</v>
      </c>
      <c r="H1722">
        <v>2100</v>
      </c>
      <c r="I1722">
        <v>2.38</v>
      </c>
      <c r="J1722">
        <v>90000</v>
      </c>
      <c r="K1722">
        <v>94200</v>
      </c>
      <c r="L1722">
        <v>89400</v>
      </c>
      <c r="M1722">
        <v>2533737</v>
      </c>
      <c r="N1722">
        <v>231376760200</v>
      </c>
      <c r="O1722">
        <v>188919389</v>
      </c>
      <c r="P1722">
        <v>17078312765600</v>
      </c>
    </row>
    <row r="1723" spans="1:16">
      <c r="A1723" t="s">
        <v>71</v>
      </c>
      <c r="B1723">
        <v>20260122</v>
      </c>
      <c r="C1723">
        <v>272210</v>
      </c>
      <c r="D1723" t="s">
        <v>72</v>
      </c>
      <c r="E1723" t="s">
        <v>71</v>
      </c>
      <c r="F1723" t="s">
        <v>17</v>
      </c>
      <c r="G1723">
        <v>88300</v>
      </c>
      <c r="H1723">
        <v>-500</v>
      </c>
      <c r="I1723">
        <v>-0.56000000000000005</v>
      </c>
      <c r="J1723">
        <v>89200</v>
      </c>
      <c r="K1723">
        <v>90300</v>
      </c>
      <c r="L1723">
        <v>87200</v>
      </c>
      <c r="M1723">
        <v>1750507</v>
      </c>
      <c r="N1723">
        <v>155252093950</v>
      </c>
      <c r="O1723">
        <v>188919389</v>
      </c>
      <c r="P1723">
        <v>16681582048700</v>
      </c>
    </row>
    <row r="1724" spans="1:16">
      <c r="A1724" t="s">
        <v>71</v>
      </c>
      <c r="B1724">
        <v>20260121</v>
      </c>
      <c r="C1724">
        <v>272210</v>
      </c>
      <c r="D1724" t="s">
        <v>72</v>
      </c>
      <c r="E1724" t="s">
        <v>71</v>
      </c>
      <c r="F1724" t="s">
        <v>17</v>
      </c>
      <c r="G1724">
        <v>88800</v>
      </c>
      <c r="H1724">
        <v>-1700</v>
      </c>
      <c r="I1724">
        <v>-1.88</v>
      </c>
      <c r="J1724">
        <v>90200</v>
      </c>
      <c r="K1724">
        <v>90500</v>
      </c>
      <c r="L1724">
        <v>87000</v>
      </c>
      <c r="M1724">
        <v>2174761</v>
      </c>
      <c r="N1724">
        <v>192240876950</v>
      </c>
      <c r="O1724">
        <v>188919389</v>
      </c>
      <c r="P1724">
        <v>16776041743200</v>
      </c>
    </row>
    <row r="1725" spans="1:16">
      <c r="A1725" t="s">
        <v>71</v>
      </c>
      <c r="B1725">
        <v>20260120</v>
      </c>
      <c r="C1725">
        <v>272210</v>
      </c>
      <c r="D1725" t="s">
        <v>72</v>
      </c>
      <c r="E1725" t="s">
        <v>71</v>
      </c>
      <c r="F1725" t="s">
        <v>17</v>
      </c>
      <c r="G1725">
        <v>90500</v>
      </c>
      <c r="H1725">
        <v>-300</v>
      </c>
      <c r="I1725">
        <v>-0.33</v>
      </c>
      <c r="J1725">
        <v>89500</v>
      </c>
      <c r="K1725">
        <v>95300</v>
      </c>
      <c r="L1725">
        <v>89500</v>
      </c>
      <c r="M1725">
        <v>3518034</v>
      </c>
      <c r="N1725">
        <v>324799025500</v>
      </c>
      <c r="O1725">
        <v>188919389</v>
      </c>
      <c r="P1725">
        <v>17097204704500</v>
      </c>
    </row>
    <row r="1726" spans="1:16">
      <c r="A1726" t="s">
        <v>71</v>
      </c>
      <c r="B1726">
        <v>20260119</v>
      </c>
      <c r="C1726">
        <v>272210</v>
      </c>
      <c r="D1726" t="s">
        <v>72</v>
      </c>
      <c r="E1726" t="s">
        <v>71</v>
      </c>
      <c r="F1726" t="s">
        <v>17</v>
      </c>
      <c r="G1726">
        <v>90800</v>
      </c>
      <c r="H1726">
        <v>-100</v>
      </c>
      <c r="I1726">
        <v>-0.11</v>
      </c>
      <c r="J1726">
        <v>93800</v>
      </c>
      <c r="K1726">
        <v>94300</v>
      </c>
      <c r="L1726">
        <v>90800</v>
      </c>
      <c r="M1726">
        <v>2221542</v>
      </c>
      <c r="N1726">
        <v>204125242200</v>
      </c>
      <c r="O1726">
        <v>188919389</v>
      </c>
      <c r="P1726">
        <v>17153880521200</v>
      </c>
    </row>
    <row r="1727" spans="1:16">
      <c r="A1727" t="s">
        <v>71</v>
      </c>
      <c r="B1727">
        <v>20260116</v>
      </c>
      <c r="C1727">
        <v>272210</v>
      </c>
      <c r="D1727" t="s">
        <v>72</v>
      </c>
      <c r="E1727" t="s">
        <v>71</v>
      </c>
      <c r="F1727" t="s">
        <v>17</v>
      </c>
      <c r="G1727">
        <v>90900</v>
      </c>
      <c r="H1727">
        <v>-5600</v>
      </c>
      <c r="I1727">
        <v>-5.8</v>
      </c>
      <c r="J1727">
        <v>95200</v>
      </c>
      <c r="K1727">
        <v>96300</v>
      </c>
      <c r="L1727">
        <v>89400</v>
      </c>
      <c r="M1727">
        <v>3694449</v>
      </c>
      <c r="N1727">
        <v>337050188250</v>
      </c>
      <c r="O1727">
        <v>188919389</v>
      </c>
      <c r="P1727">
        <v>17172772460100</v>
      </c>
    </row>
    <row r="1728" spans="1:16">
      <c r="A1728" t="s">
        <v>71</v>
      </c>
      <c r="B1728">
        <v>20260115</v>
      </c>
      <c r="C1728">
        <v>272210</v>
      </c>
      <c r="D1728" t="s">
        <v>72</v>
      </c>
      <c r="E1728" t="s">
        <v>71</v>
      </c>
      <c r="F1728" t="s">
        <v>17</v>
      </c>
      <c r="G1728">
        <v>96500</v>
      </c>
      <c r="H1728">
        <v>8300</v>
      </c>
      <c r="I1728">
        <v>9.41</v>
      </c>
      <c r="J1728">
        <v>94900</v>
      </c>
      <c r="K1728">
        <v>99300</v>
      </c>
      <c r="L1728">
        <v>92300</v>
      </c>
      <c r="M1728">
        <v>6896728</v>
      </c>
      <c r="N1728">
        <v>659930416350</v>
      </c>
      <c r="O1728">
        <v>188919389</v>
      </c>
      <c r="P1728">
        <v>18230721038500</v>
      </c>
    </row>
    <row r="1729" spans="1:16">
      <c r="A1729" t="s">
        <v>71</v>
      </c>
      <c r="B1729">
        <v>20260114</v>
      </c>
      <c r="C1729">
        <v>272210</v>
      </c>
      <c r="D1729" t="s">
        <v>72</v>
      </c>
      <c r="E1729" t="s">
        <v>71</v>
      </c>
      <c r="F1729" t="s">
        <v>17</v>
      </c>
      <c r="G1729">
        <v>88200</v>
      </c>
      <c r="H1729">
        <v>-500</v>
      </c>
      <c r="I1729">
        <v>-0.56000000000000005</v>
      </c>
      <c r="J1729">
        <v>86500</v>
      </c>
      <c r="K1729">
        <v>92200</v>
      </c>
      <c r="L1729">
        <v>85500</v>
      </c>
      <c r="M1729">
        <v>5644565</v>
      </c>
      <c r="N1729">
        <v>501722835400</v>
      </c>
      <c r="O1729">
        <v>188919389</v>
      </c>
      <c r="P1729">
        <v>16662690109800</v>
      </c>
    </row>
    <row r="1730" spans="1:16">
      <c r="A1730" t="s">
        <v>71</v>
      </c>
      <c r="B1730">
        <v>20260113</v>
      </c>
      <c r="C1730">
        <v>272210</v>
      </c>
      <c r="D1730" t="s">
        <v>72</v>
      </c>
      <c r="E1730" t="s">
        <v>71</v>
      </c>
      <c r="F1730" t="s">
        <v>17</v>
      </c>
      <c r="G1730">
        <v>88700</v>
      </c>
      <c r="H1730">
        <v>11000</v>
      </c>
      <c r="I1730">
        <v>14.16</v>
      </c>
      <c r="J1730">
        <v>77400</v>
      </c>
      <c r="K1730">
        <v>91100</v>
      </c>
      <c r="L1730">
        <v>75300</v>
      </c>
      <c r="M1730">
        <v>14393649</v>
      </c>
      <c r="N1730">
        <v>1220949944400</v>
      </c>
      <c r="O1730">
        <v>188919389</v>
      </c>
      <c r="P1730">
        <v>16757149804300</v>
      </c>
    </row>
    <row r="1731" spans="1:16">
      <c r="A1731" t="s">
        <v>71</v>
      </c>
      <c r="B1731">
        <v>20260112</v>
      </c>
      <c r="C1731">
        <v>272210</v>
      </c>
      <c r="D1731" t="s">
        <v>72</v>
      </c>
      <c r="E1731" t="s">
        <v>71</v>
      </c>
      <c r="F1731" t="s">
        <v>17</v>
      </c>
      <c r="G1731">
        <v>77700</v>
      </c>
      <c r="H1731">
        <v>800</v>
      </c>
      <c r="I1731">
        <v>1.04</v>
      </c>
      <c r="J1731">
        <v>78300</v>
      </c>
      <c r="K1731">
        <v>79700</v>
      </c>
      <c r="L1731">
        <v>74900</v>
      </c>
      <c r="M1731">
        <v>6799053</v>
      </c>
      <c r="N1731">
        <v>528075256300</v>
      </c>
      <c r="O1731">
        <v>188919389</v>
      </c>
      <c r="P1731">
        <v>14679036525300</v>
      </c>
    </row>
    <row r="1732" spans="1:16">
      <c r="A1732" t="s">
        <v>71</v>
      </c>
      <c r="B1732">
        <v>20260109</v>
      </c>
      <c r="C1732">
        <v>272210</v>
      </c>
      <c r="D1732" t="s">
        <v>72</v>
      </c>
      <c r="E1732" t="s">
        <v>71</v>
      </c>
      <c r="F1732" t="s">
        <v>17</v>
      </c>
      <c r="G1732">
        <v>76900</v>
      </c>
      <c r="H1732">
        <v>16600</v>
      </c>
      <c r="I1732">
        <v>27.53</v>
      </c>
      <c r="J1732">
        <v>62300</v>
      </c>
      <c r="K1732">
        <v>77300</v>
      </c>
      <c r="L1732">
        <v>61700</v>
      </c>
      <c r="M1732">
        <v>21538879</v>
      </c>
      <c r="N1732">
        <v>1524651772600</v>
      </c>
      <c r="O1732">
        <v>188919389</v>
      </c>
      <c r="P1732">
        <v>14527901014100</v>
      </c>
    </row>
    <row r="1733" spans="1:16">
      <c r="A1733" t="s">
        <v>71</v>
      </c>
      <c r="B1733">
        <v>20260108</v>
      </c>
      <c r="C1733">
        <v>272210</v>
      </c>
      <c r="D1733" t="s">
        <v>72</v>
      </c>
      <c r="E1733" t="s">
        <v>71</v>
      </c>
      <c r="F1733" t="s">
        <v>17</v>
      </c>
      <c r="G1733">
        <v>60300</v>
      </c>
      <c r="H1733">
        <v>1800</v>
      </c>
      <c r="I1733">
        <v>3.08</v>
      </c>
      <c r="J1733">
        <v>59200</v>
      </c>
      <c r="K1733">
        <v>61500</v>
      </c>
      <c r="L1733">
        <v>58900</v>
      </c>
      <c r="M1733">
        <v>2319754</v>
      </c>
      <c r="N1733">
        <v>139544286250</v>
      </c>
      <c r="O1733">
        <v>188919389</v>
      </c>
      <c r="P1733">
        <v>11391839156700</v>
      </c>
    </row>
    <row r="1734" spans="1:16">
      <c r="A1734" t="s">
        <v>71</v>
      </c>
      <c r="B1734">
        <v>20260107</v>
      </c>
      <c r="C1734">
        <v>272210</v>
      </c>
      <c r="D1734" t="s">
        <v>72</v>
      </c>
      <c r="E1734" t="s">
        <v>71</v>
      </c>
      <c r="F1734" t="s">
        <v>17</v>
      </c>
      <c r="G1734">
        <v>58500</v>
      </c>
      <c r="H1734">
        <v>-1800</v>
      </c>
      <c r="I1734">
        <v>-2.99</v>
      </c>
      <c r="J1734">
        <v>59700</v>
      </c>
      <c r="K1734">
        <v>60300</v>
      </c>
      <c r="L1734">
        <v>57700</v>
      </c>
      <c r="M1734">
        <v>1302865</v>
      </c>
      <c r="N1734">
        <v>76531261000</v>
      </c>
      <c r="O1734">
        <v>188919389</v>
      </c>
      <c r="P1734">
        <v>11051784256500</v>
      </c>
    </row>
    <row r="1735" spans="1:16">
      <c r="A1735" t="s">
        <v>71</v>
      </c>
      <c r="B1735">
        <v>20260106</v>
      </c>
      <c r="C1735">
        <v>272210</v>
      </c>
      <c r="D1735" t="s">
        <v>72</v>
      </c>
      <c r="E1735" t="s">
        <v>71</v>
      </c>
      <c r="F1735" t="s">
        <v>17</v>
      </c>
      <c r="G1735">
        <v>60300</v>
      </c>
      <c r="H1735">
        <v>2300</v>
      </c>
      <c r="I1735">
        <v>3.97</v>
      </c>
      <c r="J1735">
        <v>57600</v>
      </c>
      <c r="K1735">
        <v>60400</v>
      </c>
      <c r="L1735">
        <v>57000</v>
      </c>
      <c r="M1735">
        <v>1982941</v>
      </c>
      <c r="N1735">
        <v>117716132950</v>
      </c>
      <c r="O1735">
        <v>188919389</v>
      </c>
      <c r="P1735">
        <v>11391839156700</v>
      </c>
    </row>
    <row r="1736" spans="1:16">
      <c r="A1736" t="s">
        <v>71</v>
      </c>
      <c r="B1736">
        <v>20260105</v>
      </c>
      <c r="C1736">
        <v>272210</v>
      </c>
      <c r="D1736" t="s">
        <v>72</v>
      </c>
      <c r="E1736" t="s">
        <v>71</v>
      </c>
      <c r="F1736" t="s">
        <v>17</v>
      </c>
      <c r="G1736">
        <v>58000</v>
      </c>
      <c r="H1736">
        <v>2700</v>
      </c>
      <c r="I1736">
        <v>4.88</v>
      </c>
      <c r="J1736">
        <v>56100</v>
      </c>
      <c r="K1736">
        <v>58000</v>
      </c>
      <c r="L1736">
        <v>55800</v>
      </c>
      <c r="M1736">
        <v>1239616</v>
      </c>
      <c r="N1736">
        <v>70658593950</v>
      </c>
      <c r="O1736">
        <v>188919389</v>
      </c>
      <c r="P1736">
        <v>10957324562000</v>
      </c>
    </row>
    <row r="1737" spans="1:16">
      <c r="A1737" t="s">
        <v>71</v>
      </c>
      <c r="B1737">
        <v>20260102</v>
      </c>
      <c r="C1737">
        <v>272210</v>
      </c>
      <c r="D1737" t="s">
        <v>72</v>
      </c>
      <c r="E1737" t="s">
        <v>71</v>
      </c>
      <c r="F1737" t="s">
        <v>17</v>
      </c>
      <c r="G1737">
        <v>55300</v>
      </c>
      <c r="H1737">
        <v>900</v>
      </c>
      <c r="I1737">
        <v>1.65</v>
      </c>
      <c r="J1737">
        <v>55100</v>
      </c>
      <c r="K1737">
        <v>56100</v>
      </c>
      <c r="L1737">
        <v>54400</v>
      </c>
      <c r="M1737">
        <v>689585</v>
      </c>
      <c r="N1737">
        <v>38165130250</v>
      </c>
      <c r="O1737">
        <v>188919389</v>
      </c>
      <c r="P1737">
        <v>10447242211700</v>
      </c>
    </row>
    <row r="1738" spans="1:16">
      <c r="A1738" t="s">
        <v>73</v>
      </c>
      <c r="B1738">
        <v>20260403</v>
      </c>
      <c r="C1738">
        <v>42700</v>
      </c>
      <c r="D1738" t="s">
        <v>74</v>
      </c>
      <c r="E1738" t="s">
        <v>73</v>
      </c>
      <c r="F1738" t="s">
        <v>17</v>
      </c>
      <c r="G1738">
        <v>260000</v>
      </c>
      <c r="H1738">
        <v>4000</v>
      </c>
      <c r="I1738">
        <v>1.56</v>
      </c>
      <c r="J1738">
        <v>264000</v>
      </c>
      <c r="K1738">
        <v>264500</v>
      </c>
      <c r="L1738">
        <v>252500</v>
      </c>
      <c r="M1738">
        <v>528858</v>
      </c>
      <c r="N1738">
        <v>136548903250</v>
      </c>
      <c r="O1738">
        <v>95312200</v>
      </c>
      <c r="P1738">
        <v>24781172000000</v>
      </c>
    </row>
    <row r="1739" spans="1:16">
      <c r="A1739" t="s">
        <v>73</v>
      </c>
      <c r="B1739">
        <v>20260402</v>
      </c>
      <c r="C1739">
        <v>42700</v>
      </c>
      <c r="D1739" t="s">
        <v>74</v>
      </c>
      <c r="E1739" t="s">
        <v>73</v>
      </c>
      <c r="F1739" t="s">
        <v>17</v>
      </c>
      <c r="G1739">
        <v>256000</v>
      </c>
      <c r="H1739">
        <v>-17500</v>
      </c>
      <c r="I1739">
        <v>-6.4</v>
      </c>
      <c r="J1739">
        <v>280500</v>
      </c>
      <c r="K1739">
        <v>282500</v>
      </c>
      <c r="L1739">
        <v>251500</v>
      </c>
      <c r="M1739">
        <v>850313</v>
      </c>
      <c r="N1739">
        <v>224996503000</v>
      </c>
      <c r="O1739">
        <v>95312200</v>
      </c>
      <c r="P1739">
        <v>24399923200000</v>
      </c>
    </row>
    <row r="1740" spans="1:16">
      <c r="A1740" t="s">
        <v>73</v>
      </c>
      <c r="B1740">
        <v>20260401</v>
      </c>
      <c r="C1740">
        <v>42700</v>
      </c>
      <c r="D1740" t="s">
        <v>74</v>
      </c>
      <c r="E1740" t="s">
        <v>73</v>
      </c>
      <c r="F1740" t="s">
        <v>17</v>
      </c>
      <c r="G1740">
        <v>273500</v>
      </c>
      <c r="H1740">
        <v>22500</v>
      </c>
      <c r="I1740">
        <v>8.9600000000000009</v>
      </c>
      <c r="J1740">
        <v>265500</v>
      </c>
      <c r="K1740">
        <v>275000</v>
      </c>
      <c r="L1740">
        <v>260000</v>
      </c>
      <c r="M1740">
        <v>815377</v>
      </c>
      <c r="N1740">
        <v>219211996000</v>
      </c>
      <c r="O1740">
        <v>95312200</v>
      </c>
      <c r="P1740">
        <v>26067886700000</v>
      </c>
    </row>
    <row r="1741" spans="1:16">
      <c r="A1741" t="s">
        <v>73</v>
      </c>
      <c r="B1741">
        <v>20260331</v>
      </c>
      <c r="C1741">
        <v>42700</v>
      </c>
      <c r="D1741" t="s">
        <v>74</v>
      </c>
      <c r="E1741" t="s">
        <v>73</v>
      </c>
      <c r="F1741" t="s">
        <v>17</v>
      </c>
      <c r="G1741">
        <v>251000</v>
      </c>
      <c r="H1741">
        <v>-9500</v>
      </c>
      <c r="I1741">
        <v>-3.65</v>
      </c>
      <c r="J1741">
        <v>251000</v>
      </c>
      <c r="K1741">
        <v>265000</v>
      </c>
      <c r="L1741">
        <v>242500</v>
      </c>
      <c r="M1741">
        <v>886467</v>
      </c>
      <c r="N1741">
        <v>223874159500</v>
      </c>
      <c r="O1741">
        <v>95312200</v>
      </c>
      <c r="P1741">
        <v>23923362200000</v>
      </c>
    </row>
    <row r="1742" spans="1:16">
      <c r="A1742" t="s">
        <v>73</v>
      </c>
      <c r="B1742">
        <v>20260330</v>
      </c>
      <c r="C1742">
        <v>42700</v>
      </c>
      <c r="D1742" t="s">
        <v>74</v>
      </c>
      <c r="E1742" t="s">
        <v>73</v>
      </c>
      <c r="F1742" t="s">
        <v>17</v>
      </c>
      <c r="G1742">
        <v>260500</v>
      </c>
      <c r="H1742">
        <v>-15000</v>
      </c>
      <c r="I1742">
        <v>-5.44</v>
      </c>
      <c r="J1742">
        <v>259500</v>
      </c>
      <c r="K1742">
        <v>264500</v>
      </c>
      <c r="L1742">
        <v>253500</v>
      </c>
      <c r="M1742">
        <v>596465</v>
      </c>
      <c r="N1742">
        <v>155002250500</v>
      </c>
      <c r="O1742">
        <v>95312200</v>
      </c>
      <c r="P1742">
        <v>24828828100000</v>
      </c>
    </row>
    <row r="1743" spans="1:16">
      <c r="A1743" t="s">
        <v>73</v>
      </c>
      <c r="B1743">
        <v>20260327</v>
      </c>
      <c r="C1743">
        <v>42700</v>
      </c>
      <c r="D1743" t="s">
        <v>74</v>
      </c>
      <c r="E1743" t="s">
        <v>73</v>
      </c>
      <c r="F1743" t="s">
        <v>17</v>
      </c>
      <c r="G1743">
        <v>275500</v>
      </c>
      <c r="H1743">
        <v>-2500</v>
      </c>
      <c r="I1743">
        <v>-0.9</v>
      </c>
      <c r="J1743">
        <v>269000</v>
      </c>
      <c r="K1743">
        <v>281000</v>
      </c>
      <c r="L1743">
        <v>257000</v>
      </c>
      <c r="M1743">
        <v>773071</v>
      </c>
      <c r="N1743">
        <v>207308154000</v>
      </c>
      <c r="O1743">
        <v>95312200</v>
      </c>
      <c r="P1743">
        <v>26258511100000</v>
      </c>
    </row>
    <row r="1744" spans="1:16">
      <c r="A1744" t="s">
        <v>73</v>
      </c>
      <c r="B1744">
        <v>20260326</v>
      </c>
      <c r="C1744">
        <v>42700</v>
      </c>
      <c r="D1744" t="s">
        <v>74</v>
      </c>
      <c r="E1744" t="s">
        <v>73</v>
      </c>
      <c r="F1744" t="s">
        <v>17</v>
      </c>
      <c r="G1744">
        <v>278000</v>
      </c>
      <c r="H1744">
        <v>-22000</v>
      </c>
      <c r="I1744">
        <v>-7.33</v>
      </c>
      <c r="J1744">
        <v>296000</v>
      </c>
      <c r="K1744">
        <v>298500</v>
      </c>
      <c r="L1744">
        <v>277000</v>
      </c>
      <c r="M1744">
        <v>650141</v>
      </c>
      <c r="N1744">
        <v>186464904250</v>
      </c>
      <c r="O1744">
        <v>95312200</v>
      </c>
      <c r="P1744">
        <v>26496791600000</v>
      </c>
    </row>
    <row r="1745" spans="1:16">
      <c r="A1745" t="s">
        <v>73</v>
      </c>
      <c r="B1745">
        <v>20260325</v>
      </c>
      <c r="C1745">
        <v>42700</v>
      </c>
      <c r="D1745" t="s">
        <v>74</v>
      </c>
      <c r="E1745" t="s">
        <v>73</v>
      </c>
      <c r="F1745" t="s">
        <v>17</v>
      </c>
      <c r="G1745">
        <v>300000</v>
      </c>
      <c r="H1745">
        <v>3500</v>
      </c>
      <c r="I1745">
        <v>1.18</v>
      </c>
      <c r="J1745">
        <v>300500</v>
      </c>
      <c r="K1745">
        <v>304000</v>
      </c>
      <c r="L1745">
        <v>296500</v>
      </c>
      <c r="M1745">
        <v>675633</v>
      </c>
      <c r="N1745">
        <v>202434619000</v>
      </c>
      <c r="O1745">
        <v>95312200</v>
      </c>
      <c r="P1745">
        <v>28593660000000</v>
      </c>
    </row>
    <row r="1746" spans="1:16">
      <c r="A1746" t="s">
        <v>73</v>
      </c>
      <c r="B1746">
        <v>20260324</v>
      </c>
      <c r="C1746">
        <v>42700</v>
      </c>
      <c r="D1746" t="s">
        <v>74</v>
      </c>
      <c r="E1746" t="s">
        <v>73</v>
      </c>
      <c r="F1746" t="s">
        <v>17</v>
      </c>
      <c r="G1746">
        <v>296500</v>
      </c>
      <c r="H1746">
        <v>-500</v>
      </c>
      <c r="I1746">
        <v>-0.17</v>
      </c>
      <c r="J1746">
        <v>309500</v>
      </c>
      <c r="K1746">
        <v>309500</v>
      </c>
      <c r="L1746">
        <v>286500</v>
      </c>
      <c r="M1746">
        <v>853963</v>
      </c>
      <c r="N1746">
        <v>252206607750</v>
      </c>
      <c r="O1746">
        <v>95312200</v>
      </c>
      <c r="P1746">
        <v>28260067300000</v>
      </c>
    </row>
    <row r="1747" spans="1:16">
      <c r="A1747" t="s">
        <v>73</v>
      </c>
      <c r="B1747">
        <v>20260323</v>
      </c>
      <c r="C1747">
        <v>42700</v>
      </c>
      <c r="D1747" t="s">
        <v>74</v>
      </c>
      <c r="E1747" t="s">
        <v>73</v>
      </c>
      <c r="F1747" t="s">
        <v>17</v>
      </c>
      <c r="G1747">
        <v>297000</v>
      </c>
      <c r="H1747">
        <v>-12500</v>
      </c>
      <c r="I1747">
        <v>-4.04</v>
      </c>
      <c r="J1747">
        <v>301500</v>
      </c>
      <c r="K1747">
        <v>313000</v>
      </c>
      <c r="L1747">
        <v>296000</v>
      </c>
      <c r="M1747">
        <v>788575</v>
      </c>
      <c r="N1747">
        <v>238288894250</v>
      </c>
      <c r="O1747">
        <v>95312200</v>
      </c>
      <c r="P1747">
        <v>28307723400000</v>
      </c>
    </row>
    <row r="1748" spans="1:16">
      <c r="A1748" t="s">
        <v>73</v>
      </c>
      <c r="B1748">
        <v>20260320</v>
      </c>
      <c r="C1748">
        <v>42700</v>
      </c>
      <c r="D1748" t="s">
        <v>74</v>
      </c>
      <c r="E1748" t="s">
        <v>73</v>
      </c>
      <c r="F1748" t="s">
        <v>17</v>
      </c>
      <c r="G1748">
        <v>309500</v>
      </c>
      <c r="H1748">
        <v>2500</v>
      </c>
      <c r="I1748">
        <v>0.81</v>
      </c>
      <c r="J1748">
        <v>310000</v>
      </c>
      <c r="K1748">
        <v>318500</v>
      </c>
      <c r="L1748">
        <v>307500</v>
      </c>
      <c r="M1748">
        <v>680315</v>
      </c>
      <c r="N1748">
        <v>211865963000</v>
      </c>
      <c r="O1748">
        <v>95312200</v>
      </c>
      <c r="P1748">
        <v>29499125900000</v>
      </c>
    </row>
    <row r="1749" spans="1:16">
      <c r="A1749" t="s">
        <v>73</v>
      </c>
      <c r="B1749">
        <v>20260319</v>
      </c>
      <c r="C1749">
        <v>42700</v>
      </c>
      <c r="D1749" t="s">
        <v>74</v>
      </c>
      <c r="E1749" t="s">
        <v>73</v>
      </c>
      <c r="F1749" t="s">
        <v>17</v>
      </c>
      <c r="G1749">
        <v>307000</v>
      </c>
      <c r="H1749">
        <v>-4000</v>
      </c>
      <c r="I1749">
        <v>-1.29</v>
      </c>
      <c r="J1749">
        <v>301000</v>
      </c>
      <c r="K1749">
        <v>313500</v>
      </c>
      <c r="L1749">
        <v>300000</v>
      </c>
      <c r="M1749">
        <v>788358</v>
      </c>
      <c r="N1749">
        <v>241554116500</v>
      </c>
      <c r="O1749">
        <v>95312200</v>
      </c>
      <c r="P1749">
        <v>29260845400000</v>
      </c>
    </row>
    <row r="1750" spans="1:16">
      <c r="A1750" t="s">
        <v>73</v>
      </c>
      <c r="B1750">
        <v>20260318</v>
      </c>
      <c r="C1750">
        <v>42700</v>
      </c>
      <c r="D1750" t="s">
        <v>74</v>
      </c>
      <c r="E1750" t="s">
        <v>73</v>
      </c>
      <c r="F1750" t="s">
        <v>17</v>
      </c>
      <c r="G1750">
        <v>311000</v>
      </c>
      <c r="H1750">
        <v>10000</v>
      </c>
      <c r="I1750">
        <v>3.32</v>
      </c>
      <c r="J1750">
        <v>308500</v>
      </c>
      <c r="K1750">
        <v>312500</v>
      </c>
      <c r="L1750">
        <v>302000</v>
      </c>
      <c r="M1750">
        <v>920505</v>
      </c>
      <c r="N1750">
        <v>281912393750</v>
      </c>
      <c r="O1750">
        <v>95312200</v>
      </c>
      <c r="P1750">
        <v>29642094200000</v>
      </c>
    </row>
    <row r="1751" spans="1:16">
      <c r="A1751" t="s">
        <v>73</v>
      </c>
      <c r="B1751">
        <v>20260317</v>
      </c>
      <c r="C1751">
        <v>42700</v>
      </c>
      <c r="D1751" t="s">
        <v>74</v>
      </c>
      <c r="E1751" t="s">
        <v>73</v>
      </c>
      <c r="F1751" t="s">
        <v>17</v>
      </c>
      <c r="G1751">
        <v>301000</v>
      </c>
      <c r="H1751">
        <v>1000</v>
      </c>
      <c r="I1751">
        <v>0.33</v>
      </c>
      <c r="J1751">
        <v>317500</v>
      </c>
      <c r="K1751">
        <v>318000</v>
      </c>
      <c r="L1751">
        <v>300000</v>
      </c>
      <c r="M1751">
        <v>656744</v>
      </c>
      <c r="N1751">
        <v>202333600750</v>
      </c>
      <c r="O1751">
        <v>95312200</v>
      </c>
      <c r="P1751">
        <v>28688972200000</v>
      </c>
    </row>
    <row r="1752" spans="1:16">
      <c r="A1752" t="s">
        <v>73</v>
      </c>
      <c r="B1752">
        <v>20260316</v>
      </c>
      <c r="C1752">
        <v>42700</v>
      </c>
      <c r="D1752" t="s">
        <v>74</v>
      </c>
      <c r="E1752" t="s">
        <v>73</v>
      </c>
      <c r="F1752" t="s">
        <v>17</v>
      </c>
      <c r="G1752">
        <v>300000</v>
      </c>
      <c r="H1752">
        <v>-5500</v>
      </c>
      <c r="I1752">
        <v>-1.8</v>
      </c>
      <c r="J1752">
        <v>304500</v>
      </c>
      <c r="K1752">
        <v>305000</v>
      </c>
      <c r="L1752">
        <v>290000</v>
      </c>
      <c r="M1752">
        <v>879249</v>
      </c>
      <c r="N1752">
        <v>261004674250</v>
      </c>
      <c r="O1752">
        <v>95312200</v>
      </c>
      <c r="P1752">
        <v>28593660000000</v>
      </c>
    </row>
    <row r="1753" spans="1:16">
      <c r="A1753" t="s">
        <v>73</v>
      </c>
      <c r="B1753">
        <v>20260313</v>
      </c>
      <c r="C1753">
        <v>42700</v>
      </c>
      <c r="D1753" t="s">
        <v>74</v>
      </c>
      <c r="E1753" t="s">
        <v>73</v>
      </c>
      <c r="F1753" t="s">
        <v>17</v>
      </c>
      <c r="G1753">
        <v>305500</v>
      </c>
      <c r="H1753">
        <v>-11500</v>
      </c>
      <c r="I1753">
        <v>-3.63</v>
      </c>
      <c r="J1753">
        <v>303000</v>
      </c>
      <c r="K1753">
        <v>313000</v>
      </c>
      <c r="L1753">
        <v>299000</v>
      </c>
      <c r="M1753">
        <v>830276</v>
      </c>
      <c r="N1753">
        <v>254567277000</v>
      </c>
      <c r="O1753">
        <v>95312200</v>
      </c>
      <c r="P1753">
        <v>29117877100000</v>
      </c>
    </row>
    <row r="1754" spans="1:16">
      <c r="A1754" t="s">
        <v>73</v>
      </c>
      <c r="B1754">
        <v>20260312</v>
      </c>
      <c r="C1754">
        <v>42700</v>
      </c>
      <c r="D1754" t="s">
        <v>74</v>
      </c>
      <c r="E1754" t="s">
        <v>73</v>
      </c>
      <c r="F1754" t="s">
        <v>17</v>
      </c>
      <c r="G1754">
        <v>317000</v>
      </c>
      <c r="H1754">
        <v>4500</v>
      </c>
      <c r="I1754">
        <v>1.44</v>
      </c>
      <c r="J1754">
        <v>305000</v>
      </c>
      <c r="K1754">
        <v>317000</v>
      </c>
      <c r="L1754">
        <v>303500</v>
      </c>
      <c r="M1754">
        <v>790870</v>
      </c>
      <c r="N1754">
        <v>244638264750</v>
      </c>
      <c r="O1754">
        <v>95312200</v>
      </c>
      <c r="P1754">
        <v>30213967400000</v>
      </c>
    </row>
    <row r="1755" spans="1:16">
      <c r="A1755" t="s">
        <v>73</v>
      </c>
      <c r="B1755">
        <v>20260311</v>
      </c>
      <c r="C1755">
        <v>42700</v>
      </c>
      <c r="D1755" t="s">
        <v>74</v>
      </c>
      <c r="E1755" t="s">
        <v>73</v>
      </c>
      <c r="F1755" t="s">
        <v>17</v>
      </c>
      <c r="G1755">
        <v>312500</v>
      </c>
      <c r="H1755">
        <v>-11500</v>
      </c>
      <c r="I1755">
        <v>-3.55</v>
      </c>
      <c r="J1755">
        <v>326500</v>
      </c>
      <c r="K1755">
        <v>327500</v>
      </c>
      <c r="L1755">
        <v>303500</v>
      </c>
      <c r="M1755">
        <v>1091554</v>
      </c>
      <c r="N1755">
        <v>346386109750</v>
      </c>
      <c r="O1755">
        <v>95312200</v>
      </c>
      <c r="P1755">
        <v>29785062500000</v>
      </c>
    </row>
    <row r="1756" spans="1:16">
      <c r="A1756" t="s">
        <v>73</v>
      </c>
      <c r="B1756">
        <v>20260310</v>
      </c>
      <c r="C1756">
        <v>42700</v>
      </c>
      <c r="D1756" t="s">
        <v>74</v>
      </c>
      <c r="E1756" t="s">
        <v>73</v>
      </c>
      <c r="F1756" t="s">
        <v>17</v>
      </c>
      <c r="G1756">
        <v>324000</v>
      </c>
      <c r="H1756">
        <v>19000</v>
      </c>
      <c r="I1756">
        <v>6.23</v>
      </c>
      <c r="J1756">
        <v>334500</v>
      </c>
      <c r="K1756">
        <v>335500</v>
      </c>
      <c r="L1756">
        <v>306500</v>
      </c>
      <c r="M1756">
        <v>1602070</v>
      </c>
      <c r="N1756">
        <v>517843671000</v>
      </c>
      <c r="O1756">
        <v>95312200</v>
      </c>
      <c r="P1756">
        <v>30881152800000</v>
      </c>
    </row>
    <row r="1757" spans="1:16">
      <c r="A1757" t="s">
        <v>73</v>
      </c>
      <c r="B1757">
        <v>20260309</v>
      </c>
      <c r="C1757">
        <v>42700</v>
      </c>
      <c r="D1757" t="s">
        <v>74</v>
      </c>
      <c r="E1757" t="s">
        <v>73</v>
      </c>
      <c r="F1757" t="s">
        <v>17</v>
      </c>
      <c r="G1757">
        <v>305000</v>
      </c>
      <c r="H1757">
        <v>-28500</v>
      </c>
      <c r="I1757">
        <v>-8.5500000000000007</v>
      </c>
      <c r="J1757">
        <v>303500</v>
      </c>
      <c r="K1757">
        <v>313500</v>
      </c>
      <c r="L1757">
        <v>293000</v>
      </c>
      <c r="M1757">
        <v>1519978</v>
      </c>
      <c r="N1757">
        <v>460941729250</v>
      </c>
      <c r="O1757">
        <v>95312200</v>
      </c>
      <c r="P1757">
        <v>29070221000000</v>
      </c>
    </row>
    <row r="1758" spans="1:16">
      <c r="A1758" t="s">
        <v>73</v>
      </c>
      <c r="B1758">
        <v>20260306</v>
      </c>
      <c r="C1758">
        <v>42700</v>
      </c>
      <c r="D1758" t="s">
        <v>74</v>
      </c>
      <c r="E1758" t="s">
        <v>73</v>
      </c>
      <c r="F1758" t="s">
        <v>17</v>
      </c>
      <c r="G1758">
        <v>333500</v>
      </c>
      <c r="H1758">
        <v>18500</v>
      </c>
      <c r="I1758">
        <v>5.87</v>
      </c>
      <c r="J1758">
        <v>326000</v>
      </c>
      <c r="K1758">
        <v>334000</v>
      </c>
      <c r="L1758">
        <v>305000</v>
      </c>
      <c r="M1758">
        <v>2232244</v>
      </c>
      <c r="N1758">
        <v>722956651500</v>
      </c>
      <c r="O1758">
        <v>95312200</v>
      </c>
      <c r="P1758">
        <v>31786618700000</v>
      </c>
    </row>
    <row r="1759" spans="1:16">
      <c r="A1759" t="s">
        <v>73</v>
      </c>
      <c r="B1759">
        <v>20260305</v>
      </c>
      <c r="C1759">
        <v>42700</v>
      </c>
      <c r="D1759" t="s">
        <v>74</v>
      </c>
      <c r="E1759" t="s">
        <v>73</v>
      </c>
      <c r="F1759" t="s">
        <v>17</v>
      </c>
      <c r="G1759">
        <v>315000</v>
      </c>
      <c r="H1759">
        <v>56000</v>
      </c>
      <c r="I1759">
        <v>21.62</v>
      </c>
      <c r="J1759">
        <v>302000</v>
      </c>
      <c r="K1759">
        <v>323000</v>
      </c>
      <c r="L1759">
        <v>301000</v>
      </c>
      <c r="M1759">
        <v>3089855</v>
      </c>
      <c r="N1759">
        <v>962077466000</v>
      </c>
      <c r="O1759">
        <v>95312200</v>
      </c>
      <c r="P1759">
        <v>30023343000000</v>
      </c>
    </row>
    <row r="1760" spans="1:16">
      <c r="A1760" t="s">
        <v>73</v>
      </c>
      <c r="B1760">
        <v>20260304</v>
      </c>
      <c r="C1760">
        <v>42700</v>
      </c>
      <c r="D1760" t="s">
        <v>74</v>
      </c>
      <c r="E1760" t="s">
        <v>73</v>
      </c>
      <c r="F1760" t="s">
        <v>17</v>
      </c>
      <c r="G1760">
        <v>259000</v>
      </c>
      <c r="H1760">
        <v>-23000</v>
      </c>
      <c r="I1760">
        <v>-8.16</v>
      </c>
      <c r="J1760">
        <v>261500</v>
      </c>
      <c r="K1760">
        <v>300000</v>
      </c>
      <c r="L1760">
        <v>251500</v>
      </c>
      <c r="M1760">
        <v>4796391</v>
      </c>
      <c r="N1760">
        <v>1334473976000</v>
      </c>
      <c r="O1760">
        <v>95312200</v>
      </c>
      <c r="P1760">
        <v>24685859800000</v>
      </c>
    </row>
    <row r="1761" spans="1:16">
      <c r="A1761" t="s">
        <v>73</v>
      </c>
      <c r="B1761">
        <v>20260303</v>
      </c>
      <c r="C1761">
        <v>42700</v>
      </c>
      <c r="D1761" t="s">
        <v>74</v>
      </c>
      <c r="E1761" t="s">
        <v>73</v>
      </c>
      <c r="F1761" t="s">
        <v>17</v>
      </c>
      <c r="G1761">
        <v>282000</v>
      </c>
      <c r="H1761">
        <v>-41500</v>
      </c>
      <c r="I1761">
        <v>-12.83</v>
      </c>
      <c r="J1761">
        <v>314000</v>
      </c>
      <c r="K1761">
        <v>319500</v>
      </c>
      <c r="L1761">
        <v>280000</v>
      </c>
      <c r="M1761">
        <v>2299627</v>
      </c>
      <c r="N1761">
        <v>687836752750</v>
      </c>
      <c r="O1761">
        <v>95312200</v>
      </c>
      <c r="P1761">
        <v>26878040400000</v>
      </c>
    </row>
    <row r="1762" spans="1:16">
      <c r="A1762" t="s">
        <v>73</v>
      </c>
      <c r="B1762">
        <v>20260227</v>
      </c>
      <c r="C1762">
        <v>42700</v>
      </c>
      <c r="D1762" t="s">
        <v>74</v>
      </c>
      <c r="E1762" t="s">
        <v>73</v>
      </c>
      <c r="F1762" t="s">
        <v>17</v>
      </c>
      <c r="G1762">
        <v>323500</v>
      </c>
      <c r="H1762">
        <v>48000</v>
      </c>
      <c r="I1762">
        <v>17.420000000000002</v>
      </c>
      <c r="J1762">
        <v>263500</v>
      </c>
      <c r="K1762">
        <v>332500</v>
      </c>
      <c r="L1762">
        <v>261500</v>
      </c>
      <c r="M1762">
        <v>6701641</v>
      </c>
      <c r="N1762">
        <v>2087100671250</v>
      </c>
      <c r="O1762">
        <v>95312200</v>
      </c>
      <c r="P1762">
        <v>30833496700000</v>
      </c>
    </row>
    <row r="1763" spans="1:16">
      <c r="A1763" t="s">
        <v>73</v>
      </c>
      <c r="B1763">
        <v>20260226</v>
      </c>
      <c r="C1763">
        <v>42700</v>
      </c>
      <c r="D1763" t="s">
        <v>74</v>
      </c>
      <c r="E1763" t="s">
        <v>73</v>
      </c>
      <c r="F1763" t="s">
        <v>17</v>
      </c>
      <c r="G1763">
        <v>275500</v>
      </c>
      <c r="H1763">
        <v>61000</v>
      </c>
      <c r="I1763">
        <v>28.44</v>
      </c>
      <c r="J1763">
        <v>233000</v>
      </c>
      <c r="K1763">
        <v>277500</v>
      </c>
      <c r="L1763">
        <v>228000</v>
      </c>
      <c r="M1763">
        <v>6002195</v>
      </c>
      <c r="N1763">
        <v>1541625933250</v>
      </c>
      <c r="O1763">
        <v>95312200</v>
      </c>
      <c r="P1763">
        <v>26258511100000</v>
      </c>
    </row>
    <row r="1764" spans="1:16">
      <c r="A1764" t="s">
        <v>73</v>
      </c>
      <c r="B1764">
        <v>20260225</v>
      </c>
      <c r="C1764">
        <v>42700</v>
      </c>
      <c r="D1764" t="s">
        <v>74</v>
      </c>
      <c r="E1764" t="s">
        <v>73</v>
      </c>
      <c r="F1764" t="s">
        <v>17</v>
      </c>
      <c r="G1764">
        <v>214500</v>
      </c>
      <c r="H1764">
        <v>4500</v>
      </c>
      <c r="I1764">
        <v>2.14</v>
      </c>
      <c r="J1764">
        <v>210500</v>
      </c>
      <c r="K1764">
        <v>215500</v>
      </c>
      <c r="L1764">
        <v>208000</v>
      </c>
      <c r="M1764">
        <v>1064978</v>
      </c>
      <c r="N1764">
        <v>226356293250</v>
      </c>
      <c r="O1764">
        <v>95312200</v>
      </c>
      <c r="P1764">
        <v>20444466900000</v>
      </c>
    </row>
    <row r="1765" spans="1:16">
      <c r="A1765" t="s">
        <v>73</v>
      </c>
      <c r="B1765">
        <v>20260224</v>
      </c>
      <c r="C1765">
        <v>42700</v>
      </c>
      <c r="D1765" t="s">
        <v>74</v>
      </c>
      <c r="E1765" t="s">
        <v>73</v>
      </c>
      <c r="F1765" t="s">
        <v>17</v>
      </c>
      <c r="G1765">
        <v>210000</v>
      </c>
      <c r="H1765">
        <v>6000</v>
      </c>
      <c r="I1765">
        <v>2.94</v>
      </c>
      <c r="J1765">
        <v>203500</v>
      </c>
      <c r="K1765">
        <v>214000</v>
      </c>
      <c r="L1765">
        <v>196800</v>
      </c>
      <c r="M1765">
        <v>1645860</v>
      </c>
      <c r="N1765">
        <v>338805820500</v>
      </c>
      <c r="O1765">
        <v>95312200</v>
      </c>
      <c r="P1765">
        <v>20015562000000</v>
      </c>
    </row>
    <row r="1766" spans="1:16">
      <c r="A1766" t="s">
        <v>73</v>
      </c>
      <c r="B1766">
        <v>20260223</v>
      </c>
      <c r="C1766">
        <v>42700</v>
      </c>
      <c r="D1766" t="s">
        <v>74</v>
      </c>
      <c r="E1766" t="s">
        <v>73</v>
      </c>
      <c r="F1766" t="s">
        <v>17</v>
      </c>
      <c r="G1766">
        <v>204000</v>
      </c>
      <c r="H1766">
        <v>3500</v>
      </c>
      <c r="I1766">
        <v>1.75</v>
      </c>
      <c r="J1766">
        <v>201500</v>
      </c>
      <c r="K1766">
        <v>208500</v>
      </c>
      <c r="L1766">
        <v>200500</v>
      </c>
      <c r="M1766">
        <v>939820</v>
      </c>
      <c r="N1766">
        <v>192071955500</v>
      </c>
      <c r="O1766">
        <v>95312200</v>
      </c>
      <c r="P1766">
        <v>19443688800000</v>
      </c>
    </row>
    <row r="1767" spans="1:16">
      <c r="A1767" t="s">
        <v>73</v>
      </c>
      <c r="B1767">
        <v>20260220</v>
      </c>
      <c r="C1767">
        <v>42700</v>
      </c>
      <c r="D1767" t="s">
        <v>74</v>
      </c>
      <c r="E1767" t="s">
        <v>73</v>
      </c>
      <c r="F1767" t="s">
        <v>17</v>
      </c>
      <c r="G1767">
        <v>200500</v>
      </c>
      <c r="H1767">
        <v>-1000</v>
      </c>
      <c r="I1767">
        <v>-0.5</v>
      </c>
      <c r="J1767">
        <v>200500</v>
      </c>
      <c r="K1767">
        <v>202000</v>
      </c>
      <c r="L1767">
        <v>197300</v>
      </c>
      <c r="M1767">
        <v>836127</v>
      </c>
      <c r="N1767">
        <v>166916510850</v>
      </c>
      <c r="O1767">
        <v>95312200</v>
      </c>
      <c r="P1767">
        <v>19110096100000</v>
      </c>
    </row>
    <row r="1768" spans="1:16">
      <c r="A1768" t="s">
        <v>73</v>
      </c>
      <c r="B1768">
        <v>20260219</v>
      </c>
      <c r="C1768">
        <v>42700</v>
      </c>
      <c r="D1768" t="s">
        <v>74</v>
      </c>
      <c r="E1768" t="s">
        <v>73</v>
      </c>
      <c r="F1768" t="s">
        <v>17</v>
      </c>
      <c r="G1768">
        <v>201500</v>
      </c>
      <c r="H1768">
        <v>-1000</v>
      </c>
      <c r="I1768">
        <v>-0.49</v>
      </c>
      <c r="J1768">
        <v>207000</v>
      </c>
      <c r="K1768">
        <v>207500</v>
      </c>
      <c r="L1768">
        <v>200000</v>
      </c>
      <c r="M1768">
        <v>817087</v>
      </c>
      <c r="N1768">
        <v>165139469250</v>
      </c>
      <c r="O1768">
        <v>95312200</v>
      </c>
      <c r="P1768">
        <v>19205408300000</v>
      </c>
    </row>
    <row r="1769" spans="1:16">
      <c r="A1769" t="s">
        <v>73</v>
      </c>
      <c r="B1769">
        <v>20260213</v>
      </c>
      <c r="C1769">
        <v>42700</v>
      </c>
      <c r="D1769" t="s">
        <v>74</v>
      </c>
      <c r="E1769" t="s">
        <v>73</v>
      </c>
      <c r="F1769" t="s">
        <v>17</v>
      </c>
      <c r="G1769">
        <v>202500</v>
      </c>
      <c r="H1769">
        <v>-7000</v>
      </c>
      <c r="I1769">
        <v>-3.34</v>
      </c>
      <c r="J1769">
        <v>205500</v>
      </c>
      <c r="K1769">
        <v>208500</v>
      </c>
      <c r="L1769">
        <v>200000</v>
      </c>
      <c r="M1769">
        <v>1093939</v>
      </c>
      <c r="N1769">
        <v>222660517250</v>
      </c>
      <c r="O1769">
        <v>95312200</v>
      </c>
      <c r="P1769">
        <v>19300720500000</v>
      </c>
    </row>
    <row r="1770" spans="1:16">
      <c r="A1770" t="s">
        <v>73</v>
      </c>
      <c r="B1770">
        <v>20260212</v>
      </c>
      <c r="C1770">
        <v>42700</v>
      </c>
      <c r="D1770" t="s">
        <v>74</v>
      </c>
      <c r="E1770" t="s">
        <v>73</v>
      </c>
      <c r="F1770" t="s">
        <v>17</v>
      </c>
      <c r="G1770">
        <v>209500</v>
      </c>
      <c r="H1770">
        <v>19000</v>
      </c>
      <c r="I1770">
        <v>9.9700000000000006</v>
      </c>
      <c r="J1770">
        <v>200500</v>
      </c>
      <c r="K1770">
        <v>224500</v>
      </c>
      <c r="L1770">
        <v>199400</v>
      </c>
      <c r="M1770">
        <v>5790612</v>
      </c>
      <c r="N1770">
        <v>1238347366850</v>
      </c>
      <c r="O1770">
        <v>95312200</v>
      </c>
      <c r="P1770">
        <v>19967905900000</v>
      </c>
    </row>
    <row r="1771" spans="1:16">
      <c r="A1771" t="s">
        <v>73</v>
      </c>
      <c r="B1771">
        <v>20260211</v>
      </c>
      <c r="C1771">
        <v>42700</v>
      </c>
      <c r="D1771" t="s">
        <v>74</v>
      </c>
      <c r="E1771" t="s">
        <v>73</v>
      </c>
      <c r="F1771" t="s">
        <v>17</v>
      </c>
      <c r="G1771">
        <v>190500</v>
      </c>
      <c r="H1771">
        <v>-4400</v>
      </c>
      <c r="I1771">
        <v>-2.2599999999999998</v>
      </c>
      <c r="J1771">
        <v>192700</v>
      </c>
      <c r="K1771">
        <v>193900</v>
      </c>
      <c r="L1771">
        <v>187500</v>
      </c>
      <c r="M1771">
        <v>670835</v>
      </c>
      <c r="N1771">
        <v>128158106650</v>
      </c>
      <c r="O1771">
        <v>95312200</v>
      </c>
      <c r="P1771">
        <v>18156974100000</v>
      </c>
    </row>
    <row r="1772" spans="1:16">
      <c r="A1772" t="s">
        <v>73</v>
      </c>
      <c r="B1772">
        <v>20260210</v>
      </c>
      <c r="C1772">
        <v>42700</v>
      </c>
      <c r="D1772" t="s">
        <v>74</v>
      </c>
      <c r="E1772" t="s">
        <v>73</v>
      </c>
      <c r="F1772" t="s">
        <v>17</v>
      </c>
      <c r="G1772">
        <v>194900</v>
      </c>
      <c r="H1772">
        <v>-2900</v>
      </c>
      <c r="I1772">
        <v>-1.47</v>
      </c>
      <c r="J1772">
        <v>197000</v>
      </c>
      <c r="K1772">
        <v>201000</v>
      </c>
      <c r="L1772">
        <v>194000</v>
      </c>
      <c r="M1772">
        <v>825009</v>
      </c>
      <c r="N1772">
        <v>162324617000</v>
      </c>
      <c r="O1772">
        <v>95312200</v>
      </c>
      <c r="P1772">
        <v>18576347780000</v>
      </c>
    </row>
    <row r="1773" spans="1:16">
      <c r="A1773" t="s">
        <v>73</v>
      </c>
      <c r="B1773">
        <v>20260209</v>
      </c>
      <c r="C1773">
        <v>42700</v>
      </c>
      <c r="D1773" t="s">
        <v>74</v>
      </c>
      <c r="E1773" t="s">
        <v>73</v>
      </c>
      <c r="F1773" t="s">
        <v>17</v>
      </c>
      <c r="G1773">
        <v>197800</v>
      </c>
      <c r="H1773">
        <v>1800</v>
      </c>
      <c r="I1773">
        <v>0.92</v>
      </c>
      <c r="J1773">
        <v>202500</v>
      </c>
      <c r="K1773">
        <v>203000</v>
      </c>
      <c r="L1773">
        <v>193700</v>
      </c>
      <c r="M1773">
        <v>1365865</v>
      </c>
      <c r="N1773">
        <v>270196183600</v>
      </c>
      <c r="O1773">
        <v>95312200</v>
      </c>
      <c r="P1773">
        <v>18852753160000</v>
      </c>
    </row>
    <row r="1774" spans="1:16">
      <c r="A1774" t="s">
        <v>73</v>
      </c>
      <c r="B1774">
        <v>20260206</v>
      </c>
      <c r="C1774">
        <v>42700</v>
      </c>
      <c r="D1774" t="s">
        <v>74</v>
      </c>
      <c r="E1774" t="s">
        <v>73</v>
      </c>
      <c r="F1774" t="s">
        <v>17</v>
      </c>
      <c r="G1774">
        <v>196000</v>
      </c>
      <c r="H1774">
        <v>2500</v>
      </c>
      <c r="I1774">
        <v>1.29</v>
      </c>
      <c r="J1774">
        <v>190800</v>
      </c>
      <c r="K1774">
        <v>199400</v>
      </c>
      <c r="L1774">
        <v>180400</v>
      </c>
      <c r="M1774">
        <v>1470302</v>
      </c>
      <c r="N1774">
        <v>281799635700</v>
      </c>
      <c r="O1774">
        <v>95312200</v>
      </c>
      <c r="P1774">
        <v>18681191200000</v>
      </c>
    </row>
    <row r="1775" spans="1:16">
      <c r="A1775" t="s">
        <v>73</v>
      </c>
      <c r="B1775">
        <v>20260205</v>
      </c>
      <c r="C1775">
        <v>42700</v>
      </c>
      <c r="D1775" t="s">
        <v>74</v>
      </c>
      <c r="E1775" t="s">
        <v>73</v>
      </c>
      <c r="F1775" t="s">
        <v>17</v>
      </c>
      <c r="G1775">
        <v>193500</v>
      </c>
      <c r="H1775">
        <v>-9000</v>
      </c>
      <c r="I1775">
        <v>-4.4400000000000004</v>
      </c>
      <c r="J1775">
        <v>197100</v>
      </c>
      <c r="K1775">
        <v>200500</v>
      </c>
      <c r="L1775">
        <v>191700</v>
      </c>
      <c r="M1775">
        <v>1211016</v>
      </c>
      <c r="N1775">
        <v>236812790150</v>
      </c>
      <c r="O1775">
        <v>95312200</v>
      </c>
      <c r="P1775">
        <v>18442910700000</v>
      </c>
    </row>
    <row r="1776" spans="1:16">
      <c r="A1776" t="s">
        <v>73</v>
      </c>
      <c r="B1776">
        <v>20260204</v>
      </c>
      <c r="C1776">
        <v>42700</v>
      </c>
      <c r="D1776" t="s">
        <v>74</v>
      </c>
      <c r="E1776" t="s">
        <v>73</v>
      </c>
      <c r="F1776" t="s">
        <v>17</v>
      </c>
      <c r="G1776">
        <v>202500</v>
      </c>
      <c r="H1776">
        <v>3200</v>
      </c>
      <c r="I1776">
        <v>1.61</v>
      </c>
      <c r="J1776">
        <v>194000</v>
      </c>
      <c r="K1776">
        <v>208000</v>
      </c>
      <c r="L1776">
        <v>191900</v>
      </c>
      <c r="M1776">
        <v>1487504</v>
      </c>
      <c r="N1776">
        <v>301188705050</v>
      </c>
      <c r="O1776">
        <v>95312200</v>
      </c>
      <c r="P1776">
        <v>19300720500000</v>
      </c>
    </row>
    <row r="1777" spans="1:16">
      <c r="A1777" t="s">
        <v>73</v>
      </c>
      <c r="B1777">
        <v>20260203</v>
      </c>
      <c r="C1777">
        <v>42700</v>
      </c>
      <c r="D1777" t="s">
        <v>74</v>
      </c>
      <c r="E1777" t="s">
        <v>73</v>
      </c>
      <c r="F1777" t="s">
        <v>17</v>
      </c>
      <c r="G1777">
        <v>199300</v>
      </c>
      <c r="H1777">
        <v>12200</v>
      </c>
      <c r="I1777">
        <v>6.52</v>
      </c>
      <c r="J1777">
        <v>197500</v>
      </c>
      <c r="K1777">
        <v>199300</v>
      </c>
      <c r="L1777">
        <v>191300</v>
      </c>
      <c r="M1777">
        <v>1841243</v>
      </c>
      <c r="N1777">
        <v>359129379400</v>
      </c>
      <c r="O1777">
        <v>95312200</v>
      </c>
      <c r="P1777">
        <v>18995721460000</v>
      </c>
    </row>
    <row r="1778" spans="1:16">
      <c r="A1778" t="s">
        <v>73</v>
      </c>
      <c r="B1778">
        <v>20260202</v>
      </c>
      <c r="C1778">
        <v>42700</v>
      </c>
      <c r="D1778" t="s">
        <v>74</v>
      </c>
      <c r="E1778" t="s">
        <v>73</v>
      </c>
      <c r="F1778" t="s">
        <v>17</v>
      </c>
      <c r="G1778">
        <v>187100</v>
      </c>
      <c r="H1778">
        <v>-23900</v>
      </c>
      <c r="I1778">
        <v>-11.33</v>
      </c>
      <c r="J1778">
        <v>205000</v>
      </c>
      <c r="K1778">
        <v>205000</v>
      </c>
      <c r="L1778">
        <v>186100</v>
      </c>
      <c r="M1778">
        <v>2807793</v>
      </c>
      <c r="N1778">
        <v>545943286250</v>
      </c>
      <c r="O1778">
        <v>95312200</v>
      </c>
      <c r="P1778">
        <v>17832912620000</v>
      </c>
    </row>
    <row r="1779" spans="1:16">
      <c r="A1779" t="s">
        <v>73</v>
      </c>
      <c r="B1779">
        <v>20260130</v>
      </c>
      <c r="C1779">
        <v>42700</v>
      </c>
      <c r="D1779" t="s">
        <v>74</v>
      </c>
      <c r="E1779" t="s">
        <v>73</v>
      </c>
      <c r="F1779" t="s">
        <v>17</v>
      </c>
      <c r="G1779">
        <v>211000</v>
      </c>
      <c r="H1779">
        <v>7500</v>
      </c>
      <c r="I1779">
        <v>3.69</v>
      </c>
      <c r="J1779">
        <v>199900</v>
      </c>
      <c r="K1779">
        <v>220000</v>
      </c>
      <c r="L1779">
        <v>198400</v>
      </c>
      <c r="M1779">
        <v>4364912</v>
      </c>
      <c r="N1779">
        <v>918293075000</v>
      </c>
      <c r="O1779">
        <v>95312200</v>
      </c>
      <c r="P1779">
        <v>20110874200000</v>
      </c>
    </row>
    <row r="1780" spans="1:16">
      <c r="A1780" t="s">
        <v>73</v>
      </c>
      <c r="B1780">
        <v>20260129</v>
      </c>
      <c r="C1780">
        <v>42700</v>
      </c>
      <c r="D1780" t="s">
        <v>74</v>
      </c>
      <c r="E1780" t="s">
        <v>73</v>
      </c>
      <c r="F1780" t="s">
        <v>17</v>
      </c>
      <c r="G1780">
        <v>203500</v>
      </c>
      <c r="H1780">
        <v>21500</v>
      </c>
      <c r="I1780">
        <v>11.81</v>
      </c>
      <c r="J1780">
        <v>198900</v>
      </c>
      <c r="K1780">
        <v>210000</v>
      </c>
      <c r="L1780">
        <v>189000</v>
      </c>
      <c r="M1780">
        <v>7160116</v>
      </c>
      <c r="N1780">
        <v>1436570584100</v>
      </c>
      <c r="O1780">
        <v>95312200</v>
      </c>
      <c r="P1780">
        <v>19396032700000</v>
      </c>
    </row>
    <row r="1781" spans="1:16">
      <c r="A1781" t="s">
        <v>73</v>
      </c>
      <c r="B1781">
        <v>20260128</v>
      </c>
      <c r="C1781">
        <v>42700</v>
      </c>
      <c r="D1781" t="s">
        <v>74</v>
      </c>
      <c r="E1781" t="s">
        <v>73</v>
      </c>
      <c r="F1781" t="s">
        <v>17</v>
      </c>
      <c r="G1781">
        <v>182000</v>
      </c>
      <c r="H1781">
        <v>7200</v>
      </c>
      <c r="I1781">
        <v>4.12</v>
      </c>
      <c r="J1781">
        <v>182000</v>
      </c>
      <c r="K1781">
        <v>184900</v>
      </c>
      <c r="L1781">
        <v>177600</v>
      </c>
      <c r="M1781">
        <v>2220792</v>
      </c>
      <c r="N1781">
        <v>401769928750</v>
      </c>
      <c r="O1781">
        <v>95312200</v>
      </c>
      <c r="P1781">
        <v>17346820400000</v>
      </c>
    </row>
    <row r="1782" spans="1:16">
      <c r="A1782" t="s">
        <v>73</v>
      </c>
      <c r="B1782">
        <v>20260127</v>
      </c>
      <c r="C1782">
        <v>42700</v>
      </c>
      <c r="D1782" t="s">
        <v>74</v>
      </c>
      <c r="E1782" t="s">
        <v>73</v>
      </c>
      <c r="F1782" t="s">
        <v>17</v>
      </c>
      <c r="G1782">
        <v>174800</v>
      </c>
      <c r="H1782">
        <v>5300</v>
      </c>
      <c r="I1782">
        <v>3.13</v>
      </c>
      <c r="J1782">
        <v>169800</v>
      </c>
      <c r="K1782">
        <v>175800</v>
      </c>
      <c r="L1782">
        <v>164700</v>
      </c>
      <c r="M1782">
        <v>1620819</v>
      </c>
      <c r="N1782">
        <v>277892450050</v>
      </c>
      <c r="O1782">
        <v>95312200</v>
      </c>
      <c r="P1782">
        <v>16660572560000</v>
      </c>
    </row>
    <row r="1783" spans="1:16">
      <c r="A1783" t="s">
        <v>73</v>
      </c>
      <c r="B1783">
        <v>20260126</v>
      </c>
      <c r="C1783">
        <v>42700</v>
      </c>
      <c r="D1783" t="s">
        <v>74</v>
      </c>
      <c r="E1783" t="s">
        <v>73</v>
      </c>
      <c r="F1783" t="s">
        <v>17</v>
      </c>
      <c r="G1783">
        <v>169500</v>
      </c>
      <c r="H1783">
        <v>-1600</v>
      </c>
      <c r="I1783">
        <v>-0.94</v>
      </c>
      <c r="J1783">
        <v>171200</v>
      </c>
      <c r="K1783">
        <v>171400</v>
      </c>
      <c r="L1783">
        <v>168400</v>
      </c>
      <c r="M1783">
        <v>753397</v>
      </c>
      <c r="N1783">
        <v>127660848950</v>
      </c>
      <c r="O1783">
        <v>95312200</v>
      </c>
      <c r="P1783">
        <v>16155417900000</v>
      </c>
    </row>
    <row r="1784" spans="1:16">
      <c r="A1784" t="s">
        <v>73</v>
      </c>
      <c r="B1784">
        <v>20260123</v>
      </c>
      <c r="C1784">
        <v>42700</v>
      </c>
      <c r="D1784" t="s">
        <v>74</v>
      </c>
      <c r="E1784" t="s">
        <v>73</v>
      </c>
      <c r="F1784" t="s">
        <v>17</v>
      </c>
      <c r="G1784">
        <v>171100</v>
      </c>
      <c r="H1784">
        <v>700</v>
      </c>
      <c r="I1784">
        <v>0.41</v>
      </c>
      <c r="J1784">
        <v>169800</v>
      </c>
      <c r="K1784">
        <v>173800</v>
      </c>
      <c r="L1784">
        <v>168900</v>
      </c>
      <c r="M1784">
        <v>644666</v>
      </c>
      <c r="N1784">
        <v>110314037800</v>
      </c>
      <c r="O1784">
        <v>95312200</v>
      </c>
      <c r="P1784">
        <v>16307917420000</v>
      </c>
    </row>
    <row r="1785" spans="1:16">
      <c r="A1785" t="s">
        <v>73</v>
      </c>
      <c r="B1785">
        <v>20260122</v>
      </c>
      <c r="C1785">
        <v>42700</v>
      </c>
      <c r="D1785" t="s">
        <v>74</v>
      </c>
      <c r="E1785" t="s">
        <v>73</v>
      </c>
      <c r="F1785" t="s">
        <v>17</v>
      </c>
      <c r="G1785">
        <v>170400</v>
      </c>
      <c r="H1785">
        <v>-1800</v>
      </c>
      <c r="I1785">
        <v>-1.05</v>
      </c>
      <c r="J1785">
        <v>178700</v>
      </c>
      <c r="K1785">
        <v>178800</v>
      </c>
      <c r="L1785">
        <v>169400</v>
      </c>
      <c r="M1785">
        <v>1034728</v>
      </c>
      <c r="N1785">
        <v>178488091050</v>
      </c>
      <c r="O1785">
        <v>95312200</v>
      </c>
      <c r="P1785">
        <v>16241198880000</v>
      </c>
    </row>
    <row r="1786" spans="1:16">
      <c r="A1786" t="s">
        <v>73</v>
      </c>
      <c r="B1786">
        <v>20260121</v>
      </c>
      <c r="C1786">
        <v>42700</v>
      </c>
      <c r="D1786" t="s">
        <v>74</v>
      </c>
      <c r="E1786" t="s">
        <v>73</v>
      </c>
      <c r="F1786" t="s">
        <v>17</v>
      </c>
      <c r="G1786">
        <v>172200</v>
      </c>
      <c r="H1786">
        <v>100</v>
      </c>
      <c r="I1786">
        <v>0.06</v>
      </c>
      <c r="J1786">
        <v>167400</v>
      </c>
      <c r="K1786">
        <v>173300</v>
      </c>
      <c r="L1786">
        <v>165500</v>
      </c>
      <c r="M1786">
        <v>1012880</v>
      </c>
      <c r="N1786">
        <v>171733550500</v>
      </c>
      <c r="O1786">
        <v>95312200</v>
      </c>
      <c r="P1786">
        <v>16412760840000</v>
      </c>
    </row>
    <row r="1787" spans="1:16">
      <c r="A1787" t="s">
        <v>73</v>
      </c>
      <c r="B1787">
        <v>20260120</v>
      </c>
      <c r="C1787">
        <v>42700</v>
      </c>
      <c r="D1787" t="s">
        <v>74</v>
      </c>
      <c r="E1787" t="s">
        <v>73</v>
      </c>
      <c r="F1787" t="s">
        <v>17</v>
      </c>
      <c r="G1787">
        <v>172100</v>
      </c>
      <c r="H1787">
        <v>-5400</v>
      </c>
      <c r="I1787">
        <v>-3.04</v>
      </c>
      <c r="J1787">
        <v>176400</v>
      </c>
      <c r="K1787">
        <v>176400</v>
      </c>
      <c r="L1787">
        <v>169600</v>
      </c>
      <c r="M1787">
        <v>974249</v>
      </c>
      <c r="N1787">
        <v>168359927500</v>
      </c>
      <c r="O1787">
        <v>95312200</v>
      </c>
      <c r="P1787">
        <v>16403229620000</v>
      </c>
    </row>
    <row r="1788" spans="1:16">
      <c r="A1788" t="s">
        <v>73</v>
      </c>
      <c r="B1788">
        <v>20260119</v>
      </c>
      <c r="C1788">
        <v>42700</v>
      </c>
      <c r="D1788" t="s">
        <v>74</v>
      </c>
      <c r="E1788" t="s">
        <v>73</v>
      </c>
      <c r="F1788" t="s">
        <v>17</v>
      </c>
      <c r="G1788">
        <v>177500</v>
      </c>
      <c r="H1788">
        <v>-1000</v>
      </c>
      <c r="I1788">
        <v>-0.56000000000000005</v>
      </c>
      <c r="J1788">
        <v>176500</v>
      </c>
      <c r="K1788">
        <v>180500</v>
      </c>
      <c r="L1788">
        <v>176000</v>
      </c>
      <c r="M1788">
        <v>968084</v>
      </c>
      <c r="N1788">
        <v>172895654500</v>
      </c>
      <c r="O1788">
        <v>95312200</v>
      </c>
      <c r="P1788">
        <v>16917915500000</v>
      </c>
    </row>
    <row r="1789" spans="1:16">
      <c r="A1789" t="s">
        <v>73</v>
      </c>
      <c r="B1789">
        <v>20260116</v>
      </c>
      <c r="C1789">
        <v>42700</v>
      </c>
      <c r="D1789" t="s">
        <v>74</v>
      </c>
      <c r="E1789" t="s">
        <v>73</v>
      </c>
      <c r="F1789" t="s">
        <v>17</v>
      </c>
      <c r="G1789">
        <v>178500</v>
      </c>
      <c r="H1789">
        <v>-1500</v>
      </c>
      <c r="I1789">
        <v>-0.83</v>
      </c>
      <c r="J1789">
        <v>185700</v>
      </c>
      <c r="K1789">
        <v>185700</v>
      </c>
      <c r="L1789">
        <v>176900</v>
      </c>
      <c r="M1789">
        <v>1282769</v>
      </c>
      <c r="N1789">
        <v>231460797800</v>
      </c>
      <c r="O1789">
        <v>95312200</v>
      </c>
      <c r="P1789">
        <v>17013227700000</v>
      </c>
    </row>
    <row r="1790" spans="1:16">
      <c r="A1790" t="s">
        <v>73</v>
      </c>
      <c r="B1790">
        <v>20260115</v>
      </c>
      <c r="C1790">
        <v>42700</v>
      </c>
      <c r="D1790" t="s">
        <v>74</v>
      </c>
      <c r="E1790" t="s">
        <v>73</v>
      </c>
      <c r="F1790" t="s">
        <v>17</v>
      </c>
      <c r="G1790">
        <v>180000</v>
      </c>
      <c r="H1790">
        <v>2200</v>
      </c>
      <c r="I1790">
        <v>1.24</v>
      </c>
      <c r="J1790">
        <v>173500</v>
      </c>
      <c r="K1790">
        <v>180000</v>
      </c>
      <c r="L1790">
        <v>173000</v>
      </c>
      <c r="M1790">
        <v>1266591</v>
      </c>
      <c r="N1790">
        <v>224639250400</v>
      </c>
      <c r="O1790">
        <v>95312200</v>
      </c>
      <c r="P1790">
        <v>17156196000000</v>
      </c>
    </row>
    <row r="1791" spans="1:16">
      <c r="A1791" t="s">
        <v>73</v>
      </c>
      <c r="B1791">
        <v>20260114</v>
      </c>
      <c r="C1791">
        <v>42700</v>
      </c>
      <c r="D1791" t="s">
        <v>74</v>
      </c>
      <c r="E1791" t="s">
        <v>73</v>
      </c>
      <c r="F1791" t="s">
        <v>17</v>
      </c>
      <c r="G1791">
        <v>177800</v>
      </c>
      <c r="H1791">
        <v>4600</v>
      </c>
      <c r="I1791">
        <v>2.66</v>
      </c>
      <c r="J1791">
        <v>177800</v>
      </c>
      <c r="K1791">
        <v>185900</v>
      </c>
      <c r="L1791">
        <v>175200</v>
      </c>
      <c r="M1791">
        <v>3285414</v>
      </c>
      <c r="N1791">
        <v>593141393050</v>
      </c>
      <c r="O1791">
        <v>95312200</v>
      </c>
      <c r="P1791">
        <v>16946509160000</v>
      </c>
    </row>
    <row r="1792" spans="1:16">
      <c r="A1792" t="s">
        <v>73</v>
      </c>
      <c r="B1792">
        <v>20260113</v>
      </c>
      <c r="C1792">
        <v>42700</v>
      </c>
      <c r="D1792" t="s">
        <v>74</v>
      </c>
      <c r="E1792" t="s">
        <v>73</v>
      </c>
      <c r="F1792" t="s">
        <v>17</v>
      </c>
      <c r="G1792">
        <v>173200</v>
      </c>
      <c r="H1792">
        <v>5600</v>
      </c>
      <c r="I1792">
        <v>3.34</v>
      </c>
      <c r="J1792">
        <v>171600</v>
      </c>
      <c r="K1792">
        <v>174000</v>
      </c>
      <c r="L1792">
        <v>168900</v>
      </c>
      <c r="M1792">
        <v>1392596</v>
      </c>
      <c r="N1792">
        <v>239030688700</v>
      </c>
      <c r="O1792">
        <v>95312200</v>
      </c>
      <c r="P1792">
        <v>16508073040000</v>
      </c>
    </row>
    <row r="1793" spans="1:16">
      <c r="A1793" t="s">
        <v>73</v>
      </c>
      <c r="B1793">
        <v>20260112</v>
      </c>
      <c r="C1793">
        <v>42700</v>
      </c>
      <c r="D1793" t="s">
        <v>74</v>
      </c>
      <c r="E1793" t="s">
        <v>73</v>
      </c>
      <c r="F1793" t="s">
        <v>17</v>
      </c>
      <c r="G1793">
        <v>167600</v>
      </c>
      <c r="H1793">
        <v>-8700</v>
      </c>
      <c r="I1793">
        <v>-4.93</v>
      </c>
      <c r="J1793">
        <v>177200</v>
      </c>
      <c r="K1793">
        <v>179000</v>
      </c>
      <c r="L1793">
        <v>164800</v>
      </c>
      <c r="M1793">
        <v>2436807</v>
      </c>
      <c r="N1793">
        <v>414554169750</v>
      </c>
      <c r="O1793">
        <v>95312200</v>
      </c>
      <c r="P1793">
        <v>15974324720000</v>
      </c>
    </row>
    <row r="1794" spans="1:16">
      <c r="A1794" t="s">
        <v>73</v>
      </c>
      <c r="B1794">
        <v>20260109</v>
      </c>
      <c r="C1794">
        <v>42700</v>
      </c>
      <c r="D1794" t="s">
        <v>74</v>
      </c>
      <c r="E1794" t="s">
        <v>73</v>
      </c>
      <c r="F1794" t="s">
        <v>17</v>
      </c>
      <c r="G1794">
        <v>176300</v>
      </c>
      <c r="H1794">
        <v>-9400</v>
      </c>
      <c r="I1794">
        <v>-5.0599999999999996</v>
      </c>
      <c r="J1794">
        <v>181900</v>
      </c>
      <c r="K1794">
        <v>182400</v>
      </c>
      <c r="L1794">
        <v>173500</v>
      </c>
      <c r="M1794">
        <v>2622280</v>
      </c>
      <c r="N1794">
        <v>463165602050</v>
      </c>
      <c r="O1794">
        <v>95312200</v>
      </c>
      <c r="P1794">
        <v>16803540860000</v>
      </c>
    </row>
    <row r="1795" spans="1:16">
      <c r="A1795" t="s">
        <v>73</v>
      </c>
      <c r="B1795">
        <v>20260108</v>
      </c>
      <c r="C1795">
        <v>42700</v>
      </c>
      <c r="D1795" t="s">
        <v>74</v>
      </c>
      <c r="E1795" t="s">
        <v>73</v>
      </c>
      <c r="F1795" t="s">
        <v>17</v>
      </c>
      <c r="G1795">
        <v>185700</v>
      </c>
      <c r="H1795">
        <v>-800</v>
      </c>
      <c r="I1795">
        <v>-0.43</v>
      </c>
      <c r="J1795">
        <v>182700</v>
      </c>
      <c r="K1795">
        <v>201000</v>
      </c>
      <c r="L1795">
        <v>181800</v>
      </c>
      <c r="M1795">
        <v>5532705</v>
      </c>
      <c r="N1795">
        <v>1057302127000</v>
      </c>
      <c r="O1795">
        <v>95312200</v>
      </c>
      <c r="P1795">
        <v>17699475540000</v>
      </c>
    </row>
    <row r="1796" spans="1:16">
      <c r="A1796" t="s">
        <v>73</v>
      </c>
      <c r="B1796">
        <v>20260107</v>
      </c>
      <c r="C1796">
        <v>42700</v>
      </c>
      <c r="D1796" t="s">
        <v>74</v>
      </c>
      <c r="E1796" t="s">
        <v>73</v>
      </c>
      <c r="F1796" t="s">
        <v>17</v>
      </c>
      <c r="G1796">
        <v>186500</v>
      </c>
      <c r="H1796">
        <v>2800</v>
      </c>
      <c r="I1796">
        <v>1.52</v>
      </c>
      <c r="J1796">
        <v>194300</v>
      </c>
      <c r="K1796">
        <v>197100</v>
      </c>
      <c r="L1796">
        <v>180500</v>
      </c>
      <c r="M1796">
        <v>4801481</v>
      </c>
      <c r="N1796">
        <v>905928532800</v>
      </c>
      <c r="O1796">
        <v>95312200</v>
      </c>
      <c r="P1796">
        <v>17775725300000</v>
      </c>
    </row>
    <row r="1797" spans="1:16">
      <c r="A1797" t="s">
        <v>73</v>
      </c>
      <c r="B1797">
        <v>20260106</v>
      </c>
      <c r="C1797">
        <v>42700</v>
      </c>
      <c r="D1797" t="s">
        <v>74</v>
      </c>
      <c r="E1797" t="s">
        <v>73</v>
      </c>
      <c r="F1797" t="s">
        <v>17</v>
      </c>
      <c r="G1797">
        <v>183700</v>
      </c>
      <c r="H1797">
        <v>16400</v>
      </c>
      <c r="I1797">
        <v>9.8000000000000007</v>
      </c>
      <c r="J1797">
        <v>169000</v>
      </c>
      <c r="K1797">
        <v>183700</v>
      </c>
      <c r="L1797">
        <v>167300</v>
      </c>
      <c r="M1797">
        <v>6073528</v>
      </c>
      <c r="N1797">
        <v>1071236133500</v>
      </c>
      <c r="O1797">
        <v>95312200</v>
      </c>
      <c r="P1797">
        <v>17508851140000</v>
      </c>
    </row>
    <row r="1798" spans="1:16">
      <c r="A1798" t="s">
        <v>73</v>
      </c>
      <c r="B1798">
        <v>20260105</v>
      </c>
      <c r="C1798">
        <v>42700</v>
      </c>
      <c r="D1798" t="s">
        <v>74</v>
      </c>
      <c r="E1798" t="s">
        <v>73</v>
      </c>
      <c r="F1798" t="s">
        <v>17</v>
      </c>
      <c r="G1798">
        <v>167300</v>
      </c>
      <c r="H1798">
        <v>22800</v>
      </c>
      <c r="I1798">
        <v>15.78</v>
      </c>
      <c r="J1798">
        <v>154900</v>
      </c>
      <c r="K1798">
        <v>168400</v>
      </c>
      <c r="L1798">
        <v>153200</v>
      </c>
      <c r="M1798">
        <v>6479709</v>
      </c>
      <c r="N1798">
        <v>1039853037050</v>
      </c>
      <c r="O1798">
        <v>95312200</v>
      </c>
      <c r="P1798">
        <v>15945731060000</v>
      </c>
    </row>
    <row r="1799" spans="1:16">
      <c r="A1799" t="s">
        <v>73</v>
      </c>
      <c r="B1799">
        <v>20260102</v>
      </c>
      <c r="C1799">
        <v>42700</v>
      </c>
      <c r="D1799" t="s">
        <v>74</v>
      </c>
      <c r="E1799" t="s">
        <v>73</v>
      </c>
      <c r="F1799" t="s">
        <v>17</v>
      </c>
      <c r="G1799">
        <v>144500</v>
      </c>
      <c r="H1799">
        <v>17100</v>
      </c>
      <c r="I1799">
        <v>13.42</v>
      </c>
      <c r="J1799">
        <v>127600</v>
      </c>
      <c r="K1799">
        <v>144700</v>
      </c>
      <c r="L1799">
        <v>127600</v>
      </c>
      <c r="M1799">
        <v>3357195</v>
      </c>
      <c r="N1799">
        <v>469801983250</v>
      </c>
      <c r="O1799">
        <v>95312200</v>
      </c>
      <c r="P1799">
        <v>13772612900000</v>
      </c>
    </row>
    <row r="1800" spans="1:16">
      <c r="A1800" t="s">
        <v>75</v>
      </c>
      <c r="B1800">
        <v>20260403</v>
      </c>
      <c r="C1800">
        <v>10140</v>
      </c>
      <c r="D1800" t="s">
        <v>76</v>
      </c>
      <c r="E1800" t="s">
        <v>75</v>
      </c>
      <c r="F1800" t="s">
        <v>17</v>
      </c>
      <c r="G1800">
        <v>27900</v>
      </c>
      <c r="H1800">
        <v>1000</v>
      </c>
      <c r="I1800">
        <v>3.72</v>
      </c>
      <c r="J1800">
        <v>27800</v>
      </c>
      <c r="K1800">
        <v>28350</v>
      </c>
      <c r="L1800">
        <v>27300</v>
      </c>
      <c r="M1800">
        <v>4444306</v>
      </c>
      <c r="N1800">
        <v>123836170025</v>
      </c>
      <c r="O1800">
        <v>880000000</v>
      </c>
      <c r="P1800">
        <v>24552000000000</v>
      </c>
    </row>
    <row r="1801" spans="1:16">
      <c r="A1801" t="s">
        <v>75</v>
      </c>
      <c r="B1801">
        <v>20260402</v>
      </c>
      <c r="C1801">
        <v>10140</v>
      </c>
      <c r="D1801" t="s">
        <v>76</v>
      </c>
      <c r="E1801" t="s">
        <v>75</v>
      </c>
      <c r="F1801" t="s">
        <v>17</v>
      </c>
      <c r="G1801">
        <v>26900</v>
      </c>
      <c r="H1801">
        <v>-100</v>
      </c>
      <c r="I1801">
        <v>-0.37</v>
      </c>
      <c r="J1801">
        <v>28750</v>
      </c>
      <c r="K1801">
        <v>28950</v>
      </c>
      <c r="L1801">
        <v>26550</v>
      </c>
      <c r="M1801">
        <v>8177473</v>
      </c>
      <c r="N1801">
        <v>224978342625</v>
      </c>
      <c r="O1801">
        <v>880000000</v>
      </c>
      <c r="P1801">
        <v>23672000000000</v>
      </c>
    </row>
    <row r="1802" spans="1:16">
      <c r="A1802" t="s">
        <v>75</v>
      </c>
      <c r="B1802">
        <v>20260401</v>
      </c>
      <c r="C1802">
        <v>10140</v>
      </c>
      <c r="D1802" t="s">
        <v>76</v>
      </c>
      <c r="E1802" t="s">
        <v>75</v>
      </c>
      <c r="F1802" t="s">
        <v>17</v>
      </c>
      <c r="G1802">
        <v>27000</v>
      </c>
      <c r="H1802">
        <v>2550</v>
      </c>
      <c r="I1802">
        <v>10.43</v>
      </c>
      <c r="J1802">
        <v>25650</v>
      </c>
      <c r="K1802">
        <v>27400</v>
      </c>
      <c r="L1802">
        <v>25400</v>
      </c>
      <c r="M1802">
        <v>6677308</v>
      </c>
      <c r="N1802">
        <v>178374311950</v>
      </c>
      <c r="O1802">
        <v>880000000</v>
      </c>
      <c r="P1802">
        <v>23760000000000</v>
      </c>
    </row>
    <row r="1803" spans="1:16">
      <c r="A1803" t="s">
        <v>75</v>
      </c>
      <c r="B1803">
        <v>20260331</v>
      </c>
      <c r="C1803">
        <v>10140</v>
      </c>
      <c r="D1803" t="s">
        <v>76</v>
      </c>
      <c r="E1803" t="s">
        <v>75</v>
      </c>
      <c r="F1803" t="s">
        <v>17</v>
      </c>
      <c r="G1803">
        <v>24450</v>
      </c>
      <c r="H1803">
        <v>-50</v>
      </c>
      <c r="I1803">
        <v>-0.2</v>
      </c>
      <c r="J1803">
        <v>24650</v>
      </c>
      <c r="K1803">
        <v>25400</v>
      </c>
      <c r="L1803">
        <v>24200</v>
      </c>
      <c r="M1803">
        <v>6237363</v>
      </c>
      <c r="N1803">
        <v>154280519625</v>
      </c>
      <c r="O1803">
        <v>880000000</v>
      </c>
      <c r="P1803">
        <v>21516000000000</v>
      </c>
    </row>
    <row r="1804" spans="1:16">
      <c r="A1804" t="s">
        <v>75</v>
      </c>
      <c r="B1804">
        <v>20260330</v>
      </c>
      <c r="C1804">
        <v>10140</v>
      </c>
      <c r="D1804" t="s">
        <v>76</v>
      </c>
      <c r="E1804" t="s">
        <v>75</v>
      </c>
      <c r="F1804" t="s">
        <v>17</v>
      </c>
      <c r="G1804">
        <v>24500</v>
      </c>
      <c r="H1804">
        <v>-1500</v>
      </c>
      <c r="I1804">
        <v>-5.77</v>
      </c>
      <c r="J1804">
        <v>24550</v>
      </c>
      <c r="K1804">
        <v>24900</v>
      </c>
      <c r="L1804">
        <v>24200</v>
      </c>
      <c r="M1804">
        <v>6468387</v>
      </c>
      <c r="N1804">
        <v>158417141075</v>
      </c>
      <c r="O1804">
        <v>880000000</v>
      </c>
      <c r="P1804">
        <v>21560000000000</v>
      </c>
    </row>
    <row r="1805" spans="1:16">
      <c r="A1805" t="s">
        <v>75</v>
      </c>
      <c r="B1805">
        <v>20260327</v>
      </c>
      <c r="C1805">
        <v>10140</v>
      </c>
      <c r="D1805" t="s">
        <v>76</v>
      </c>
      <c r="E1805" t="s">
        <v>75</v>
      </c>
      <c r="F1805" t="s">
        <v>17</v>
      </c>
      <c r="G1805">
        <v>26000</v>
      </c>
      <c r="H1805">
        <v>-350</v>
      </c>
      <c r="I1805">
        <v>-1.33</v>
      </c>
      <c r="J1805">
        <v>25700</v>
      </c>
      <c r="K1805">
        <v>26150</v>
      </c>
      <c r="L1805">
        <v>25000</v>
      </c>
      <c r="M1805">
        <v>3215404</v>
      </c>
      <c r="N1805">
        <v>82223057550</v>
      </c>
      <c r="O1805">
        <v>880000000</v>
      </c>
      <c r="P1805">
        <v>22880000000000</v>
      </c>
    </row>
    <row r="1806" spans="1:16">
      <c r="A1806" t="s">
        <v>75</v>
      </c>
      <c r="B1806">
        <v>20260326</v>
      </c>
      <c r="C1806">
        <v>10140</v>
      </c>
      <c r="D1806" t="s">
        <v>76</v>
      </c>
      <c r="E1806" t="s">
        <v>75</v>
      </c>
      <c r="F1806" t="s">
        <v>17</v>
      </c>
      <c r="G1806">
        <v>26350</v>
      </c>
      <c r="H1806">
        <v>-500</v>
      </c>
      <c r="I1806">
        <v>-1.86</v>
      </c>
      <c r="J1806">
        <v>27350</v>
      </c>
      <c r="K1806">
        <v>27500</v>
      </c>
      <c r="L1806">
        <v>26300</v>
      </c>
      <c r="M1806">
        <v>2633814</v>
      </c>
      <c r="N1806">
        <v>70583876750</v>
      </c>
      <c r="O1806">
        <v>880000000</v>
      </c>
      <c r="P1806">
        <v>23188000000000</v>
      </c>
    </row>
    <row r="1807" spans="1:16">
      <c r="A1807" t="s">
        <v>75</v>
      </c>
      <c r="B1807">
        <v>20260325</v>
      </c>
      <c r="C1807">
        <v>10140</v>
      </c>
      <c r="D1807" t="s">
        <v>76</v>
      </c>
      <c r="E1807" t="s">
        <v>75</v>
      </c>
      <c r="F1807" t="s">
        <v>17</v>
      </c>
      <c r="G1807">
        <v>26850</v>
      </c>
      <c r="H1807">
        <v>450</v>
      </c>
      <c r="I1807">
        <v>1.7</v>
      </c>
      <c r="J1807">
        <v>27100</v>
      </c>
      <c r="K1807">
        <v>27250</v>
      </c>
      <c r="L1807">
        <v>26250</v>
      </c>
      <c r="M1807">
        <v>3901636</v>
      </c>
      <c r="N1807">
        <v>104022176975</v>
      </c>
      <c r="O1807">
        <v>880000000</v>
      </c>
      <c r="P1807">
        <v>23628000000000</v>
      </c>
    </row>
    <row r="1808" spans="1:16">
      <c r="A1808" t="s">
        <v>75</v>
      </c>
      <c r="B1808">
        <v>20260324</v>
      </c>
      <c r="C1808">
        <v>10140</v>
      </c>
      <c r="D1808" t="s">
        <v>76</v>
      </c>
      <c r="E1808" t="s">
        <v>75</v>
      </c>
      <c r="F1808" t="s">
        <v>17</v>
      </c>
      <c r="G1808">
        <v>26400</v>
      </c>
      <c r="H1808">
        <v>400</v>
      </c>
      <c r="I1808">
        <v>1.54</v>
      </c>
      <c r="J1808">
        <v>27300</v>
      </c>
      <c r="K1808">
        <v>27350</v>
      </c>
      <c r="L1808">
        <v>25600</v>
      </c>
      <c r="M1808">
        <v>3598063</v>
      </c>
      <c r="N1808">
        <v>95012711925</v>
      </c>
      <c r="O1808">
        <v>880000000</v>
      </c>
      <c r="P1808">
        <v>23232000000000</v>
      </c>
    </row>
    <row r="1809" spans="1:16">
      <c r="A1809" t="s">
        <v>75</v>
      </c>
      <c r="B1809">
        <v>20260323</v>
      </c>
      <c r="C1809">
        <v>10140</v>
      </c>
      <c r="D1809" t="s">
        <v>76</v>
      </c>
      <c r="E1809" t="s">
        <v>75</v>
      </c>
      <c r="F1809" t="s">
        <v>17</v>
      </c>
      <c r="G1809">
        <v>26000</v>
      </c>
      <c r="H1809">
        <v>-2550</v>
      </c>
      <c r="I1809">
        <v>-8.93</v>
      </c>
      <c r="J1809">
        <v>27600</v>
      </c>
      <c r="K1809">
        <v>27650</v>
      </c>
      <c r="L1809">
        <v>26000</v>
      </c>
      <c r="M1809">
        <v>7716407</v>
      </c>
      <c r="N1809">
        <v>204694410300</v>
      </c>
      <c r="O1809">
        <v>880000000</v>
      </c>
      <c r="P1809">
        <v>22880000000000</v>
      </c>
    </row>
    <row r="1810" spans="1:16">
      <c r="A1810" t="s">
        <v>75</v>
      </c>
      <c r="B1810">
        <v>20260320</v>
      </c>
      <c r="C1810">
        <v>10140</v>
      </c>
      <c r="D1810" t="s">
        <v>76</v>
      </c>
      <c r="E1810" t="s">
        <v>75</v>
      </c>
      <c r="F1810" t="s">
        <v>17</v>
      </c>
      <c r="G1810">
        <v>28550</v>
      </c>
      <c r="H1810">
        <v>50</v>
      </c>
      <c r="I1810">
        <v>0.18</v>
      </c>
      <c r="J1810">
        <v>28750</v>
      </c>
      <c r="K1810">
        <v>29950</v>
      </c>
      <c r="L1810">
        <v>28150</v>
      </c>
      <c r="M1810">
        <v>5947337</v>
      </c>
      <c r="N1810">
        <v>172198368450</v>
      </c>
      <c r="O1810">
        <v>880000000</v>
      </c>
      <c r="P1810">
        <v>25124000000000</v>
      </c>
    </row>
    <row r="1811" spans="1:16">
      <c r="A1811" t="s">
        <v>75</v>
      </c>
      <c r="B1811">
        <v>20260319</v>
      </c>
      <c r="C1811">
        <v>10140</v>
      </c>
      <c r="D1811" t="s">
        <v>76</v>
      </c>
      <c r="E1811" t="s">
        <v>75</v>
      </c>
      <c r="F1811" t="s">
        <v>17</v>
      </c>
      <c r="G1811">
        <v>28500</v>
      </c>
      <c r="H1811">
        <v>-600</v>
      </c>
      <c r="I1811">
        <v>-2.06</v>
      </c>
      <c r="J1811">
        <v>28700</v>
      </c>
      <c r="K1811">
        <v>28950</v>
      </c>
      <c r="L1811">
        <v>28500</v>
      </c>
      <c r="M1811">
        <v>2252176</v>
      </c>
      <c r="N1811">
        <v>64595648625</v>
      </c>
      <c r="O1811">
        <v>880000000</v>
      </c>
      <c r="P1811">
        <v>25080000000000</v>
      </c>
    </row>
    <row r="1812" spans="1:16">
      <c r="A1812" t="s">
        <v>75</v>
      </c>
      <c r="B1812">
        <v>20260318</v>
      </c>
      <c r="C1812">
        <v>10140</v>
      </c>
      <c r="D1812" t="s">
        <v>76</v>
      </c>
      <c r="E1812" t="s">
        <v>75</v>
      </c>
      <c r="F1812" t="s">
        <v>17</v>
      </c>
      <c r="G1812">
        <v>29100</v>
      </c>
      <c r="H1812">
        <v>-50</v>
      </c>
      <c r="I1812">
        <v>-0.17</v>
      </c>
      <c r="J1812">
        <v>29350</v>
      </c>
      <c r="K1812">
        <v>29600</v>
      </c>
      <c r="L1812">
        <v>28700</v>
      </c>
      <c r="M1812">
        <v>4223905</v>
      </c>
      <c r="N1812">
        <v>123119557925</v>
      </c>
      <c r="O1812">
        <v>880000000</v>
      </c>
      <c r="P1812">
        <v>25608000000000</v>
      </c>
    </row>
    <row r="1813" spans="1:16">
      <c r="A1813" t="s">
        <v>75</v>
      </c>
      <c r="B1813">
        <v>20260317</v>
      </c>
      <c r="C1813">
        <v>10140</v>
      </c>
      <c r="D1813" t="s">
        <v>76</v>
      </c>
      <c r="E1813" t="s">
        <v>75</v>
      </c>
      <c r="F1813" t="s">
        <v>17</v>
      </c>
      <c r="G1813">
        <v>29150</v>
      </c>
      <c r="H1813">
        <v>400</v>
      </c>
      <c r="I1813">
        <v>1.39</v>
      </c>
      <c r="J1813">
        <v>29300</v>
      </c>
      <c r="K1813">
        <v>30100</v>
      </c>
      <c r="L1813">
        <v>28600</v>
      </c>
      <c r="M1813">
        <v>5136148</v>
      </c>
      <c r="N1813">
        <v>150811340775</v>
      </c>
      <c r="O1813">
        <v>880000000</v>
      </c>
      <c r="P1813">
        <v>25652000000000</v>
      </c>
    </row>
    <row r="1814" spans="1:16">
      <c r="A1814" t="s">
        <v>75</v>
      </c>
      <c r="B1814">
        <v>20260316</v>
      </c>
      <c r="C1814">
        <v>10140</v>
      </c>
      <c r="D1814" t="s">
        <v>76</v>
      </c>
      <c r="E1814" t="s">
        <v>75</v>
      </c>
      <c r="F1814" t="s">
        <v>17</v>
      </c>
      <c r="G1814">
        <v>28750</v>
      </c>
      <c r="H1814">
        <v>-1950</v>
      </c>
      <c r="I1814">
        <v>-6.35</v>
      </c>
      <c r="J1814">
        <v>30500</v>
      </c>
      <c r="K1814">
        <v>30500</v>
      </c>
      <c r="L1814">
        <v>28550</v>
      </c>
      <c r="M1814">
        <v>7119239</v>
      </c>
      <c r="N1814">
        <v>207743900725</v>
      </c>
      <c r="O1814">
        <v>880000000</v>
      </c>
      <c r="P1814">
        <v>25300000000000</v>
      </c>
    </row>
    <row r="1815" spans="1:16">
      <c r="A1815" t="s">
        <v>75</v>
      </c>
      <c r="B1815">
        <v>20260313</v>
      </c>
      <c r="C1815">
        <v>10140</v>
      </c>
      <c r="D1815" t="s">
        <v>76</v>
      </c>
      <c r="E1815" t="s">
        <v>75</v>
      </c>
      <c r="F1815" t="s">
        <v>17</v>
      </c>
      <c r="G1815">
        <v>30700</v>
      </c>
      <c r="H1815">
        <v>-150</v>
      </c>
      <c r="I1815">
        <v>-0.49</v>
      </c>
      <c r="J1815">
        <v>31200</v>
      </c>
      <c r="K1815">
        <v>31450</v>
      </c>
      <c r="L1815">
        <v>29950</v>
      </c>
      <c r="M1815">
        <v>10586604</v>
      </c>
      <c r="N1815">
        <v>325353341975</v>
      </c>
      <c r="O1815">
        <v>880000000</v>
      </c>
      <c r="P1815">
        <v>27016000000000</v>
      </c>
    </row>
    <row r="1816" spans="1:16">
      <c r="A1816" t="s">
        <v>75</v>
      </c>
      <c r="B1816">
        <v>20260312</v>
      </c>
      <c r="C1816">
        <v>10140</v>
      </c>
      <c r="D1816" t="s">
        <v>76</v>
      </c>
      <c r="E1816" t="s">
        <v>75</v>
      </c>
      <c r="F1816" t="s">
        <v>17</v>
      </c>
      <c r="G1816">
        <v>30850</v>
      </c>
      <c r="H1816">
        <v>2050</v>
      </c>
      <c r="I1816">
        <v>7.12</v>
      </c>
      <c r="J1816">
        <v>28900</v>
      </c>
      <c r="K1816">
        <v>30950</v>
      </c>
      <c r="L1816">
        <v>28700</v>
      </c>
      <c r="M1816">
        <v>16051728</v>
      </c>
      <c r="N1816">
        <v>488546727800</v>
      </c>
      <c r="O1816">
        <v>880000000</v>
      </c>
      <c r="P1816">
        <v>27148000000000</v>
      </c>
    </row>
    <row r="1817" spans="1:16">
      <c r="A1817" t="s">
        <v>75</v>
      </c>
      <c r="B1817">
        <v>20260311</v>
      </c>
      <c r="C1817">
        <v>10140</v>
      </c>
      <c r="D1817" t="s">
        <v>76</v>
      </c>
      <c r="E1817" t="s">
        <v>75</v>
      </c>
      <c r="F1817" t="s">
        <v>17</v>
      </c>
      <c r="G1817">
        <v>28800</v>
      </c>
      <c r="H1817">
        <v>950</v>
      </c>
      <c r="I1817">
        <v>3.41</v>
      </c>
      <c r="J1817">
        <v>28400</v>
      </c>
      <c r="K1817">
        <v>29750</v>
      </c>
      <c r="L1817">
        <v>28300</v>
      </c>
      <c r="M1817">
        <v>8783284</v>
      </c>
      <c r="N1817">
        <v>256386620400</v>
      </c>
      <c r="O1817">
        <v>880000000</v>
      </c>
      <c r="P1817">
        <v>25344000000000</v>
      </c>
    </row>
    <row r="1818" spans="1:16">
      <c r="A1818" t="s">
        <v>75</v>
      </c>
      <c r="B1818">
        <v>20260310</v>
      </c>
      <c r="C1818">
        <v>10140</v>
      </c>
      <c r="D1818" t="s">
        <v>76</v>
      </c>
      <c r="E1818" t="s">
        <v>75</v>
      </c>
      <c r="F1818" t="s">
        <v>17</v>
      </c>
      <c r="G1818">
        <v>27850</v>
      </c>
      <c r="H1818">
        <v>-700</v>
      </c>
      <c r="I1818">
        <v>-2.4500000000000002</v>
      </c>
      <c r="J1818">
        <v>29000</v>
      </c>
      <c r="K1818">
        <v>29100</v>
      </c>
      <c r="L1818">
        <v>27050</v>
      </c>
      <c r="M1818">
        <v>6007838</v>
      </c>
      <c r="N1818">
        <v>167453921850</v>
      </c>
      <c r="O1818">
        <v>880000000</v>
      </c>
      <c r="P1818">
        <v>24508000000000</v>
      </c>
    </row>
    <row r="1819" spans="1:16">
      <c r="A1819" t="s">
        <v>75</v>
      </c>
      <c r="B1819">
        <v>20260309</v>
      </c>
      <c r="C1819">
        <v>10140</v>
      </c>
      <c r="D1819" t="s">
        <v>76</v>
      </c>
      <c r="E1819" t="s">
        <v>75</v>
      </c>
      <c r="F1819" t="s">
        <v>17</v>
      </c>
      <c r="G1819">
        <v>28550</v>
      </c>
      <c r="H1819">
        <v>950</v>
      </c>
      <c r="I1819">
        <v>3.44</v>
      </c>
      <c r="J1819">
        <v>26600</v>
      </c>
      <c r="K1819">
        <v>29250</v>
      </c>
      <c r="L1819">
        <v>26300</v>
      </c>
      <c r="M1819">
        <v>9475420</v>
      </c>
      <c r="N1819">
        <v>267048988825</v>
      </c>
      <c r="O1819">
        <v>880000000</v>
      </c>
      <c r="P1819">
        <v>25124000000000</v>
      </c>
    </row>
    <row r="1820" spans="1:16">
      <c r="A1820" t="s">
        <v>75</v>
      </c>
      <c r="B1820">
        <v>20260306</v>
      </c>
      <c r="C1820">
        <v>10140</v>
      </c>
      <c r="D1820" t="s">
        <v>76</v>
      </c>
      <c r="E1820" t="s">
        <v>75</v>
      </c>
      <c r="F1820" t="s">
        <v>17</v>
      </c>
      <c r="G1820">
        <v>27600</v>
      </c>
      <c r="H1820">
        <v>400</v>
      </c>
      <c r="I1820">
        <v>1.47</v>
      </c>
      <c r="J1820">
        <v>26450</v>
      </c>
      <c r="K1820">
        <v>27800</v>
      </c>
      <c r="L1820">
        <v>26350</v>
      </c>
      <c r="M1820">
        <v>4474681</v>
      </c>
      <c r="N1820">
        <v>121865449025</v>
      </c>
      <c r="O1820">
        <v>880000000</v>
      </c>
      <c r="P1820">
        <v>24288000000000</v>
      </c>
    </row>
    <row r="1821" spans="1:16">
      <c r="A1821" t="s">
        <v>75</v>
      </c>
      <c r="B1821">
        <v>20260305</v>
      </c>
      <c r="C1821">
        <v>10140</v>
      </c>
      <c r="D1821" t="s">
        <v>76</v>
      </c>
      <c r="E1821" t="s">
        <v>75</v>
      </c>
      <c r="F1821" t="s">
        <v>17</v>
      </c>
      <c r="G1821">
        <v>27200</v>
      </c>
      <c r="H1821">
        <v>3700</v>
      </c>
      <c r="I1821">
        <v>15.74</v>
      </c>
      <c r="J1821">
        <v>27000</v>
      </c>
      <c r="K1821">
        <v>27600</v>
      </c>
      <c r="L1821">
        <v>25850</v>
      </c>
      <c r="M1821">
        <v>7460215</v>
      </c>
      <c r="N1821">
        <v>200855600500</v>
      </c>
      <c r="O1821">
        <v>880000000</v>
      </c>
      <c r="P1821">
        <v>23936000000000</v>
      </c>
    </row>
    <row r="1822" spans="1:16">
      <c r="A1822" t="s">
        <v>75</v>
      </c>
      <c r="B1822">
        <v>20260304</v>
      </c>
      <c r="C1822">
        <v>10140</v>
      </c>
      <c r="D1822" t="s">
        <v>76</v>
      </c>
      <c r="E1822" t="s">
        <v>75</v>
      </c>
      <c r="F1822" t="s">
        <v>17</v>
      </c>
      <c r="G1822">
        <v>23500</v>
      </c>
      <c r="H1822">
        <v>-4500</v>
      </c>
      <c r="I1822">
        <v>-16.07</v>
      </c>
      <c r="J1822">
        <v>26450</v>
      </c>
      <c r="K1822">
        <v>27000</v>
      </c>
      <c r="L1822">
        <v>23000</v>
      </c>
      <c r="M1822">
        <v>9682363</v>
      </c>
      <c r="N1822">
        <v>240685356400</v>
      </c>
      <c r="O1822">
        <v>880000000</v>
      </c>
      <c r="P1822">
        <v>20680000000000</v>
      </c>
    </row>
    <row r="1823" spans="1:16">
      <c r="A1823" t="s">
        <v>75</v>
      </c>
      <c r="B1823">
        <v>20260303</v>
      </c>
      <c r="C1823">
        <v>10140</v>
      </c>
      <c r="D1823" t="s">
        <v>76</v>
      </c>
      <c r="E1823" t="s">
        <v>75</v>
      </c>
      <c r="F1823" t="s">
        <v>17</v>
      </c>
      <c r="G1823">
        <v>28000</v>
      </c>
      <c r="H1823">
        <v>-950</v>
      </c>
      <c r="I1823">
        <v>-3.28</v>
      </c>
      <c r="J1823">
        <v>29000</v>
      </c>
      <c r="K1823">
        <v>29850</v>
      </c>
      <c r="L1823">
        <v>27800</v>
      </c>
      <c r="M1823">
        <v>8079601</v>
      </c>
      <c r="N1823">
        <v>233327656550</v>
      </c>
      <c r="O1823">
        <v>880000000</v>
      </c>
      <c r="P1823">
        <v>24640000000000</v>
      </c>
    </row>
    <row r="1824" spans="1:16">
      <c r="A1824" t="s">
        <v>75</v>
      </c>
      <c r="B1824">
        <v>20260227</v>
      </c>
      <c r="C1824">
        <v>10140</v>
      </c>
      <c r="D1824" t="s">
        <v>76</v>
      </c>
      <c r="E1824" t="s">
        <v>75</v>
      </c>
      <c r="F1824" t="s">
        <v>17</v>
      </c>
      <c r="G1824">
        <v>28950</v>
      </c>
      <c r="H1824">
        <v>250</v>
      </c>
      <c r="I1824">
        <v>0.87</v>
      </c>
      <c r="J1824">
        <v>28950</v>
      </c>
      <c r="K1824">
        <v>29500</v>
      </c>
      <c r="L1824">
        <v>28850</v>
      </c>
      <c r="M1824">
        <v>5960960</v>
      </c>
      <c r="N1824">
        <v>173530005200</v>
      </c>
      <c r="O1824">
        <v>880000000</v>
      </c>
      <c r="P1824">
        <v>25476000000000</v>
      </c>
    </row>
    <row r="1825" spans="1:16">
      <c r="A1825" t="s">
        <v>75</v>
      </c>
      <c r="B1825">
        <v>20260226</v>
      </c>
      <c r="C1825">
        <v>10140</v>
      </c>
      <c r="D1825" t="s">
        <v>76</v>
      </c>
      <c r="E1825" t="s">
        <v>75</v>
      </c>
      <c r="F1825" t="s">
        <v>17</v>
      </c>
      <c r="G1825">
        <v>28700</v>
      </c>
      <c r="H1825">
        <v>-250</v>
      </c>
      <c r="I1825">
        <v>-0.86</v>
      </c>
      <c r="J1825">
        <v>29000</v>
      </c>
      <c r="K1825">
        <v>29000</v>
      </c>
      <c r="L1825">
        <v>28300</v>
      </c>
      <c r="M1825">
        <v>3985120</v>
      </c>
      <c r="N1825">
        <v>113981518275</v>
      </c>
      <c r="O1825">
        <v>880000000</v>
      </c>
      <c r="P1825">
        <v>25256000000000</v>
      </c>
    </row>
    <row r="1826" spans="1:16">
      <c r="A1826" t="s">
        <v>75</v>
      </c>
      <c r="B1826">
        <v>20260225</v>
      </c>
      <c r="C1826">
        <v>10140</v>
      </c>
      <c r="D1826" t="s">
        <v>76</v>
      </c>
      <c r="E1826" t="s">
        <v>75</v>
      </c>
      <c r="F1826" t="s">
        <v>17</v>
      </c>
      <c r="G1826">
        <v>28950</v>
      </c>
      <c r="H1826">
        <v>-50</v>
      </c>
      <c r="I1826">
        <v>-0.17</v>
      </c>
      <c r="J1826">
        <v>29300</v>
      </c>
      <c r="K1826">
        <v>29300</v>
      </c>
      <c r="L1826">
        <v>28800</v>
      </c>
      <c r="M1826">
        <v>3242793</v>
      </c>
      <c r="N1826">
        <v>94130520225</v>
      </c>
      <c r="O1826">
        <v>880000000</v>
      </c>
      <c r="P1826">
        <v>25476000000000</v>
      </c>
    </row>
    <row r="1827" spans="1:16">
      <c r="A1827" t="s">
        <v>75</v>
      </c>
      <c r="B1827">
        <v>20260224</v>
      </c>
      <c r="C1827">
        <v>10140</v>
      </c>
      <c r="D1827" t="s">
        <v>76</v>
      </c>
      <c r="E1827" t="s">
        <v>75</v>
      </c>
      <c r="F1827" t="s">
        <v>17</v>
      </c>
      <c r="G1827">
        <v>29000</v>
      </c>
      <c r="H1827">
        <v>-250</v>
      </c>
      <c r="I1827">
        <v>-0.85</v>
      </c>
      <c r="J1827">
        <v>28950</v>
      </c>
      <c r="K1827">
        <v>29000</v>
      </c>
      <c r="L1827">
        <v>28350</v>
      </c>
      <c r="M1827">
        <v>3285653</v>
      </c>
      <c r="N1827">
        <v>94565953950</v>
      </c>
      <c r="O1827">
        <v>880000000</v>
      </c>
      <c r="P1827">
        <v>25520000000000</v>
      </c>
    </row>
    <row r="1828" spans="1:16">
      <c r="A1828" t="s">
        <v>75</v>
      </c>
      <c r="B1828">
        <v>20260223</v>
      </c>
      <c r="C1828">
        <v>10140</v>
      </c>
      <c r="D1828" t="s">
        <v>76</v>
      </c>
      <c r="E1828" t="s">
        <v>75</v>
      </c>
      <c r="F1828" t="s">
        <v>17</v>
      </c>
      <c r="G1828">
        <v>29250</v>
      </c>
      <c r="H1828">
        <v>-250</v>
      </c>
      <c r="I1828">
        <v>-0.85</v>
      </c>
      <c r="J1828">
        <v>29800</v>
      </c>
      <c r="K1828">
        <v>29850</v>
      </c>
      <c r="L1828">
        <v>29000</v>
      </c>
      <c r="M1828">
        <v>3901161</v>
      </c>
      <c r="N1828">
        <v>114230929550</v>
      </c>
      <c r="O1828">
        <v>880000000</v>
      </c>
      <c r="P1828">
        <v>25740000000000</v>
      </c>
    </row>
    <row r="1829" spans="1:16">
      <c r="A1829" t="s">
        <v>75</v>
      </c>
      <c r="B1829">
        <v>20260220</v>
      </c>
      <c r="C1829">
        <v>10140</v>
      </c>
      <c r="D1829" t="s">
        <v>76</v>
      </c>
      <c r="E1829" t="s">
        <v>75</v>
      </c>
      <c r="F1829" t="s">
        <v>17</v>
      </c>
      <c r="G1829">
        <v>29500</v>
      </c>
      <c r="H1829">
        <v>600</v>
      </c>
      <c r="I1829">
        <v>2.08</v>
      </c>
      <c r="J1829">
        <v>29250</v>
      </c>
      <c r="K1829">
        <v>29550</v>
      </c>
      <c r="L1829">
        <v>28650</v>
      </c>
      <c r="M1829">
        <v>4746560</v>
      </c>
      <c r="N1829">
        <v>138548342700</v>
      </c>
      <c r="O1829">
        <v>880000000</v>
      </c>
      <c r="P1829">
        <v>25960000000000</v>
      </c>
    </row>
    <row r="1830" spans="1:16">
      <c r="A1830" t="s">
        <v>75</v>
      </c>
      <c r="B1830">
        <v>20260219</v>
      </c>
      <c r="C1830">
        <v>10140</v>
      </c>
      <c r="D1830" t="s">
        <v>76</v>
      </c>
      <c r="E1830" t="s">
        <v>75</v>
      </c>
      <c r="F1830" t="s">
        <v>17</v>
      </c>
      <c r="G1830">
        <v>28900</v>
      </c>
      <c r="H1830">
        <v>1200</v>
      </c>
      <c r="I1830">
        <v>4.33</v>
      </c>
      <c r="J1830">
        <v>28350</v>
      </c>
      <c r="K1830">
        <v>29050</v>
      </c>
      <c r="L1830">
        <v>28300</v>
      </c>
      <c r="M1830">
        <v>4320725</v>
      </c>
      <c r="N1830">
        <v>124642674925</v>
      </c>
      <c r="O1830">
        <v>880000000</v>
      </c>
      <c r="P1830">
        <v>25432000000000</v>
      </c>
    </row>
    <row r="1831" spans="1:16">
      <c r="A1831" t="s">
        <v>75</v>
      </c>
      <c r="B1831">
        <v>20260213</v>
      </c>
      <c r="C1831">
        <v>10140</v>
      </c>
      <c r="D1831" t="s">
        <v>76</v>
      </c>
      <c r="E1831" t="s">
        <v>75</v>
      </c>
      <c r="F1831" t="s">
        <v>17</v>
      </c>
      <c r="G1831">
        <v>27700</v>
      </c>
      <c r="H1831">
        <v>-450</v>
      </c>
      <c r="I1831">
        <v>-1.6</v>
      </c>
      <c r="J1831">
        <v>27750</v>
      </c>
      <c r="K1831">
        <v>28000</v>
      </c>
      <c r="L1831">
        <v>27450</v>
      </c>
      <c r="M1831">
        <v>4016587</v>
      </c>
      <c r="N1831">
        <v>111443380700</v>
      </c>
      <c r="O1831">
        <v>880000000</v>
      </c>
      <c r="P1831">
        <v>24376000000000</v>
      </c>
    </row>
    <row r="1832" spans="1:16">
      <c r="A1832" t="s">
        <v>75</v>
      </c>
      <c r="B1832">
        <v>20260212</v>
      </c>
      <c r="C1832">
        <v>10140</v>
      </c>
      <c r="D1832" t="s">
        <v>76</v>
      </c>
      <c r="E1832" t="s">
        <v>75</v>
      </c>
      <c r="F1832" t="s">
        <v>17</v>
      </c>
      <c r="G1832">
        <v>28150</v>
      </c>
      <c r="H1832">
        <v>150</v>
      </c>
      <c r="I1832">
        <v>0.54</v>
      </c>
      <c r="J1832">
        <v>28150</v>
      </c>
      <c r="K1832">
        <v>28200</v>
      </c>
      <c r="L1832">
        <v>27800</v>
      </c>
      <c r="M1832">
        <v>3276405</v>
      </c>
      <c r="N1832">
        <v>91933636675</v>
      </c>
      <c r="O1832">
        <v>880000000</v>
      </c>
      <c r="P1832">
        <v>24772000000000</v>
      </c>
    </row>
    <row r="1833" spans="1:16">
      <c r="A1833" t="s">
        <v>75</v>
      </c>
      <c r="B1833">
        <v>20260211</v>
      </c>
      <c r="C1833">
        <v>10140</v>
      </c>
      <c r="D1833" t="s">
        <v>76</v>
      </c>
      <c r="E1833" t="s">
        <v>75</v>
      </c>
      <c r="F1833" t="s">
        <v>17</v>
      </c>
      <c r="G1833">
        <v>28000</v>
      </c>
      <c r="H1833">
        <v>150</v>
      </c>
      <c r="I1833">
        <v>0.54</v>
      </c>
      <c r="J1833">
        <v>28050</v>
      </c>
      <c r="K1833">
        <v>28300</v>
      </c>
      <c r="L1833">
        <v>27500</v>
      </c>
      <c r="M1833">
        <v>3056046</v>
      </c>
      <c r="N1833">
        <v>85623702375</v>
      </c>
      <c r="O1833">
        <v>880000000</v>
      </c>
      <c r="P1833">
        <v>24640000000000</v>
      </c>
    </row>
    <row r="1834" spans="1:16">
      <c r="A1834" t="s">
        <v>75</v>
      </c>
      <c r="B1834">
        <v>20260210</v>
      </c>
      <c r="C1834">
        <v>10140</v>
      </c>
      <c r="D1834" t="s">
        <v>76</v>
      </c>
      <c r="E1834" t="s">
        <v>75</v>
      </c>
      <c r="F1834" t="s">
        <v>17</v>
      </c>
      <c r="G1834">
        <v>27850</v>
      </c>
      <c r="H1834">
        <v>-100</v>
      </c>
      <c r="I1834">
        <v>-0.36</v>
      </c>
      <c r="J1834">
        <v>28450</v>
      </c>
      <c r="K1834">
        <v>28750</v>
      </c>
      <c r="L1834">
        <v>27800</v>
      </c>
      <c r="M1834">
        <v>3195433</v>
      </c>
      <c r="N1834">
        <v>89706687725</v>
      </c>
      <c r="O1834">
        <v>880000000</v>
      </c>
      <c r="P1834">
        <v>24508000000000</v>
      </c>
    </row>
    <row r="1835" spans="1:16">
      <c r="A1835" t="s">
        <v>75</v>
      </c>
      <c r="B1835">
        <v>20260209</v>
      </c>
      <c r="C1835">
        <v>10140</v>
      </c>
      <c r="D1835" t="s">
        <v>76</v>
      </c>
      <c r="E1835" t="s">
        <v>75</v>
      </c>
      <c r="F1835" t="s">
        <v>17</v>
      </c>
      <c r="G1835">
        <v>27950</v>
      </c>
      <c r="H1835">
        <v>450</v>
      </c>
      <c r="I1835">
        <v>1.64</v>
      </c>
      <c r="J1835">
        <v>28450</v>
      </c>
      <c r="K1835">
        <v>28450</v>
      </c>
      <c r="L1835">
        <v>27550</v>
      </c>
      <c r="M1835">
        <v>3048535</v>
      </c>
      <c r="N1835">
        <v>85367215375</v>
      </c>
      <c r="O1835">
        <v>880000000</v>
      </c>
      <c r="P1835">
        <v>24596000000000</v>
      </c>
    </row>
    <row r="1836" spans="1:16">
      <c r="A1836" t="s">
        <v>75</v>
      </c>
      <c r="B1836">
        <v>20260206</v>
      </c>
      <c r="C1836">
        <v>10140</v>
      </c>
      <c r="D1836" t="s">
        <v>76</v>
      </c>
      <c r="E1836" t="s">
        <v>75</v>
      </c>
      <c r="F1836" t="s">
        <v>17</v>
      </c>
      <c r="G1836">
        <v>27500</v>
      </c>
      <c r="H1836">
        <v>-600</v>
      </c>
      <c r="I1836">
        <v>-2.14</v>
      </c>
      <c r="J1836">
        <v>27200</v>
      </c>
      <c r="K1836">
        <v>27800</v>
      </c>
      <c r="L1836">
        <v>26500</v>
      </c>
      <c r="M1836">
        <v>4132311</v>
      </c>
      <c r="N1836">
        <v>112379745375</v>
      </c>
      <c r="O1836">
        <v>880000000</v>
      </c>
      <c r="P1836">
        <v>24200000000000</v>
      </c>
    </row>
    <row r="1837" spans="1:16">
      <c r="A1837" t="s">
        <v>75</v>
      </c>
      <c r="B1837">
        <v>20260205</v>
      </c>
      <c r="C1837">
        <v>10140</v>
      </c>
      <c r="D1837" t="s">
        <v>76</v>
      </c>
      <c r="E1837" t="s">
        <v>75</v>
      </c>
      <c r="F1837" t="s">
        <v>17</v>
      </c>
      <c r="G1837">
        <v>28100</v>
      </c>
      <c r="H1837">
        <v>-1150</v>
      </c>
      <c r="I1837">
        <v>-3.93</v>
      </c>
      <c r="J1837">
        <v>28950</v>
      </c>
      <c r="K1837">
        <v>29500</v>
      </c>
      <c r="L1837">
        <v>28000</v>
      </c>
      <c r="M1837">
        <v>4561981</v>
      </c>
      <c r="N1837">
        <v>129872157225</v>
      </c>
      <c r="O1837">
        <v>880000000</v>
      </c>
      <c r="P1837">
        <v>24728000000000</v>
      </c>
    </row>
    <row r="1838" spans="1:16">
      <c r="A1838" t="s">
        <v>75</v>
      </c>
      <c r="B1838">
        <v>20260204</v>
      </c>
      <c r="C1838">
        <v>10140</v>
      </c>
      <c r="D1838" t="s">
        <v>76</v>
      </c>
      <c r="E1838" t="s">
        <v>75</v>
      </c>
      <c r="F1838" t="s">
        <v>17</v>
      </c>
      <c r="G1838">
        <v>29250</v>
      </c>
      <c r="H1838">
        <v>600</v>
      </c>
      <c r="I1838">
        <v>2.09</v>
      </c>
      <c r="J1838">
        <v>28950</v>
      </c>
      <c r="K1838">
        <v>29400</v>
      </c>
      <c r="L1838">
        <v>28650</v>
      </c>
      <c r="M1838">
        <v>3808979</v>
      </c>
      <c r="N1838">
        <v>110825297425</v>
      </c>
      <c r="O1838">
        <v>880000000</v>
      </c>
      <c r="P1838">
        <v>25740000000000</v>
      </c>
    </row>
    <row r="1839" spans="1:16">
      <c r="A1839" t="s">
        <v>75</v>
      </c>
      <c r="B1839">
        <v>20260203</v>
      </c>
      <c r="C1839">
        <v>10140</v>
      </c>
      <c r="D1839" t="s">
        <v>76</v>
      </c>
      <c r="E1839" t="s">
        <v>75</v>
      </c>
      <c r="F1839" t="s">
        <v>17</v>
      </c>
      <c r="G1839">
        <v>28650</v>
      </c>
      <c r="H1839">
        <v>1250</v>
      </c>
      <c r="I1839">
        <v>4.5599999999999996</v>
      </c>
      <c r="J1839">
        <v>28250</v>
      </c>
      <c r="K1839">
        <v>28650</v>
      </c>
      <c r="L1839">
        <v>27550</v>
      </c>
      <c r="M1839">
        <v>4349684</v>
      </c>
      <c r="N1839">
        <v>122737982226</v>
      </c>
      <c r="O1839">
        <v>880000000</v>
      </c>
      <c r="P1839">
        <v>25212000000000</v>
      </c>
    </row>
    <row r="1840" spans="1:16">
      <c r="A1840" t="s">
        <v>75</v>
      </c>
      <c r="B1840">
        <v>20260202</v>
      </c>
      <c r="C1840">
        <v>10140</v>
      </c>
      <c r="D1840" t="s">
        <v>76</v>
      </c>
      <c r="E1840" t="s">
        <v>75</v>
      </c>
      <c r="F1840" t="s">
        <v>17</v>
      </c>
      <c r="G1840">
        <v>27400</v>
      </c>
      <c r="H1840">
        <v>-2050</v>
      </c>
      <c r="I1840">
        <v>-6.96</v>
      </c>
      <c r="J1840">
        <v>29000</v>
      </c>
      <c r="K1840">
        <v>29050</v>
      </c>
      <c r="L1840">
        <v>27050</v>
      </c>
      <c r="M1840">
        <v>7867505</v>
      </c>
      <c r="N1840">
        <v>219948810825</v>
      </c>
      <c r="O1840">
        <v>880000000</v>
      </c>
      <c r="P1840">
        <v>24112000000000</v>
      </c>
    </row>
    <row r="1841" spans="1:16">
      <c r="A1841" t="s">
        <v>75</v>
      </c>
      <c r="B1841">
        <v>20260130</v>
      </c>
      <c r="C1841">
        <v>10140</v>
      </c>
      <c r="D1841" t="s">
        <v>76</v>
      </c>
      <c r="E1841" t="s">
        <v>75</v>
      </c>
      <c r="F1841" t="s">
        <v>17</v>
      </c>
      <c r="G1841">
        <v>29450</v>
      </c>
      <c r="H1841">
        <v>-350</v>
      </c>
      <c r="I1841">
        <v>-1.17</v>
      </c>
      <c r="J1841">
        <v>29950</v>
      </c>
      <c r="K1841">
        <v>30050</v>
      </c>
      <c r="L1841">
        <v>29300</v>
      </c>
      <c r="M1841">
        <v>4581402</v>
      </c>
      <c r="N1841">
        <v>135293615900</v>
      </c>
      <c r="O1841">
        <v>880000000</v>
      </c>
      <c r="P1841">
        <v>25916000000000</v>
      </c>
    </row>
    <row r="1842" spans="1:16">
      <c r="A1842" t="s">
        <v>75</v>
      </c>
      <c r="B1842">
        <v>20260129</v>
      </c>
      <c r="C1842">
        <v>10140</v>
      </c>
      <c r="D1842" t="s">
        <v>76</v>
      </c>
      <c r="E1842" t="s">
        <v>75</v>
      </c>
      <c r="F1842" t="s">
        <v>17</v>
      </c>
      <c r="G1842">
        <v>29800</v>
      </c>
      <c r="H1842">
        <v>-400</v>
      </c>
      <c r="I1842">
        <v>-1.32</v>
      </c>
      <c r="J1842">
        <v>30050</v>
      </c>
      <c r="K1842">
        <v>30050</v>
      </c>
      <c r="L1842">
        <v>29100</v>
      </c>
      <c r="M1842">
        <v>5954094</v>
      </c>
      <c r="N1842">
        <v>175910406575</v>
      </c>
      <c r="O1842">
        <v>880000000</v>
      </c>
      <c r="P1842">
        <v>26224000000000</v>
      </c>
    </row>
    <row r="1843" spans="1:16">
      <c r="A1843" t="s">
        <v>75</v>
      </c>
      <c r="B1843">
        <v>20260128</v>
      </c>
      <c r="C1843">
        <v>10140</v>
      </c>
      <c r="D1843" t="s">
        <v>76</v>
      </c>
      <c r="E1843" t="s">
        <v>75</v>
      </c>
      <c r="F1843" t="s">
        <v>17</v>
      </c>
      <c r="G1843">
        <v>30200</v>
      </c>
      <c r="H1843">
        <v>-100</v>
      </c>
      <c r="I1843">
        <v>-0.33</v>
      </c>
      <c r="J1843">
        <v>30250</v>
      </c>
      <c r="K1843">
        <v>30450</v>
      </c>
      <c r="L1843">
        <v>29700</v>
      </c>
      <c r="M1843">
        <v>5186699</v>
      </c>
      <c r="N1843">
        <v>155814865625</v>
      </c>
      <c r="O1843">
        <v>880000000</v>
      </c>
      <c r="P1843">
        <v>26576000000000</v>
      </c>
    </row>
    <row r="1844" spans="1:16">
      <c r="A1844" t="s">
        <v>75</v>
      </c>
      <c r="B1844">
        <v>20260127</v>
      </c>
      <c r="C1844">
        <v>10140</v>
      </c>
      <c r="D1844" t="s">
        <v>76</v>
      </c>
      <c r="E1844" t="s">
        <v>75</v>
      </c>
      <c r="F1844" t="s">
        <v>17</v>
      </c>
      <c r="G1844">
        <v>30300</v>
      </c>
      <c r="H1844">
        <v>400</v>
      </c>
      <c r="I1844">
        <v>1.34</v>
      </c>
      <c r="J1844">
        <v>30350</v>
      </c>
      <c r="K1844">
        <v>30650</v>
      </c>
      <c r="L1844">
        <v>29550</v>
      </c>
      <c r="M1844">
        <v>5506371</v>
      </c>
      <c r="N1844">
        <v>166142071775</v>
      </c>
      <c r="O1844">
        <v>880000000</v>
      </c>
      <c r="P1844">
        <v>26664000000000</v>
      </c>
    </row>
    <row r="1845" spans="1:16">
      <c r="A1845" t="s">
        <v>75</v>
      </c>
      <c r="B1845">
        <v>20260126</v>
      </c>
      <c r="C1845">
        <v>10140</v>
      </c>
      <c r="D1845" t="s">
        <v>76</v>
      </c>
      <c r="E1845" t="s">
        <v>75</v>
      </c>
      <c r="F1845" t="s">
        <v>17</v>
      </c>
      <c r="G1845">
        <v>29900</v>
      </c>
      <c r="H1845">
        <v>-500</v>
      </c>
      <c r="I1845">
        <v>-1.64</v>
      </c>
      <c r="J1845">
        <v>30650</v>
      </c>
      <c r="K1845">
        <v>30750</v>
      </c>
      <c r="L1845">
        <v>29850</v>
      </c>
      <c r="M1845">
        <v>4473843</v>
      </c>
      <c r="N1845">
        <v>134748794475</v>
      </c>
      <c r="O1845">
        <v>880000000</v>
      </c>
      <c r="P1845">
        <v>26312000000000</v>
      </c>
    </row>
    <row r="1846" spans="1:16">
      <c r="A1846" t="s">
        <v>75</v>
      </c>
      <c r="B1846">
        <v>20260123</v>
      </c>
      <c r="C1846">
        <v>10140</v>
      </c>
      <c r="D1846" t="s">
        <v>76</v>
      </c>
      <c r="E1846" t="s">
        <v>75</v>
      </c>
      <c r="F1846" t="s">
        <v>17</v>
      </c>
      <c r="G1846">
        <v>30400</v>
      </c>
      <c r="H1846">
        <v>300</v>
      </c>
      <c r="I1846">
        <v>1</v>
      </c>
      <c r="J1846">
        <v>30250</v>
      </c>
      <c r="K1846">
        <v>31000</v>
      </c>
      <c r="L1846">
        <v>30100</v>
      </c>
      <c r="M1846">
        <v>5169454</v>
      </c>
      <c r="N1846">
        <v>157815500139</v>
      </c>
      <c r="O1846">
        <v>880000000</v>
      </c>
      <c r="P1846">
        <v>26752000000000</v>
      </c>
    </row>
    <row r="1847" spans="1:16">
      <c r="A1847" t="s">
        <v>75</v>
      </c>
      <c r="B1847">
        <v>20260122</v>
      </c>
      <c r="C1847">
        <v>10140</v>
      </c>
      <c r="D1847" t="s">
        <v>76</v>
      </c>
      <c r="E1847" t="s">
        <v>75</v>
      </c>
      <c r="F1847" t="s">
        <v>17</v>
      </c>
      <c r="G1847">
        <v>30100</v>
      </c>
      <c r="H1847">
        <v>-450</v>
      </c>
      <c r="I1847">
        <v>-1.47</v>
      </c>
      <c r="J1847">
        <v>31200</v>
      </c>
      <c r="K1847">
        <v>31250</v>
      </c>
      <c r="L1847">
        <v>29850</v>
      </c>
      <c r="M1847">
        <v>6333894</v>
      </c>
      <c r="N1847">
        <v>191838253625</v>
      </c>
      <c r="O1847">
        <v>880000000</v>
      </c>
      <c r="P1847">
        <v>26488000000000</v>
      </c>
    </row>
    <row r="1848" spans="1:16">
      <c r="A1848" t="s">
        <v>75</v>
      </c>
      <c r="B1848">
        <v>20260121</v>
      </c>
      <c r="C1848">
        <v>10140</v>
      </c>
      <c r="D1848" t="s">
        <v>76</v>
      </c>
      <c r="E1848" t="s">
        <v>75</v>
      </c>
      <c r="F1848" t="s">
        <v>17</v>
      </c>
      <c r="G1848">
        <v>30550</v>
      </c>
      <c r="H1848">
        <v>-300</v>
      </c>
      <c r="I1848">
        <v>-0.97</v>
      </c>
      <c r="J1848">
        <v>29750</v>
      </c>
      <c r="K1848">
        <v>31050</v>
      </c>
      <c r="L1848">
        <v>29750</v>
      </c>
      <c r="M1848">
        <v>6837329</v>
      </c>
      <c r="N1848">
        <v>208321633375</v>
      </c>
      <c r="O1848">
        <v>880000000</v>
      </c>
      <c r="P1848">
        <v>26884000000000</v>
      </c>
    </row>
    <row r="1849" spans="1:16">
      <c r="A1849" t="s">
        <v>75</v>
      </c>
      <c r="B1849">
        <v>20260120</v>
      </c>
      <c r="C1849">
        <v>10140</v>
      </c>
      <c r="D1849" t="s">
        <v>76</v>
      </c>
      <c r="E1849" t="s">
        <v>75</v>
      </c>
      <c r="F1849" t="s">
        <v>17</v>
      </c>
      <c r="G1849">
        <v>30850</v>
      </c>
      <c r="H1849">
        <v>-1000</v>
      </c>
      <c r="I1849">
        <v>-3.14</v>
      </c>
      <c r="J1849">
        <v>31400</v>
      </c>
      <c r="K1849">
        <v>31750</v>
      </c>
      <c r="L1849">
        <v>30450</v>
      </c>
      <c r="M1849">
        <v>7879206</v>
      </c>
      <c r="N1849">
        <v>243867953500</v>
      </c>
      <c r="O1849">
        <v>880000000</v>
      </c>
      <c r="P1849">
        <v>27148000000000</v>
      </c>
    </row>
    <row r="1850" spans="1:16">
      <c r="A1850" t="s">
        <v>75</v>
      </c>
      <c r="B1850">
        <v>20260119</v>
      </c>
      <c r="C1850">
        <v>10140</v>
      </c>
      <c r="D1850" t="s">
        <v>76</v>
      </c>
      <c r="E1850" t="s">
        <v>75</v>
      </c>
      <c r="F1850" t="s">
        <v>17</v>
      </c>
      <c r="G1850">
        <v>31850</v>
      </c>
      <c r="H1850">
        <v>2100</v>
      </c>
      <c r="I1850">
        <v>7.06</v>
      </c>
      <c r="J1850">
        <v>30200</v>
      </c>
      <c r="K1850">
        <v>32000</v>
      </c>
      <c r="L1850">
        <v>30000</v>
      </c>
      <c r="M1850">
        <v>13986259</v>
      </c>
      <c r="N1850">
        <v>438676060200</v>
      </c>
      <c r="O1850">
        <v>880000000</v>
      </c>
      <c r="P1850">
        <v>28028000000000</v>
      </c>
    </row>
    <row r="1851" spans="1:16">
      <c r="A1851" t="s">
        <v>75</v>
      </c>
      <c r="B1851">
        <v>20260116</v>
      </c>
      <c r="C1851">
        <v>10140</v>
      </c>
      <c r="D1851" t="s">
        <v>76</v>
      </c>
      <c r="E1851" t="s">
        <v>75</v>
      </c>
      <c r="F1851" t="s">
        <v>17</v>
      </c>
      <c r="G1851">
        <v>29750</v>
      </c>
      <c r="H1851">
        <v>-400</v>
      </c>
      <c r="I1851">
        <v>-1.33</v>
      </c>
      <c r="J1851">
        <v>30350</v>
      </c>
      <c r="K1851">
        <v>30400</v>
      </c>
      <c r="L1851">
        <v>29350</v>
      </c>
      <c r="M1851">
        <v>7707931</v>
      </c>
      <c r="N1851">
        <v>228730774125</v>
      </c>
      <c r="O1851">
        <v>880000000</v>
      </c>
      <c r="P1851">
        <v>26180000000000</v>
      </c>
    </row>
    <row r="1852" spans="1:16">
      <c r="A1852" t="s">
        <v>75</v>
      </c>
      <c r="B1852">
        <v>20260115</v>
      </c>
      <c r="C1852">
        <v>10140</v>
      </c>
      <c r="D1852" t="s">
        <v>76</v>
      </c>
      <c r="E1852" t="s">
        <v>75</v>
      </c>
      <c r="F1852" t="s">
        <v>17</v>
      </c>
      <c r="G1852">
        <v>30150</v>
      </c>
      <c r="H1852">
        <v>1800</v>
      </c>
      <c r="I1852">
        <v>6.35</v>
      </c>
      <c r="J1852">
        <v>28700</v>
      </c>
      <c r="K1852">
        <v>30350</v>
      </c>
      <c r="L1852">
        <v>28200</v>
      </c>
      <c r="M1852">
        <v>14217617</v>
      </c>
      <c r="N1852">
        <v>423947939775</v>
      </c>
      <c r="O1852">
        <v>880000000</v>
      </c>
      <c r="P1852">
        <v>26532000000000</v>
      </c>
    </row>
    <row r="1853" spans="1:16">
      <c r="A1853" t="s">
        <v>75</v>
      </c>
      <c r="B1853">
        <v>20260114</v>
      </c>
      <c r="C1853">
        <v>10140</v>
      </c>
      <c r="D1853" t="s">
        <v>76</v>
      </c>
      <c r="E1853" t="s">
        <v>75</v>
      </c>
      <c r="F1853" t="s">
        <v>17</v>
      </c>
      <c r="G1853">
        <v>28350</v>
      </c>
      <c r="H1853">
        <v>-600</v>
      </c>
      <c r="I1853">
        <v>-2.0699999999999998</v>
      </c>
      <c r="J1853">
        <v>28800</v>
      </c>
      <c r="K1853">
        <v>29800</v>
      </c>
      <c r="L1853">
        <v>28100</v>
      </c>
      <c r="M1853">
        <v>7752081</v>
      </c>
      <c r="N1853">
        <v>222692197100</v>
      </c>
      <c r="O1853">
        <v>880000000</v>
      </c>
      <c r="P1853">
        <v>24948000000000</v>
      </c>
    </row>
    <row r="1854" spans="1:16">
      <c r="A1854" t="s">
        <v>75</v>
      </c>
      <c r="B1854">
        <v>20260113</v>
      </c>
      <c r="C1854">
        <v>10140</v>
      </c>
      <c r="D1854" t="s">
        <v>76</v>
      </c>
      <c r="E1854" t="s">
        <v>75</v>
      </c>
      <c r="F1854" t="s">
        <v>17</v>
      </c>
      <c r="G1854">
        <v>28950</v>
      </c>
      <c r="H1854">
        <v>800</v>
      </c>
      <c r="I1854">
        <v>2.84</v>
      </c>
      <c r="J1854">
        <v>28350</v>
      </c>
      <c r="K1854">
        <v>29100</v>
      </c>
      <c r="L1854">
        <v>28050</v>
      </c>
      <c r="M1854">
        <v>7973542</v>
      </c>
      <c r="N1854">
        <v>228114556275</v>
      </c>
      <c r="O1854">
        <v>880000000</v>
      </c>
      <c r="P1854">
        <v>25476000000000</v>
      </c>
    </row>
    <row r="1855" spans="1:16">
      <c r="A1855" t="s">
        <v>75</v>
      </c>
      <c r="B1855">
        <v>20260112</v>
      </c>
      <c r="C1855">
        <v>10140</v>
      </c>
      <c r="D1855" t="s">
        <v>76</v>
      </c>
      <c r="E1855" t="s">
        <v>75</v>
      </c>
      <c r="F1855" t="s">
        <v>17</v>
      </c>
      <c r="G1855">
        <v>28150</v>
      </c>
      <c r="H1855">
        <v>-500</v>
      </c>
      <c r="I1855">
        <v>-1.75</v>
      </c>
      <c r="J1855">
        <v>28500</v>
      </c>
      <c r="K1855">
        <v>28500</v>
      </c>
      <c r="L1855">
        <v>27700</v>
      </c>
      <c r="M1855">
        <v>8383206</v>
      </c>
      <c r="N1855">
        <v>235487399150</v>
      </c>
      <c r="O1855">
        <v>880000000</v>
      </c>
      <c r="P1855">
        <v>24772000000000</v>
      </c>
    </row>
    <row r="1856" spans="1:16">
      <c r="A1856" t="s">
        <v>75</v>
      </c>
      <c r="B1856">
        <v>20260109</v>
      </c>
      <c r="C1856">
        <v>10140</v>
      </c>
      <c r="D1856" t="s">
        <v>76</v>
      </c>
      <c r="E1856" t="s">
        <v>75</v>
      </c>
      <c r="F1856" t="s">
        <v>17</v>
      </c>
      <c r="G1856">
        <v>28650</v>
      </c>
      <c r="H1856">
        <v>2300</v>
      </c>
      <c r="I1856">
        <v>8.73</v>
      </c>
      <c r="J1856">
        <v>26700</v>
      </c>
      <c r="K1856">
        <v>28650</v>
      </c>
      <c r="L1856">
        <v>26350</v>
      </c>
      <c r="M1856">
        <v>17655455</v>
      </c>
      <c r="N1856">
        <v>493077046550</v>
      </c>
      <c r="O1856">
        <v>880000000</v>
      </c>
      <c r="P1856">
        <v>25212000000000</v>
      </c>
    </row>
    <row r="1857" spans="1:16">
      <c r="A1857" t="s">
        <v>75</v>
      </c>
      <c r="B1857">
        <v>20260108</v>
      </c>
      <c r="C1857">
        <v>10140</v>
      </c>
      <c r="D1857" t="s">
        <v>76</v>
      </c>
      <c r="E1857" t="s">
        <v>75</v>
      </c>
      <c r="F1857" t="s">
        <v>17</v>
      </c>
      <c r="G1857">
        <v>26350</v>
      </c>
      <c r="H1857">
        <v>1000</v>
      </c>
      <c r="I1857">
        <v>3.94</v>
      </c>
      <c r="J1857">
        <v>25500</v>
      </c>
      <c r="K1857">
        <v>26600</v>
      </c>
      <c r="L1857">
        <v>25300</v>
      </c>
      <c r="M1857">
        <v>10106706</v>
      </c>
      <c r="N1857">
        <v>265873919700</v>
      </c>
      <c r="O1857">
        <v>880000000</v>
      </c>
      <c r="P1857">
        <v>23188000000000</v>
      </c>
    </row>
    <row r="1858" spans="1:16">
      <c r="A1858" t="s">
        <v>75</v>
      </c>
      <c r="B1858">
        <v>20260107</v>
      </c>
      <c r="C1858">
        <v>10140</v>
      </c>
      <c r="D1858" t="s">
        <v>76</v>
      </c>
      <c r="E1858" t="s">
        <v>75</v>
      </c>
      <c r="F1858" t="s">
        <v>17</v>
      </c>
      <c r="G1858">
        <v>25350</v>
      </c>
      <c r="H1858">
        <v>550</v>
      </c>
      <c r="I1858">
        <v>2.2200000000000002</v>
      </c>
      <c r="J1858">
        <v>24850</v>
      </c>
      <c r="K1858">
        <v>26250</v>
      </c>
      <c r="L1858">
        <v>24700</v>
      </c>
      <c r="M1858">
        <v>9461120</v>
      </c>
      <c r="N1858">
        <v>241956181925</v>
      </c>
      <c r="O1858">
        <v>880000000</v>
      </c>
      <c r="P1858">
        <v>22308000000000</v>
      </c>
    </row>
    <row r="1859" spans="1:16">
      <c r="A1859" t="s">
        <v>75</v>
      </c>
      <c r="B1859">
        <v>20260106</v>
      </c>
      <c r="C1859">
        <v>10140</v>
      </c>
      <c r="D1859" t="s">
        <v>76</v>
      </c>
      <c r="E1859" t="s">
        <v>75</v>
      </c>
      <c r="F1859" t="s">
        <v>17</v>
      </c>
      <c r="G1859">
        <v>24800</v>
      </c>
      <c r="H1859">
        <v>350</v>
      </c>
      <c r="I1859">
        <v>1.43</v>
      </c>
      <c r="J1859">
        <v>24600</v>
      </c>
      <c r="K1859">
        <v>24900</v>
      </c>
      <c r="L1859">
        <v>24250</v>
      </c>
      <c r="M1859">
        <v>4174024</v>
      </c>
      <c r="N1859">
        <v>102949638775</v>
      </c>
      <c r="O1859">
        <v>880000000</v>
      </c>
      <c r="P1859">
        <v>21824000000000</v>
      </c>
    </row>
    <row r="1860" spans="1:16">
      <c r="A1860" t="s">
        <v>75</v>
      </c>
      <c r="B1860">
        <v>20260105</v>
      </c>
      <c r="C1860">
        <v>10140</v>
      </c>
      <c r="D1860" t="s">
        <v>76</v>
      </c>
      <c r="E1860" t="s">
        <v>75</v>
      </c>
      <c r="F1860" t="s">
        <v>17</v>
      </c>
      <c r="G1860">
        <v>24450</v>
      </c>
      <c r="H1860">
        <v>300</v>
      </c>
      <c r="I1860">
        <v>1.24</v>
      </c>
      <c r="J1860">
        <v>24000</v>
      </c>
      <c r="K1860">
        <v>24600</v>
      </c>
      <c r="L1860">
        <v>23850</v>
      </c>
      <c r="M1860">
        <v>4850792</v>
      </c>
      <c r="N1860">
        <v>117910973800</v>
      </c>
      <c r="O1860">
        <v>880000000</v>
      </c>
      <c r="P1860">
        <v>21516000000000</v>
      </c>
    </row>
    <row r="1861" spans="1:16">
      <c r="A1861" t="s">
        <v>75</v>
      </c>
      <c r="B1861">
        <v>20260102</v>
      </c>
      <c r="C1861">
        <v>10140</v>
      </c>
      <c r="D1861" t="s">
        <v>76</v>
      </c>
      <c r="E1861" t="s">
        <v>75</v>
      </c>
      <c r="F1861" t="s">
        <v>17</v>
      </c>
      <c r="G1861">
        <v>24150</v>
      </c>
      <c r="H1861">
        <v>50</v>
      </c>
      <c r="I1861">
        <v>0.21</v>
      </c>
      <c r="J1861">
        <v>24200</v>
      </c>
      <c r="K1861">
        <v>24300</v>
      </c>
      <c r="L1861">
        <v>23700</v>
      </c>
      <c r="M1861">
        <v>3718965</v>
      </c>
      <c r="N1861">
        <v>89069844875</v>
      </c>
      <c r="O1861">
        <v>880000000</v>
      </c>
      <c r="P1861">
        <v>21252000000000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2FD3-4A0B-4673-B328-572C718D9261}">
  <dimension ref="A3:BH34"/>
  <sheetViews>
    <sheetView workbookViewId="0">
      <pane xSplit="1" topLeftCell="AX1" activePane="topRight" state="frozen"/>
      <selection pane="topRight" activeCell="AY13" sqref="AY13"/>
    </sheetView>
  </sheetViews>
  <sheetFormatPr baseColWidth="10" defaultColWidth="8.83203125" defaultRowHeight="17"/>
  <cols>
    <col min="1" max="1" width="18.33203125" bestFit="1" customWidth="1"/>
    <col min="2" max="60" width="14.83203125" bestFit="1" customWidth="1"/>
    <col min="61" max="61" width="44.6640625" customWidth="1"/>
  </cols>
  <sheetData>
    <row r="3" spans="1:60">
      <c r="A3" s="1" t="s">
        <v>79</v>
      </c>
      <c r="B3" s="1" t="s">
        <v>77</v>
      </c>
    </row>
    <row r="4" spans="1:60">
      <c r="A4" s="1" t="s">
        <v>78</v>
      </c>
      <c r="B4">
        <v>20260102</v>
      </c>
      <c r="C4">
        <v>20260105</v>
      </c>
      <c r="D4">
        <v>20260106</v>
      </c>
      <c r="E4">
        <v>20260107</v>
      </c>
      <c r="F4">
        <v>20260108</v>
      </c>
      <c r="G4">
        <v>20260109</v>
      </c>
      <c r="H4">
        <v>20260112</v>
      </c>
      <c r="I4">
        <v>20260113</v>
      </c>
      <c r="J4">
        <v>20260114</v>
      </c>
      <c r="K4">
        <v>20260115</v>
      </c>
      <c r="L4">
        <v>20260116</v>
      </c>
      <c r="M4">
        <v>20260119</v>
      </c>
      <c r="N4">
        <v>20260120</v>
      </c>
      <c r="O4">
        <v>20260121</v>
      </c>
      <c r="P4">
        <v>20260122</v>
      </c>
      <c r="Q4">
        <v>20260123</v>
      </c>
      <c r="R4">
        <v>20260126</v>
      </c>
      <c r="S4">
        <v>20260127</v>
      </c>
      <c r="T4">
        <v>20260128</v>
      </c>
      <c r="U4">
        <v>20260129</v>
      </c>
      <c r="V4">
        <v>20260130</v>
      </c>
      <c r="W4">
        <v>20260202</v>
      </c>
      <c r="X4">
        <v>20260203</v>
      </c>
      <c r="Y4">
        <v>20260204</v>
      </c>
      <c r="Z4">
        <v>20260205</v>
      </c>
      <c r="AA4">
        <v>20260206</v>
      </c>
      <c r="AB4">
        <v>20260209</v>
      </c>
      <c r="AC4">
        <v>20260210</v>
      </c>
      <c r="AD4">
        <v>20260211</v>
      </c>
      <c r="AE4">
        <v>20260212</v>
      </c>
      <c r="AF4">
        <v>20260213</v>
      </c>
      <c r="AG4">
        <v>20260219</v>
      </c>
      <c r="AH4">
        <v>20260220</v>
      </c>
      <c r="AI4">
        <v>20260223</v>
      </c>
      <c r="AJ4">
        <v>20260224</v>
      </c>
      <c r="AK4">
        <v>20260225</v>
      </c>
      <c r="AL4">
        <v>20260226</v>
      </c>
      <c r="AM4">
        <v>20260227</v>
      </c>
      <c r="AN4">
        <v>20260303</v>
      </c>
      <c r="AO4">
        <v>20260304</v>
      </c>
      <c r="AP4">
        <v>20260305</v>
      </c>
      <c r="AQ4">
        <v>20260306</v>
      </c>
      <c r="AR4">
        <v>20260309</v>
      </c>
      <c r="AS4">
        <v>20260310</v>
      </c>
      <c r="AT4">
        <v>20260311</v>
      </c>
      <c r="AU4">
        <v>20260312</v>
      </c>
      <c r="AV4">
        <v>20260313</v>
      </c>
      <c r="AW4">
        <v>20260316</v>
      </c>
      <c r="AX4">
        <v>20260317</v>
      </c>
      <c r="AY4">
        <v>20260318</v>
      </c>
      <c r="AZ4">
        <v>20260319</v>
      </c>
      <c r="BA4">
        <v>20260320</v>
      </c>
      <c r="BB4">
        <v>20260323</v>
      </c>
      <c r="BC4">
        <v>20260324</v>
      </c>
      <c r="BD4">
        <v>20260325</v>
      </c>
      <c r="BE4">
        <v>20260326</v>
      </c>
      <c r="BF4">
        <v>20260327</v>
      </c>
      <c r="BG4">
        <v>20260330</v>
      </c>
      <c r="BH4">
        <v>20260331</v>
      </c>
    </row>
    <row r="5" spans="1:60" ht="35" customHeight="1">
      <c r="A5" s="2" t="s">
        <v>67</v>
      </c>
      <c r="B5" s="3">
        <v>393500</v>
      </c>
      <c r="C5" s="3">
        <v>401000</v>
      </c>
      <c r="D5" s="3">
        <v>414000</v>
      </c>
      <c r="E5" s="3">
        <v>418000</v>
      </c>
      <c r="F5" s="3">
        <v>424500</v>
      </c>
      <c r="G5" s="3">
        <v>447000</v>
      </c>
      <c r="H5" s="3">
        <v>450500</v>
      </c>
      <c r="I5" s="3">
        <v>462500</v>
      </c>
      <c r="J5" s="3">
        <v>427500</v>
      </c>
      <c r="K5" s="3">
        <v>440000</v>
      </c>
      <c r="L5" s="3">
        <v>438500</v>
      </c>
      <c r="M5" s="3">
        <v>444500</v>
      </c>
      <c r="N5" s="3">
        <v>443000</v>
      </c>
      <c r="O5" s="3">
        <v>428500</v>
      </c>
      <c r="P5" s="3">
        <v>424500</v>
      </c>
      <c r="Q5" s="3">
        <v>436000</v>
      </c>
      <c r="R5" s="3">
        <v>424000</v>
      </c>
      <c r="S5" s="3">
        <v>426500</v>
      </c>
      <c r="T5" s="3">
        <v>422500</v>
      </c>
      <c r="U5" s="3">
        <v>421000</v>
      </c>
      <c r="V5" s="3">
        <v>413500</v>
      </c>
      <c r="W5" s="3">
        <v>401500</v>
      </c>
      <c r="X5" s="3">
        <v>417500</v>
      </c>
      <c r="Y5" s="3">
        <v>424500</v>
      </c>
      <c r="Z5" s="3">
        <v>409000</v>
      </c>
      <c r="AA5" s="3">
        <v>395500</v>
      </c>
      <c r="AB5" s="3">
        <v>390000</v>
      </c>
      <c r="AC5" s="3">
        <v>382000</v>
      </c>
      <c r="AD5" s="3">
        <v>390000</v>
      </c>
      <c r="AE5" s="3">
        <v>397000</v>
      </c>
      <c r="AF5" s="3">
        <v>397500</v>
      </c>
      <c r="AG5" s="3">
        <v>422500</v>
      </c>
      <c r="AH5" s="3">
        <v>452000</v>
      </c>
      <c r="AI5" s="3">
        <v>472000</v>
      </c>
      <c r="AJ5" s="3">
        <v>457500</v>
      </c>
      <c r="AK5" s="3">
        <v>467500</v>
      </c>
      <c r="AL5" s="3">
        <v>452000</v>
      </c>
      <c r="AM5" s="3">
        <v>450000</v>
      </c>
      <c r="AN5" s="3">
        <v>441500</v>
      </c>
      <c r="AO5" s="3">
        <v>379000</v>
      </c>
      <c r="AP5" s="3">
        <v>407000</v>
      </c>
      <c r="AQ5" s="3">
        <v>402000</v>
      </c>
      <c r="AR5" s="3">
        <v>400000</v>
      </c>
      <c r="AS5" s="3">
        <v>404000</v>
      </c>
      <c r="AT5" s="3">
        <v>420000</v>
      </c>
      <c r="AU5" s="3">
        <v>425000</v>
      </c>
      <c r="AV5" s="3">
        <v>416000</v>
      </c>
      <c r="AW5" s="3">
        <v>409500</v>
      </c>
      <c r="AX5" s="3">
        <v>420000</v>
      </c>
      <c r="AY5" s="3">
        <v>425000</v>
      </c>
      <c r="AZ5" s="3">
        <v>413500</v>
      </c>
      <c r="BA5" s="3">
        <v>404500</v>
      </c>
      <c r="BB5" s="3">
        <v>366000</v>
      </c>
      <c r="BC5" s="3">
        <v>379500</v>
      </c>
      <c r="BD5" s="3">
        <v>385000</v>
      </c>
      <c r="BE5" s="3">
        <v>375000</v>
      </c>
      <c r="BF5" s="3">
        <v>367000</v>
      </c>
      <c r="BG5" s="3">
        <v>347000</v>
      </c>
      <c r="BH5" s="3">
        <v>344000</v>
      </c>
    </row>
    <row r="6" spans="1:60" ht="35" customHeight="1">
      <c r="A6" s="2" t="s">
        <v>57</v>
      </c>
      <c r="B6" s="3">
        <v>819000</v>
      </c>
      <c r="C6" s="3">
        <v>868000</v>
      </c>
      <c r="D6" s="3">
        <v>834000</v>
      </c>
      <c r="E6" s="3">
        <v>821000</v>
      </c>
      <c r="F6" s="3">
        <v>862000</v>
      </c>
      <c r="G6" s="3">
        <v>848000</v>
      </c>
      <c r="H6" s="3">
        <v>876000</v>
      </c>
      <c r="I6" s="3">
        <v>886000</v>
      </c>
      <c r="J6" s="3">
        <v>922000</v>
      </c>
      <c r="K6" s="3">
        <v>892000</v>
      </c>
      <c r="L6" s="3">
        <v>906000</v>
      </c>
      <c r="M6" s="3">
        <v>918000</v>
      </c>
      <c r="N6" s="3">
        <v>915000</v>
      </c>
      <c r="O6" s="3">
        <v>894000</v>
      </c>
      <c r="P6" s="3">
        <v>888000</v>
      </c>
      <c r="Q6" s="3">
        <v>884000</v>
      </c>
      <c r="R6" s="3">
        <v>872000</v>
      </c>
      <c r="S6" s="3">
        <v>901000</v>
      </c>
      <c r="T6" s="3">
        <v>902000</v>
      </c>
      <c r="U6" s="3">
        <v>897000</v>
      </c>
      <c r="V6" s="3">
        <v>889000</v>
      </c>
      <c r="W6" s="3">
        <v>836000</v>
      </c>
      <c r="X6" s="3">
        <v>889000</v>
      </c>
      <c r="Y6" s="3">
        <v>924000</v>
      </c>
      <c r="Z6" s="3">
        <v>873000</v>
      </c>
      <c r="AA6" s="3">
        <v>840000</v>
      </c>
      <c r="AB6" s="3">
        <v>933000</v>
      </c>
      <c r="AC6" s="3">
        <v>939000</v>
      </c>
      <c r="AD6" s="3">
        <v>995000</v>
      </c>
      <c r="AE6" s="3">
        <v>966000</v>
      </c>
      <c r="AF6" s="3">
        <v>949000</v>
      </c>
      <c r="AG6" s="3">
        <v>967000</v>
      </c>
      <c r="AH6" s="3">
        <v>1011000</v>
      </c>
      <c r="AI6" s="3">
        <v>1067000</v>
      </c>
      <c r="AJ6" s="3">
        <v>1070000</v>
      </c>
      <c r="AK6" s="3">
        <v>1065000</v>
      </c>
      <c r="AL6" s="3">
        <v>1111000</v>
      </c>
      <c r="AM6" s="3">
        <v>1050000</v>
      </c>
      <c r="AN6" s="3">
        <v>987000</v>
      </c>
      <c r="AO6" s="3">
        <v>871000</v>
      </c>
      <c r="AP6" s="3">
        <v>984000</v>
      </c>
      <c r="AQ6" s="3">
        <v>968000</v>
      </c>
      <c r="AR6" s="3">
        <v>907000</v>
      </c>
      <c r="AS6" s="3">
        <v>941000</v>
      </c>
      <c r="AT6" s="3">
        <v>939000</v>
      </c>
      <c r="AU6" s="3">
        <v>944000</v>
      </c>
      <c r="AV6" s="3">
        <v>929000</v>
      </c>
      <c r="AW6" s="3">
        <v>905000</v>
      </c>
      <c r="AX6" s="3">
        <v>931000</v>
      </c>
      <c r="AY6" s="3">
        <v>974000</v>
      </c>
      <c r="AZ6" s="3">
        <v>958000</v>
      </c>
      <c r="BA6" s="3">
        <v>959000</v>
      </c>
      <c r="BB6" s="3">
        <v>913000</v>
      </c>
      <c r="BC6" s="3">
        <v>925000</v>
      </c>
      <c r="BD6" s="3">
        <v>992000</v>
      </c>
      <c r="BE6" s="3">
        <v>965000</v>
      </c>
      <c r="BF6" s="3">
        <v>915000</v>
      </c>
      <c r="BG6" s="3">
        <v>872000</v>
      </c>
      <c r="BH6" s="3">
        <v>832000</v>
      </c>
    </row>
    <row r="7" spans="1:60" ht="35" customHeight="1">
      <c r="A7" s="2" t="s">
        <v>37</v>
      </c>
      <c r="B7" s="3">
        <v>504000</v>
      </c>
      <c r="C7" s="3">
        <v>513000</v>
      </c>
      <c r="D7" s="3">
        <v>550000</v>
      </c>
      <c r="E7" s="3">
        <v>557000</v>
      </c>
      <c r="F7" s="3">
        <v>582000</v>
      </c>
      <c r="G7" s="3">
        <v>609000</v>
      </c>
      <c r="H7" s="3">
        <v>604000</v>
      </c>
      <c r="I7" s="3">
        <v>645000</v>
      </c>
      <c r="J7" s="3">
        <v>615000</v>
      </c>
      <c r="K7" s="3">
        <v>631000</v>
      </c>
      <c r="L7" s="3">
        <v>622000</v>
      </c>
      <c r="M7" s="3">
        <v>648000</v>
      </c>
      <c r="N7" s="3">
        <v>641000</v>
      </c>
      <c r="O7" s="3">
        <v>631000</v>
      </c>
      <c r="P7" s="3">
        <v>613000</v>
      </c>
      <c r="Q7" s="3">
        <v>627000</v>
      </c>
      <c r="R7" s="3">
        <v>605000</v>
      </c>
      <c r="S7" s="3">
        <v>588000</v>
      </c>
      <c r="T7" s="3">
        <v>586000</v>
      </c>
      <c r="U7" s="3">
        <v>588000</v>
      </c>
      <c r="V7" s="3">
        <v>575000</v>
      </c>
      <c r="W7" s="3">
        <v>549000</v>
      </c>
      <c r="X7" s="3">
        <v>582000</v>
      </c>
      <c r="Y7" s="3">
        <v>583000</v>
      </c>
      <c r="Z7" s="3">
        <v>550000</v>
      </c>
      <c r="AA7" s="3">
        <v>539000</v>
      </c>
      <c r="AB7" s="3">
        <v>540000</v>
      </c>
      <c r="AC7" s="3">
        <v>534000</v>
      </c>
      <c r="AD7" s="3">
        <v>537000</v>
      </c>
      <c r="AE7" s="3">
        <v>539000</v>
      </c>
      <c r="AF7" s="3">
        <v>543000</v>
      </c>
      <c r="AG7" s="3">
        <v>574000</v>
      </c>
      <c r="AH7" s="3">
        <v>602000</v>
      </c>
      <c r="AI7" s="3">
        <v>607000</v>
      </c>
      <c r="AJ7" s="3">
        <v>596000</v>
      </c>
      <c r="AK7" s="3">
        <v>594000</v>
      </c>
      <c r="AL7" s="3">
        <v>592000</v>
      </c>
      <c r="AM7" s="3">
        <v>603000</v>
      </c>
      <c r="AN7" s="3">
        <v>590000</v>
      </c>
      <c r="AO7" s="3">
        <v>511000</v>
      </c>
      <c r="AP7" s="3">
        <v>559000</v>
      </c>
      <c r="AQ7" s="3">
        <v>554000</v>
      </c>
      <c r="AR7" s="3">
        <v>576000</v>
      </c>
      <c r="AS7" s="3">
        <v>583000</v>
      </c>
      <c r="AT7" s="3">
        <v>590000</v>
      </c>
      <c r="AU7" s="3">
        <v>604000</v>
      </c>
      <c r="AV7" s="3">
        <v>596000</v>
      </c>
      <c r="AW7" s="3">
        <v>583000</v>
      </c>
      <c r="AX7" s="3">
        <v>587000</v>
      </c>
      <c r="AY7" s="3">
        <v>590000</v>
      </c>
      <c r="AZ7" s="3">
        <v>567000</v>
      </c>
      <c r="BA7" s="3">
        <v>559000</v>
      </c>
      <c r="BB7" s="3">
        <v>502000</v>
      </c>
      <c r="BC7" s="3">
        <v>516000</v>
      </c>
      <c r="BD7" s="3">
        <v>523000</v>
      </c>
      <c r="BE7" s="3">
        <v>511000</v>
      </c>
      <c r="BF7" s="3">
        <v>498500</v>
      </c>
      <c r="BG7" s="3">
        <v>480000</v>
      </c>
      <c r="BH7" s="3">
        <v>465000</v>
      </c>
    </row>
    <row r="8" spans="1:60" ht="35" customHeight="1">
      <c r="A8" s="2" t="s">
        <v>35</v>
      </c>
      <c r="B8" s="3">
        <v>123300</v>
      </c>
      <c r="C8" s="3">
        <v>126800</v>
      </c>
      <c r="D8" s="3">
        <v>126400</v>
      </c>
      <c r="E8" s="3">
        <v>124700</v>
      </c>
      <c r="F8" s="3">
        <v>123500</v>
      </c>
      <c r="G8" s="3">
        <v>126600</v>
      </c>
      <c r="H8" s="3">
        <v>125500</v>
      </c>
      <c r="I8" s="3">
        <v>128500</v>
      </c>
      <c r="J8" s="3">
        <v>128900</v>
      </c>
      <c r="K8" s="3">
        <v>130100</v>
      </c>
      <c r="L8" s="3">
        <v>130900</v>
      </c>
      <c r="M8" s="3">
        <v>129500</v>
      </c>
      <c r="N8" s="3">
        <v>133100</v>
      </c>
      <c r="O8" s="3">
        <v>136800</v>
      </c>
      <c r="P8" s="3">
        <v>134700</v>
      </c>
      <c r="Q8" s="3">
        <v>135600</v>
      </c>
      <c r="R8" s="3">
        <v>135500</v>
      </c>
      <c r="S8" s="3">
        <v>143000</v>
      </c>
      <c r="T8" s="3">
        <v>137900</v>
      </c>
      <c r="U8" s="3">
        <v>137800</v>
      </c>
      <c r="V8" s="3">
        <v>135200</v>
      </c>
      <c r="W8" s="3">
        <v>133700</v>
      </c>
      <c r="X8" s="3">
        <v>138800</v>
      </c>
      <c r="Y8" s="3">
        <v>142100</v>
      </c>
      <c r="Z8" s="3">
        <v>139500</v>
      </c>
      <c r="AA8" s="3">
        <v>149300</v>
      </c>
      <c r="AB8" s="3">
        <v>151400</v>
      </c>
      <c r="AC8" s="3">
        <v>155500</v>
      </c>
      <c r="AD8" s="3">
        <v>164500</v>
      </c>
      <c r="AE8" s="3">
        <v>168500</v>
      </c>
      <c r="AF8" s="3">
        <v>167900</v>
      </c>
      <c r="AG8" s="3">
        <v>166500</v>
      </c>
      <c r="AH8" s="3">
        <v>168800</v>
      </c>
      <c r="AI8" s="3">
        <v>168700</v>
      </c>
      <c r="AJ8" s="3">
        <v>166700</v>
      </c>
      <c r="AK8" s="3">
        <v>167700</v>
      </c>
      <c r="AL8" s="3">
        <v>165300</v>
      </c>
      <c r="AM8" s="3">
        <v>159000</v>
      </c>
      <c r="AN8" s="3">
        <v>153500</v>
      </c>
      <c r="AO8" s="3">
        <v>137700</v>
      </c>
      <c r="AP8" s="3">
        <v>149000</v>
      </c>
      <c r="AQ8" s="3">
        <v>147400</v>
      </c>
      <c r="AR8" s="3">
        <v>142600</v>
      </c>
      <c r="AS8" s="3">
        <v>147400</v>
      </c>
      <c r="AT8" s="3">
        <v>151300</v>
      </c>
      <c r="AU8" s="3">
        <v>149200</v>
      </c>
      <c r="AV8" s="3">
        <v>148900</v>
      </c>
      <c r="AW8" s="3">
        <v>149300</v>
      </c>
      <c r="AX8" s="3">
        <v>150700</v>
      </c>
      <c r="AY8" s="3">
        <v>154700</v>
      </c>
      <c r="AZ8" s="3">
        <v>155700</v>
      </c>
      <c r="BA8" s="3">
        <v>155200</v>
      </c>
      <c r="BB8" s="3">
        <v>145300</v>
      </c>
      <c r="BC8" s="3">
        <v>146900</v>
      </c>
      <c r="BD8" s="3">
        <v>149400</v>
      </c>
      <c r="BE8" s="3">
        <v>152200</v>
      </c>
      <c r="BF8" s="3">
        <v>152200</v>
      </c>
      <c r="BG8" s="3">
        <v>145900</v>
      </c>
      <c r="BH8" s="3">
        <v>141900</v>
      </c>
    </row>
    <row r="9" spans="1:60" ht="35" customHeight="1">
      <c r="A9" s="2" t="s">
        <v>23</v>
      </c>
      <c r="B9" s="3">
        <v>361000</v>
      </c>
      <c r="C9" s="3">
        <v>371500</v>
      </c>
      <c r="D9" s="3">
        <v>378000</v>
      </c>
      <c r="E9" s="3">
        <v>370500</v>
      </c>
      <c r="F9" s="3">
        <v>366000</v>
      </c>
      <c r="G9" s="3">
        <v>363000</v>
      </c>
      <c r="H9" s="3">
        <v>379000</v>
      </c>
      <c r="I9" s="3">
        <v>394000</v>
      </c>
      <c r="J9" s="3">
        <v>389500</v>
      </c>
      <c r="K9" s="3">
        <v>392000</v>
      </c>
      <c r="L9" s="3">
        <v>391000</v>
      </c>
      <c r="M9" s="3">
        <v>398500</v>
      </c>
      <c r="N9" s="3">
        <v>403000</v>
      </c>
      <c r="O9" s="3">
        <v>394500</v>
      </c>
      <c r="P9" s="3">
        <v>417000</v>
      </c>
      <c r="Q9" s="3">
        <v>412000</v>
      </c>
      <c r="R9" s="3">
        <v>416000</v>
      </c>
      <c r="S9" s="3">
        <v>408500</v>
      </c>
      <c r="T9" s="3">
        <v>431000</v>
      </c>
      <c r="U9" s="3">
        <v>416500</v>
      </c>
      <c r="V9" s="3">
        <v>398000</v>
      </c>
      <c r="W9" s="3">
        <v>380000</v>
      </c>
      <c r="X9" s="3">
        <v>391000</v>
      </c>
      <c r="Y9" s="3">
        <v>402500</v>
      </c>
      <c r="Z9" s="3">
        <v>395000</v>
      </c>
      <c r="AA9" s="3">
        <v>385000</v>
      </c>
      <c r="AB9" s="3">
        <v>394500</v>
      </c>
      <c r="AC9" s="3">
        <v>390500</v>
      </c>
      <c r="AD9" s="3">
        <v>392000</v>
      </c>
      <c r="AE9" s="3">
        <v>410000</v>
      </c>
      <c r="AF9" s="3">
        <v>395000</v>
      </c>
      <c r="AG9" s="3">
        <v>403500</v>
      </c>
      <c r="AH9" s="3">
        <v>401500</v>
      </c>
      <c r="AI9" s="3">
        <v>396000</v>
      </c>
      <c r="AJ9" s="3">
        <v>412500</v>
      </c>
      <c r="AK9" s="3">
        <v>426000</v>
      </c>
      <c r="AL9" s="3">
        <v>427000</v>
      </c>
      <c r="AM9" s="3">
        <v>427000</v>
      </c>
      <c r="AN9" s="3">
        <v>393000</v>
      </c>
      <c r="AO9" s="3">
        <v>347500</v>
      </c>
      <c r="AP9" s="3">
        <v>371500</v>
      </c>
      <c r="AQ9" s="3">
        <v>377500</v>
      </c>
      <c r="AR9" s="3">
        <v>359500</v>
      </c>
      <c r="AS9" s="3">
        <v>367000</v>
      </c>
      <c r="AT9" s="3">
        <v>369500</v>
      </c>
      <c r="AU9" s="3">
        <v>384000</v>
      </c>
      <c r="AV9" s="3">
        <v>369000</v>
      </c>
      <c r="AW9" s="3">
        <v>366000</v>
      </c>
      <c r="AX9" s="3">
        <v>380500</v>
      </c>
      <c r="AY9" s="3">
        <v>383500</v>
      </c>
      <c r="AZ9" s="3">
        <v>371000</v>
      </c>
      <c r="BA9" s="3">
        <v>375500</v>
      </c>
      <c r="BB9" s="3">
        <v>356000</v>
      </c>
      <c r="BC9" s="3">
        <v>392500</v>
      </c>
      <c r="BD9" s="3">
        <v>394000</v>
      </c>
      <c r="BE9" s="3">
        <v>384500</v>
      </c>
      <c r="BF9" s="3">
        <v>394500</v>
      </c>
      <c r="BG9" s="3">
        <v>410000</v>
      </c>
      <c r="BH9" s="3">
        <v>394500</v>
      </c>
    </row>
    <row r="10" spans="1:60" ht="35" customHeight="1">
      <c r="A10" s="2" t="s">
        <v>59</v>
      </c>
      <c r="B10" s="3">
        <v>247000</v>
      </c>
      <c r="C10" s="3">
        <v>249500</v>
      </c>
      <c r="D10" s="3">
        <v>260000</v>
      </c>
      <c r="E10" s="3">
        <v>252500</v>
      </c>
      <c r="F10" s="3">
        <v>251000</v>
      </c>
      <c r="G10" s="3">
        <v>254000</v>
      </c>
      <c r="H10" s="3">
        <v>255500</v>
      </c>
      <c r="I10" s="3">
        <v>264500</v>
      </c>
      <c r="J10" s="3">
        <v>259500</v>
      </c>
      <c r="K10" s="3">
        <v>247500</v>
      </c>
      <c r="L10" s="3">
        <v>245500</v>
      </c>
      <c r="M10" s="3">
        <v>238000</v>
      </c>
      <c r="N10" s="3">
        <v>244000</v>
      </c>
      <c r="O10" s="3">
        <v>238500</v>
      </c>
      <c r="P10" s="3">
        <v>245500</v>
      </c>
      <c r="Q10" s="3">
        <v>266000</v>
      </c>
      <c r="R10" s="3">
        <v>272500</v>
      </c>
      <c r="S10" s="3">
        <v>281500</v>
      </c>
      <c r="T10" s="3">
        <v>277500</v>
      </c>
      <c r="U10" s="3">
        <v>287000</v>
      </c>
      <c r="V10" s="3">
        <v>275000</v>
      </c>
      <c r="W10" s="3">
        <v>268000</v>
      </c>
      <c r="X10" s="3">
        <v>269000</v>
      </c>
      <c r="Y10" s="3">
        <v>264500</v>
      </c>
      <c r="Z10" s="3">
        <v>257000</v>
      </c>
      <c r="AA10" s="3">
        <v>249000</v>
      </c>
      <c r="AB10" s="3">
        <v>250000</v>
      </c>
      <c r="AC10" s="3">
        <v>254000</v>
      </c>
      <c r="AD10" s="3">
        <v>257500</v>
      </c>
      <c r="AE10" s="3">
        <v>255500</v>
      </c>
      <c r="AF10" s="3">
        <v>252500</v>
      </c>
      <c r="AG10" s="3">
        <v>253000</v>
      </c>
      <c r="AH10" s="3">
        <v>254500</v>
      </c>
      <c r="AI10" s="3">
        <v>255500</v>
      </c>
      <c r="AJ10" s="3">
        <v>255000</v>
      </c>
      <c r="AK10" s="3">
        <v>253000</v>
      </c>
      <c r="AL10" s="3">
        <v>260500</v>
      </c>
      <c r="AM10" s="3">
        <v>254500</v>
      </c>
      <c r="AN10" s="3">
        <v>236000</v>
      </c>
      <c r="AO10" s="3">
        <v>208000</v>
      </c>
      <c r="AP10" s="3">
        <v>220000</v>
      </c>
      <c r="AQ10" s="3">
        <v>222500</v>
      </c>
      <c r="AR10" s="3">
        <v>218500</v>
      </c>
      <c r="AS10" s="3">
        <v>220500</v>
      </c>
      <c r="AT10" s="3">
        <v>222000</v>
      </c>
      <c r="AU10" s="3">
        <v>222000</v>
      </c>
      <c r="AV10" s="3">
        <v>223000</v>
      </c>
      <c r="AW10" s="3">
        <v>218000</v>
      </c>
      <c r="AX10" s="3">
        <v>224000</v>
      </c>
      <c r="AY10" s="3">
        <v>226500</v>
      </c>
      <c r="AZ10" s="3">
        <v>220500</v>
      </c>
      <c r="BA10" s="3">
        <v>221500</v>
      </c>
      <c r="BB10" s="3">
        <v>209000</v>
      </c>
      <c r="BC10" s="3">
        <v>213500</v>
      </c>
      <c r="BD10" s="3">
        <v>215500</v>
      </c>
      <c r="BE10" s="3">
        <v>211500</v>
      </c>
      <c r="BF10" s="3">
        <v>212500</v>
      </c>
      <c r="BG10" s="3">
        <v>207000</v>
      </c>
      <c r="BH10" s="3">
        <v>201500</v>
      </c>
    </row>
    <row r="11" spans="1:60" ht="35" customHeight="1">
      <c r="A11" s="2" t="s">
        <v>65</v>
      </c>
      <c r="B11" s="3">
        <v>297500</v>
      </c>
      <c r="C11" s="3">
        <v>302500</v>
      </c>
      <c r="D11" s="3">
        <v>304000</v>
      </c>
      <c r="E11" s="3">
        <v>308000</v>
      </c>
      <c r="F11" s="3">
        <v>300500</v>
      </c>
      <c r="G11" s="3">
        <v>304000</v>
      </c>
      <c r="H11" s="3">
        <v>309500</v>
      </c>
      <c r="I11" s="3">
        <v>352500</v>
      </c>
      <c r="J11" s="3">
        <v>345000</v>
      </c>
      <c r="K11" s="3">
        <v>351500</v>
      </c>
      <c r="L11" s="3">
        <v>331500</v>
      </c>
      <c r="M11" s="3">
        <v>347500</v>
      </c>
      <c r="N11" s="3">
        <v>357500</v>
      </c>
      <c r="O11" s="3">
        <v>351000</v>
      </c>
      <c r="P11" s="3">
        <v>359500</v>
      </c>
      <c r="Q11" s="3">
        <v>368000</v>
      </c>
      <c r="R11" s="3">
        <v>365000</v>
      </c>
      <c r="S11" s="3">
        <v>359500</v>
      </c>
      <c r="T11" s="3">
        <v>378000</v>
      </c>
      <c r="U11" s="3">
        <v>364000</v>
      </c>
      <c r="V11" s="3">
        <v>347500</v>
      </c>
      <c r="W11" s="3">
        <v>341500</v>
      </c>
      <c r="X11" s="3">
        <v>357000</v>
      </c>
      <c r="Y11" s="3">
        <v>363500</v>
      </c>
      <c r="Z11" s="3">
        <v>367000</v>
      </c>
      <c r="AA11" s="3">
        <v>359500</v>
      </c>
      <c r="AB11" s="3">
        <v>363500</v>
      </c>
      <c r="AC11" s="3">
        <v>371000</v>
      </c>
      <c r="AD11" s="3">
        <v>372000</v>
      </c>
      <c r="AE11" s="3">
        <v>383000</v>
      </c>
      <c r="AF11" s="3">
        <v>375500</v>
      </c>
      <c r="AG11" s="3">
        <v>389000</v>
      </c>
      <c r="AH11" s="3">
        <v>394000</v>
      </c>
      <c r="AI11" s="3">
        <v>388000</v>
      </c>
      <c r="AJ11" s="3">
        <v>399500</v>
      </c>
      <c r="AK11" s="3">
        <v>406500</v>
      </c>
      <c r="AL11" s="3">
        <v>407500</v>
      </c>
      <c r="AM11" s="3">
        <v>413000</v>
      </c>
      <c r="AN11" s="3">
        <v>374500</v>
      </c>
      <c r="AO11" s="3">
        <v>321500</v>
      </c>
      <c r="AP11" s="3">
        <v>346500</v>
      </c>
      <c r="AQ11" s="3">
        <v>353500</v>
      </c>
      <c r="AR11" s="3">
        <v>336000</v>
      </c>
      <c r="AS11" s="3">
        <v>343500</v>
      </c>
      <c r="AT11" s="3">
        <v>345000</v>
      </c>
      <c r="AU11" s="3">
        <v>347500</v>
      </c>
      <c r="AV11" s="3">
        <v>337000</v>
      </c>
      <c r="AW11" s="3">
        <v>333500</v>
      </c>
      <c r="AX11" s="3">
        <v>342500</v>
      </c>
      <c r="AY11" s="3">
        <v>349500</v>
      </c>
      <c r="AZ11" s="3">
        <v>338000</v>
      </c>
      <c r="BA11" s="3">
        <v>343500</v>
      </c>
      <c r="BB11" s="3">
        <v>325000</v>
      </c>
      <c r="BC11" s="3">
        <v>339500</v>
      </c>
      <c r="BD11" s="3">
        <v>342000</v>
      </c>
      <c r="BE11" s="3">
        <v>342500</v>
      </c>
      <c r="BF11" s="3">
        <v>343000</v>
      </c>
      <c r="BG11" s="3">
        <v>343000</v>
      </c>
      <c r="BH11" s="3">
        <v>332500</v>
      </c>
    </row>
    <row r="12" spans="1:60" ht="35" customHeight="1">
      <c r="A12" s="2" t="s">
        <v>29</v>
      </c>
      <c r="B12" s="3">
        <v>392000</v>
      </c>
      <c r="C12" s="3">
        <v>416000</v>
      </c>
      <c r="D12" s="3">
        <v>432000</v>
      </c>
      <c r="E12" s="3">
        <v>429500</v>
      </c>
      <c r="F12" s="3">
        <v>430500</v>
      </c>
      <c r="G12" s="3">
        <v>430500</v>
      </c>
      <c r="H12" s="3">
        <v>427500</v>
      </c>
      <c r="I12" s="3">
        <v>426500</v>
      </c>
      <c r="J12" s="3">
        <v>435500</v>
      </c>
      <c r="K12" s="3">
        <v>429500</v>
      </c>
      <c r="L12" s="3">
        <v>446500</v>
      </c>
      <c r="M12" s="3">
        <v>435500</v>
      </c>
      <c r="N12" s="3">
        <v>427000</v>
      </c>
      <c r="O12" s="3">
        <v>430000</v>
      </c>
      <c r="P12" s="3">
        <v>446500</v>
      </c>
      <c r="Q12" s="3">
        <v>445500</v>
      </c>
      <c r="R12" s="3">
        <v>441000</v>
      </c>
      <c r="S12" s="3">
        <v>473000</v>
      </c>
      <c r="T12" s="3">
        <v>504000</v>
      </c>
      <c r="U12" s="3">
        <v>531000</v>
      </c>
      <c r="V12" s="3">
        <v>570000</v>
      </c>
      <c r="W12" s="3">
        <v>505000</v>
      </c>
      <c r="X12" s="3">
        <v>546000</v>
      </c>
      <c r="Y12" s="3">
        <v>569000</v>
      </c>
      <c r="Z12" s="3">
        <v>534000</v>
      </c>
      <c r="AA12" s="3">
        <v>514000</v>
      </c>
      <c r="AB12" s="3">
        <v>563000</v>
      </c>
      <c r="AC12" s="3">
        <v>543000</v>
      </c>
      <c r="AD12" s="3">
        <v>532000</v>
      </c>
      <c r="AE12" s="3">
        <v>570000</v>
      </c>
      <c r="AF12" s="3">
        <v>558000</v>
      </c>
      <c r="AG12" s="3">
        <v>566000</v>
      </c>
      <c r="AH12" s="3">
        <v>580000</v>
      </c>
      <c r="AI12" s="3">
        <v>580000</v>
      </c>
      <c r="AJ12" s="3">
        <v>617000</v>
      </c>
      <c r="AK12" s="3">
        <v>647000</v>
      </c>
      <c r="AL12" s="3">
        <v>679000</v>
      </c>
      <c r="AM12" s="3">
        <v>645000</v>
      </c>
      <c r="AN12" s="3">
        <v>581000</v>
      </c>
      <c r="AO12" s="3">
        <v>507000</v>
      </c>
      <c r="AP12" s="3">
        <v>566000</v>
      </c>
      <c r="AQ12" s="3">
        <v>553000</v>
      </c>
      <c r="AR12" s="3">
        <v>509000</v>
      </c>
      <c r="AS12" s="3">
        <v>554000</v>
      </c>
      <c r="AT12" s="3">
        <v>565000</v>
      </c>
      <c r="AU12" s="3">
        <v>554000</v>
      </c>
      <c r="AV12" s="3">
        <v>534000</v>
      </c>
      <c r="AW12" s="3">
        <v>562000</v>
      </c>
      <c r="AX12" s="3">
        <v>587000</v>
      </c>
      <c r="AY12" s="3">
        <v>630000</v>
      </c>
      <c r="AZ12" s="3">
        <v>611000</v>
      </c>
      <c r="BA12" s="3">
        <v>608000</v>
      </c>
      <c r="BB12" s="3">
        <v>557000</v>
      </c>
      <c r="BC12" s="3">
        <v>595000</v>
      </c>
      <c r="BD12" s="3">
        <v>605000</v>
      </c>
      <c r="BE12" s="3">
        <v>558000</v>
      </c>
      <c r="BF12" s="3">
        <v>544000</v>
      </c>
      <c r="BG12" s="3">
        <v>510000</v>
      </c>
      <c r="BH12" s="3">
        <v>466500</v>
      </c>
    </row>
    <row r="13" spans="1:60" ht="35" customHeight="1">
      <c r="A13" s="2" t="s">
        <v>19</v>
      </c>
      <c r="B13" s="3">
        <v>677000</v>
      </c>
      <c r="C13" s="3">
        <v>696000</v>
      </c>
      <c r="D13" s="3">
        <v>726000</v>
      </c>
      <c r="E13" s="3">
        <v>742000</v>
      </c>
      <c r="F13" s="3">
        <v>756000</v>
      </c>
      <c r="G13" s="3">
        <v>744000</v>
      </c>
      <c r="H13" s="3">
        <v>749000</v>
      </c>
      <c r="I13" s="3">
        <v>738000</v>
      </c>
      <c r="J13" s="3">
        <v>742000</v>
      </c>
      <c r="K13" s="3">
        <v>749000</v>
      </c>
      <c r="L13" s="3">
        <v>756000</v>
      </c>
      <c r="M13" s="3">
        <v>764000</v>
      </c>
      <c r="N13" s="3">
        <v>743000</v>
      </c>
      <c r="O13" s="3">
        <v>740000</v>
      </c>
      <c r="P13" s="3">
        <v>755000</v>
      </c>
      <c r="Q13" s="3">
        <v>767000</v>
      </c>
      <c r="R13" s="3">
        <v>736000</v>
      </c>
      <c r="S13" s="3">
        <v>800000</v>
      </c>
      <c r="T13" s="3">
        <v>841000</v>
      </c>
      <c r="U13" s="3">
        <v>861000</v>
      </c>
      <c r="V13" s="3">
        <v>909000</v>
      </c>
      <c r="W13" s="3">
        <v>830000</v>
      </c>
      <c r="X13" s="3">
        <v>907000</v>
      </c>
      <c r="Y13" s="3">
        <v>900000</v>
      </c>
      <c r="Z13" s="3">
        <v>842000</v>
      </c>
      <c r="AA13" s="3">
        <v>839000</v>
      </c>
      <c r="AB13" s="3">
        <v>887000</v>
      </c>
      <c r="AC13" s="3">
        <v>876000</v>
      </c>
      <c r="AD13" s="3">
        <v>860000</v>
      </c>
      <c r="AE13" s="3">
        <v>888000</v>
      </c>
      <c r="AF13" s="3">
        <v>880000</v>
      </c>
      <c r="AG13" s="3">
        <v>894000</v>
      </c>
      <c r="AH13" s="3">
        <v>949000</v>
      </c>
      <c r="AI13" s="3">
        <v>951000</v>
      </c>
      <c r="AJ13" s="3">
        <v>1005000</v>
      </c>
      <c r="AK13" s="3">
        <v>1018000</v>
      </c>
      <c r="AL13" s="3">
        <v>1099000</v>
      </c>
      <c r="AM13" s="3">
        <v>1061000</v>
      </c>
      <c r="AN13" s="3">
        <v>939000</v>
      </c>
      <c r="AO13" s="3">
        <v>849000</v>
      </c>
      <c r="AP13" s="3">
        <v>941000</v>
      </c>
      <c r="AQ13" s="3">
        <v>924000</v>
      </c>
      <c r="AR13" s="3">
        <v>836000</v>
      </c>
      <c r="AS13" s="3">
        <v>938000</v>
      </c>
      <c r="AT13" s="3">
        <v>955000</v>
      </c>
      <c r="AU13" s="3">
        <v>930000</v>
      </c>
      <c r="AV13" s="3">
        <v>910000</v>
      </c>
      <c r="AW13" s="3">
        <v>974000</v>
      </c>
      <c r="AX13" s="3">
        <v>970000</v>
      </c>
      <c r="AY13" s="3">
        <v>1056000</v>
      </c>
      <c r="AZ13" s="3">
        <v>1013000</v>
      </c>
      <c r="BA13" s="3">
        <v>1007000</v>
      </c>
      <c r="BB13" s="3">
        <v>933000</v>
      </c>
      <c r="BC13" s="3">
        <v>986000</v>
      </c>
      <c r="BD13" s="3">
        <v>995000</v>
      </c>
      <c r="BE13" s="3">
        <v>933000</v>
      </c>
      <c r="BF13" s="3">
        <v>922000</v>
      </c>
      <c r="BG13" s="3">
        <v>873000</v>
      </c>
      <c r="BH13" s="3">
        <v>807000</v>
      </c>
    </row>
    <row r="14" spans="1:60" ht="35" customHeight="1">
      <c r="A14" s="2" t="s">
        <v>61</v>
      </c>
      <c r="B14" s="3">
        <v>1287000</v>
      </c>
      <c r="C14" s="3">
        <v>1307000</v>
      </c>
      <c r="D14" s="3">
        <v>1192000</v>
      </c>
      <c r="E14" s="3">
        <v>1239000</v>
      </c>
      <c r="F14" s="3">
        <v>1203000</v>
      </c>
      <c r="G14" s="3">
        <v>1142000</v>
      </c>
      <c r="H14" s="3">
        <v>1208000</v>
      </c>
      <c r="I14" s="3">
        <v>1330000</v>
      </c>
      <c r="J14" s="3">
        <v>1290000</v>
      </c>
      <c r="K14" s="3">
        <v>1438000</v>
      </c>
      <c r="L14" s="3">
        <v>1585000</v>
      </c>
      <c r="M14" s="3">
        <v>1584000</v>
      </c>
      <c r="N14" s="3">
        <v>1621000</v>
      </c>
      <c r="O14" s="3">
        <v>1657000</v>
      </c>
      <c r="P14" s="3">
        <v>1555000</v>
      </c>
      <c r="Q14" s="3">
        <v>1580000</v>
      </c>
      <c r="R14" s="3">
        <v>1807000</v>
      </c>
      <c r="S14" s="3">
        <v>1831000</v>
      </c>
      <c r="T14" s="3">
        <v>1801000</v>
      </c>
      <c r="U14" s="3">
        <v>1959000</v>
      </c>
      <c r="V14" s="3">
        <v>1884000</v>
      </c>
      <c r="W14" s="3">
        <v>1650000</v>
      </c>
      <c r="X14" s="3">
        <v>1716000</v>
      </c>
      <c r="Y14" s="3">
        <v>1829000</v>
      </c>
      <c r="Z14" s="3">
        <v>1709000</v>
      </c>
      <c r="AA14" s="3">
        <v>1641000</v>
      </c>
      <c r="AB14" s="3">
        <v>1709000</v>
      </c>
      <c r="AC14" s="3">
        <v>1701000</v>
      </c>
      <c r="AD14" s="3">
        <v>1678000</v>
      </c>
      <c r="AE14" s="3">
        <v>1732000</v>
      </c>
      <c r="AF14" s="3">
        <v>1670000</v>
      </c>
      <c r="AG14" s="3">
        <v>1669000</v>
      </c>
      <c r="AH14" s="3">
        <v>1663000</v>
      </c>
      <c r="AI14" s="3">
        <v>1723000</v>
      </c>
      <c r="AJ14" s="3">
        <v>1871000</v>
      </c>
      <c r="AK14" s="3">
        <v>2115000</v>
      </c>
      <c r="AL14" s="3">
        <v>2055000</v>
      </c>
      <c r="AM14" s="3">
        <v>2030000</v>
      </c>
      <c r="AN14" s="3">
        <v>1983000</v>
      </c>
      <c r="AO14" s="3">
        <v>1632000</v>
      </c>
      <c r="AP14" s="3">
        <v>1759000</v>
      </c>
      <c r="AQ14" s="3">
        <v>1752000</v>
      </c>
      <c r="AR14" s="3">
        <v>1596000</v>
      </c>
      <c r="AS14" s="3">
        <v>1625000</v>
      </c>
      <c r="AT14" s="3">
        <v>1666000</v>
      </c>
      <c r="AU14" s="3">
        <v>1674000</v>
      </c>
      <c r="AV14" s="3">
        <v>1628000</v>
      </c>
      <c r="AW14" s="3">
        <v>1600000</v>
      </c>
      <c r="AX14" s="3">
        <v>1612000</v>
      </c>
      <c r="AY14" s="3">
        <v>1695000</v>
      </c>
      <c r="AZ14" s="3">
        <v>1612000</v>
      </c>
      <c r="BA14" s="3">
        <v>1587000</v>
      </c>
      <c r="BB14" s="3">
        <v>1486000</v>
      </c>
      <c r="BC14" s="3">
        <v>1543000</v>
      </c>
      <c r="BD14" s="3">
        <v>1593000</v>
      </c>
      <c r="BE14" s="3">
        <v>1546000</v>
      </c>
      <c r="BF14" s="3">
        <v>1483000</v>
      </c>
      <c r="BG14" s="3">
        <v>1478000</v>
      </c>
      <c r="BH14" s="3">
        <v>1422000</v>
      </c>
    </row>
    <row r="15" spans="1:60" ht="35" customHeight="1">
      <c r="A15" s="2" t="s">
        <v>33</v>
      </c>
      <c r="B15" s="3">
        <v>120600</v>
      </c>
      <c r="C15" s="3">
        <v>122600</v>
      </c>
      <c r="D15" s="3">
        <v>122500</v>
      </c>
      <c r="E15" s="3">
        <v>129300</v>
      </c>
      <c r="F15" s="3">
        <v>124900</v>
      </c>
      <c r="G15" s="3">
        <v>133200</v>
      </c>
      <c r="H15" s="3">
        <v>129300</v>
      </c>
      <c r="I15" s="3">
        <v>136000</v>
      </c>
      <c r="J15" s="3">
        <v>143000</v>
      </c>
      <c r="K15" s="3">
        <v>152500</v>
      </c>
      <c r="L15" s="3">
        <v>151100</v>
      </c>
      <c r="M15" s="3">
        <v>169500</v>
      </c>
      <c r="N15" s="3">
        <v>163900</v>
      </c>
      <c r="O15" s="3">
        <v>172100</v>
      </c>
      <c r="P15" s="3">
        <v>164600</v>
      </c>
      <c r="Q15" s="3">
        <v>159000</v>
      </c>
      <c r="R15" s="3">
        <v>155200</v>
      </c>
      <c r="S15" s="3">
        <v>153500</v>
      </c>
      <c r="T15" s="3">
        <v>149700</v>
      </c>
      <c r="U15" s="3">
        <v>154900</v>
      </c>
      <c r="V15" s="3">
        <v>152600</v>
      </c>
      <c r="W15" s="3">
        <v>150100</v>
      </c>
      <c r="X15" s="3">
        <v>154000</v>
      </c>
      <c r="Y15" s="3">
        <v>156800</v>
      </c>
      <c r="Z15" s="3">
        <v>156200</v>
      </c>
      <c r="AA15" s="3">
        <v>151900</v>
      </c>
      <c r="AB15" s="3">
        <v>153800</v>
      </c>
      <c r="AC15" s="3">
        <v>154700</v>
      </c>
      <c r="AD15" s="3">
        <v>161800</v>
      </c>
      <c r="AE15" s="3">
        <v>166300</v>
      </c>
      <c r="AF15" s="3">
        <v>164100</v>
      </c>
      <c r="AG15" s="3">
        <v>170000</v>
      </c>
      <c r="AH15" s="3">
        <v>171800</v>
      </c>
      <c r="AI15" s="3">
        <v>172700</v>
      </c>
      <c r="AJ15" s="3">
        <v>174000</v>
      </c>
      <c r="AK15" s="3">
        <v>196100</v>
      </c>
      <c r="AL15" s="3">
        <v>206000</v>
      </c>
      <c r="AM15" s="3">
        <v>205500</v>
      </c>
      <c r="AN15" s="3">
        <v>182300</v>
      </c>
      <c r="AO15" s="3">
        <v>156700</v>
      </c>
      <c r="AP15" s="3">
        <v>166400</v>
      </c>
      <c r="AQ15" s="3">
        <v>167000</v>
      </c>
      <c r="AR15" s="3">
        <v>153400</v>
      </c>
      <c r="AS15" s="3">
        <v>161000</v>
      </c>
      <c r="AT15" s="3">
        <v>162000</v>
      </c>
      <c r="AU15" s="3">
        <v>167000</v>
      </c>
      <c r="AV15" s="3">
        <v>164300</v>
      </c>
      <c r="AW15" s="3">
        <v>162000</v>
      </c>
      <c r="AX15" s="3">
        <v>167300</v>
      </c>
      <c r="AY15" s="3">
        <v>175100</v>
      </c>
      <c r="AZ15" s="3">
        <v>170500</v>
      </c>
      <c r="BA15" s="3">
        <v>168500</v>
      </c>
      <c r="BB15" s="3">
        <v>161700</v>
      </c>
      <c r="BC15" s="3">
        <v>157900</v>
      </c>
      <c r="BD15" s="3">
        <v>157900</v>
      </c>
      <c r="BE15" s="3">
        <v>154700</v>
      </c>
      <c r="BF15" s="3">
        <v>155800</v>
      </c>
      <c r="BG15" s="3">
        <v>151500</v>
      </c>
      <c r="BH15" s="3">
        <v>145200</v>
      </c>
    </row>
    <row r="16" spans="1:60" ht="35" customHeight="1">
      <c r="A16" s="2" t="s">
        <v>31</v>
      </c>
      <c r="B16" s="3">
        <v>75200</v>
      </c>
      <c r="C16" s="3">
        <v>83200</v>
      </c>
      <c r="D16" s="3">
        <v>85900</v>
      </c>
      <c r="E16" s="3">
        <v>84000</v>
      </c>
      <c r="F16" s="3">
        <v>83700</v>
      </c>
      <c r="G16" s="3">
        <v>84200</v>
      </c>
      <c r="H16" s="3">
        <v>88100</v>
      </c>
      <c r="I16" s="3">
        <v>87000</v>
      </c>
      <c r="J16" s="3">
        <v>89600</v>
      </c>
      <c r="K16" s="3">
        <v>89500</v>
      </c>
      <c r="L16" s="3">
        <v>95300</v>
      </c>
      <c r="M16" s="3">
        <v>95400</v>
      </c>
      <c r="N16" s="3">
        <v>95300</v>
      </c>
      <c r="O16" s="3">
        <v>91300</v>
      </c>
      <c r="P16" s="3">
        <v>90000</v>
      </c>
      <c r="Q16" s="3">
        <v>93300</v>
      </c>
      <c r="R16" s="3">
        <v>91800</v>
      </c>
      <c r="S16" s="3">
        <v>93600</v>
      </c>
      <c r="T16" s="3">
        <v>92000</v>
      </c>
      <c r="U16" s="3">
        <v>94000</v>
      </c>
      <c r="V16" s="3">
        <v>90600</v>
      </c>
      <c r="W16" s="3">
        <v>86200</v>
      </c>
      <c r="X16" s="3">
        <v>91200</v>
      </c>
      <c r="Y16" s="3">
        <v>96500</v>
      </c>
      <c r="Z16" s="3">
        <v>90600</v>
      </c>
      <c r="AA16" s="3">
        <v>89000</v>
      </c>
      <c r="AB16" s="3">
        <v>95400</v>
      </c>
      <c r="AC16" s="3">
        <v>94100</v>
      </c>
      <c r="AD16" s="3">
        <v>95500</v>
      </c>
      <c r="AE16" s="3">
        <v>95500</v>
      </c>
      <c r="AF16" s="3">
        <v>96700</v>
      </c>
      <c r="AG16" s="3">
        <v>98400</v>
      </c>
      <c r="AH16" s="3">
        <v>103500</v>
      </c>
      <c r="AI16" s="3">
        <v>102000</v>
      </c>
      <c r="AJ16" s="3">
        <v>101300</v>
      </c>
      <c r="AK16" s="3">
        <v>103200</v>
      </c>
      <c r="AL16" s="3">
        <v>103800</v>
      </c>
      <c r="AM16" s="3">
        <v>106300</v>
      </c>
      <c r="AN16" s="3">
        <v>96900</v>
      </c>
      <c r="AO16" s="3">
        <v>80600</v>
      </c>
      <c r="AP16" s="3">
        <v>90500</v>
      </c>
      <c r="AQ16" s="3">
        <v>98000</v>
      </c>
      <c r="AR16" s="3">
        <v>96200</v>
      </c>
      <c r="AS16" s="3">
        <v>102500</v>
      </c>
      <c r="AT16" s="3">
        <v>101000</v>
      </c>
      <c r="AU16" s="3">
        <v>103500</v>
      </c>
      <c r="AV16" s="3">
        <v>106500</v>
      </c>
      <c r="AW16" s="3">
        <v>105700</v>
      </c>
      <c r="AX16" s="3">
        <v>104400</v>
      </c>
      <c r="AY16" s="3">
        <v>107300</v>
      </c>
      <c r="AZ16" s="3">
        <v>106300</v>
      </c>
      <c r="BA16" s="3">
        <v>109600</v>
      </c>
      <c r="BB16" s="3">
        <v>100700</v>
      </c>
      <c r="BC16" s="3">
        <v>100100</v>
      </c>
      <c r="BD16" s="3">
        <v>102600</v>
      </c>
      <c r="BE16" s="3">
        <v>100900</v>
      </c>
      <c r="BF16" s="3">
        <v>98100</v>
      </c>
      <c r="BG16" s="3">
        <v>94200</v>
      </c>
      <c r="BH16" s="3">
        <v>91800</v>
      </c>
    </row>
    <row r="17" spans="1:60" ht="35" customHeight="1">
      <c r="A17" s="2" t="s">
        <v>53</v>
      </c>
      <c r="B17" s="3">
        <v>24650</v>
      </c>
      <c r="C17" s="3">
        <v>25500</v>
      </c>
      <c r="D17" s="3">
        <v>28700</v>
      </c>
      <c r="E17" s="3">
        <v>28000</v>
      </c>
      <c r="F17" s="3">
        <v>27650</v>
      </c>
      <c r="G17" s="3">
        <v>27100</v>
      </c>
      <c r="H17" s="3">
        <v>28650</v>
      </c>
      <c r="I17" s="3">
        <v>28450</v>
      </c>
      <c r="J17" s="3">
        <v>29500</v>
      </c>
      <c r="K17" s="3">
        <v>30750</v>
      </c>
      <c r="L17" s="3">
        <v>31200</v>
      </c>
      <c r="M17" s="3">
        <v>31950</v>
      </c>
      <c r="N17" s="3">
        <v>30700</v>
      </c>
      <c r="O17" s="3">
        <v>29750</v>
      </c>
      <c r="P17" s="3">
        <v>29850</v>
      </c>
      <c r="Q17" s="3">
        <v>34800</v>
      </c>
      <c r="R17" s="3">
        <v>33300</v>
      </c>
      <c r="S17" s="3">
        <v>34800</v>
      </c>
      <c r="T17" s="3">
        <v>34800</v>
      </c>
      <c r="U17" s="3">
        <v>40850</v>
      </c>
      <c r="V17" s="3">
        <v>42750</v>
      </c>
      <c r="W17" s="3">
        <v>40050</v>
      </c>
      <c r="X17" s="3">
        <v>49950</v>
      </c>
      <c r="Y17" s="3">
        <v>51200</v>
      </c>
      <c r="Z17" s="3">
        <v>49600</v>
      </c>
      <c r="AA17" s="3">
        <v>48000</v>
      </c>
      <c r="AB17" s="3">
        <v>53400</v>
      </c>
      <c r="AC17" s="3">
        <v>51900</v>
      </c>
      <c r="AD17" s="3">
        <v>51300</v>
      </c>
      <c r="AE17" s="3">
        <v>53400</v>
      </c>
      <c r="AF17" s="3">
        <v>61600</v>
      </c>
      <c r="AG17" s="3">
        <v>70500</v>
      </c>
      <c r="AH17" s="3">
        <v>70900</v>
      </c>
      <c r="AI17" s="3">
        <v>68300</v>
      </c>
      <c r="AJ17" s="3">
        <v>67100</v>
      </c>
      <c r="AK17" s="3">
        <v>72900</v>
      </c>
      <c r="AL17" s="3">
        <v>73600</v>
      </c>
      <c r="AM17" s="3">
        <v>72000</v>
      </c>
      <c r="AN17" s="3">
        <v>66600</v>
      </c>
      <c r="AO17" s="3">
        <v>56500</v>
      </c>
      <c r="AP17" s="3">
        <v>65200</v>
      </c>
      <c r="AQ17" s="3">
        <v>67100</v>
      </c>
      <c r="AR17" s="3">
        <v>64200</v>
      </c>
      <c r="AS17" s="3">
        <v>64600</v>
      </c>
      <c r="AT17" s="3">
        <v>71400</v>
      </c>
      <c r="AU17" s="3">
        <v>70400</v>
      </c>
      <c r="AV17" s="3">
        <v>69500</v>
      </c>
      <c r="AW17" s="3">
        <v>70900</v>
      </c>
      <c r="AX17" s="3">
        <v>69100</v>
      </c>
      <c r="AY17" s="3">
        <v>69900</v>
      </c>
      <c r="AZ17" s="3">
        <v>66700</v>
      </c>
      <c r="BA17" s="3">
        <v>67700</v>
      </c>
      <c r="BB17" s="3">
        <v>61900</v>
      </c>
      <c r="BC17" s="3">
        <v>61100</v>
      </c>
      <c r="BD17" s="3">
        <v>67300</v>
      </c>
      <c r="BE17" s="3">
        <v>65300</v>
      </c>
      <c r="BF17" s="3">
        <v>67100</v>
      </c>
      <c r="BG17" s="3">
        <v>62700</v>
      </c>
      <c r="BH17" s="3">
        <v>61600</v>
      </c>
    </row>
    <row r="18" spans="1:60" ht="35" customHeight="1">
      <c r="A18" s="2" t="s">
        <v>49</v>
      </c>
      <c r="B18" s="3">
        <v>262500</v>
      </c>
      <c r="C18" s="3">
        <v>275000</v>
      </c>
      <c r="D18" s="3">
        <v>277000</v>
      </c>
      <c r="E18" s="3">
        <v>270500</v>
      </c>
      <c r="F18" s="3">
        <v>271000</v>
      </c>
      <c r="G18" s="3">
        <v>267500</v>
      </c>
      <c r="H18" s="3">
        <v>278000</v>
      </c>
      <c r="I18" s="3">
        <v>300000</v>
      </c>
      <c r="J18" s="3">
        <v>285500</v>
      </c>
      <c r="K18" s="3">
        <v>291500</v>
      </c>
      <c r="L18" s="3">
        <v>289000</v>
      </c>
      <c r="M18" s="3">
        <v>314000</v>
      </c>
      <c r="N18" s="3">
        <v>326000</v>
      </c>
      <c r="O18" s="3">
        <v>324000</v>
      </c>
      <c r="P18" s="3">
        <v>384500</v>
      </c>
      <c r="Q18" s="3">
        <v>373000</v>
      </c>
      <c r="R18" s="3">
        <v>387000</v>
      </c>
      <c r="S18" s="3">
        <v>387500</v>
      </c>
      <c r="T18" s="3">
        <v>396500</v>
      </c>
      <c r="U18" s="3">
        <v>388000</v>
      </c>
      <c r="V18" s="3">
        <v>390000</v>
      </c>
      <c r="W18" s="3">
        <v>356000</v>
      </c>
      <c r="X18" s="3">
        <v>374500</v>
      </c>
      <c r="Y18" s="3">
        <v>391500</v>
      </c>
      <c r="Z18" s="3">
        <v>385500</v>
      </c>
      <c r="AA18" s="3">
        <v>370000</v>
      </c>
      <c r="AB18" s="3">
        <v>380000</v>
      </c>
      <c r="AC18" s="3">
        <v>381000</v>
      </c>
      <c r="AD18" s="3">
        <v>377000</v>
      </c>
      <c r="AE18" s="3">
        <v>385500</v>
      </c>
      <c r="AF18" s="3">
        <v>374500</v>
      </c>
      <c r="AG18" s="3">
        <v>408000</v>
      </c>
      <c r="AH18" s="3">
        <v>402000</v>
      </c>
      <c r="AI18" s="3">
        <v>391500</v>
      </c>
      <c r="AJ18" s="3">
        <v>421500</v>
      </c>
      <c r="AK18" s="3">
        <v>433000</v>
      </c>
      <c r="AL18" s="3">
        <v>449000</v>
      </c>
      <c r="AM18" s="3">
        <v>466000</v>
      </c>
      <c r="AN18" s="3">
        <v>408000</v>
      </c>
      <c r="AO18" s="3">
        <v>351000</v>
      </c>
      <c r="AP18" s="3">
        <v>392500</v>
      </c>
      <c r="AQ18" s="3">
        <v>410500</v>
      </c>
      <c r="AR18" s="3">
        <v>389000</v>
      </c>
      <c r="AS18" s="3">
        <v>403500</v>
      </c>
      <c r="AT18" s="3">
        <v>400000</v>
      </c>
      <c r="AU18" s="3">
        <v>400000</v>
      </c>
      <c r="AV18" s="3">
        <v>388000</v>
      </c>
      <c r="AW18" s="3">
        <v>383000</v>
      </c>
      <c r="AX18" s="3">
        <v>389000</v>
      </c>
      <c r="AY18" s="3">
        <v>405000</v>
      </c>
      <c r="AZ18" s="3">
        <v>402500</v>
      </c>
      <c r="BA18" s="3">
        <v>400500</v>
      </c>
      <c r="BB18" s="3">
        <v>376500</v>
      </c>
      <c r="BC18" s="3">
        <v>397500</v>
      </c>
      <c r="BD18" s="3">
        <v>404000</v>
      </c>
      <c r="BE18" s="3">
        <v>396500</v>
      </c>
      <c r="BF18" s="3">
        <v>405500</v>
      </c>
      <c r="BG18" s="3">
        <v>412500</v>
      </c>
      <c r="BH18" s="3">
        <v>408000</v>
      </c>
    </row>
    <row r="19" spans="1:60" ht="35" customHeight="1">
      <c r="A19" s="2" t="s">
        <v>45</v>
      </c>
      <c r="B19" s="3">
        <v>245000</v>
      </c>
      <c r="C19" s="3">
        <v>254500</v>
      </c>
      <c r="D19" s="3">
        <v>260000</v>
      </c>
      <c r="E19" s="3">
        <v>265000</v>
      </c>
      <c r="F19" s="3">
        <v>270500</v>
      </c>
      <c r="G19" s="3">
        <v>268500</v>
      </c>
      <c r="H19" s="3">
        <v>267500</v>
      </c>
      <c r="I19" s="3">
        <v>273500</v>
      </c>
      <c r="J19" s="3">
        <v>283500</v>
      </c>
      <c r="K19" s="3">
        <v>286000</v>
      </c>
      <c r="L19" s="3">
        <v>290000</v>
      </c>
      <c r="M19" s="3">
        <v>289000</v>
      </c>
      <c r="N19" s="3">
        <v>296000</v>
      </c>
      <c r="O19" s="3">
        <v>299000</v>
      </c>
      <c r="P19" s="3">
        <v>297500</v>
      </c>
      <c r="Q19" s="3">
        <v>305500</v>
      </c>
      <c r="R19" s="3">
        <v>297500</v>
      </c>
      <c r="S19" s="3">
        <v>298000</v>
      </c>
      <c r="T19" s="3">
        <v>302000</v>
      </c>
      <c r="U19" s="3">
        <v>303000</v>
      </c>
      <c r="V19" s="3">
        <v>301500</v>
      </c>
      <c r="W19" s="3">
        <v>291000</v>
      </c>
      <c r="X19" s="3">
        <v>315000</v>
      </c>
      <c r="Y19" s="3">
        <v>316500</v>
      </c>
      <c r="Z19" s="3">
        <v>306000</v>
      </c>
      <c r="AA19" s="3">
        <v>289500</v>
      </c>
      <c r="AB19" s="3">
        <v>312500</v>
      </c>
      <c r="AC19" s="3">
        <v>317000</v>
      </c>
      <c r="AD19" s="3">
        <v>316500</v>
      </c>
      <c r="AE19" s="3">
        <v>334000</v>
      </c>
      <c r="AF19" s="3">
        <v>318000</v>
      </c>
      <c r="AG19" s="3">
        <v>319500</v>
      </c>
      <c r="AH19" s="3">
        <v>331000</v>
      </c>
      <c r="AI19" s="3">
        <v>332000</v>
      </c>
      <c r="AJ19" s="3">
        <v>338000</v>
      </c>
      <c r="AK19" s="3">
        <v>347000</v>
      </c>
      <c r="AL19" s="3">
        <v>360000</v>
      </c>
      <c r="AM19" s="3">
        <v>350500</v>
      </c>
      <c r="AN19" s="3">
        <v>317000</v>
      </c>
      <c r="AO19" s="3">
        <v>272000</v>
      </c>
      <c r="AP19" s="3">
        <v>293000</v>
      </c>
      <c r="AQ19" s="3">
        <v>283500</v>
      </c>
      <c r="AR19" s="3">
        <v>270500</v>
      </c>
      <c r="AS19" s="3">
        <v>273000</v>
      </c>
      <c r="AT19" s="3">
        <v>283500</v>
      </c>
      <c r="AU19" s="3">
        <v>280500</v>
      </c>
      <c r="AV19" s="3">
        <v>280500</v>
      </c>
      <c r="AW19" s="3">
        <v>278500</v>
      </c>
      <c r="AX19" s="3">
        <v>279500</v>
      </c>
      <c r="AY19" s="3">
        <v>299000</v>
      </c>
      <c r="AZ19" s="3">
        <v>291000</v>
      </c>
      <c r="BA19" s="3">
        <v>297500</v>
      </c>
      <c r="BB19" s="3">
        <v>274500</v>
      </c>
      <c r="BC19" s="3">
        <v>281500</v>
      </c>
      <c r="BD19" s="3">
        <v>289000</v>
      </c>
      <c r="BE19" s="3">
        <v>278000</v>
      </c>
      <c r="BF19" s="3">
        <v>269000</v>
      </c>
      <c r="BG19" s="3">
        <v>259500</v>
      </c>
      <c r="BH19" s="3">
        <v>253500</v>
      </c>
    </row>
    <row r="20" spans="1:60" ht="35" customHeight="1">
      <c r="A20" s="2" t="s">
        <v>27</v>
      </c>
      <c r="B20" s="3">
        <v>1683000</v>
      </c>
      <c r="C20" s="3">
        <v>1713000</v>
      </c>
      <c r="D20" s="3">
        <v>1721000</v>
      </c>
      <c r="E20" s="3">
        <v>1767000</v>
      </c>
      <c r="F20" s="3">
        <v>1885000</v>
      </c>
      <c r="G20" s="3">
        <v>1878000</v>
      </c>
      <c r="H20" s="3">
        <v>1859000</v>
      </c>
      <c r="I20" s="3">
        <v>1908000</v>
      </c>
      <c r="J20" s="3">
        <v>1927000</v>
      </c>
      <c r="K20" s="3">
        <v>1965000</v>
      </c>
      <c r="L20" s="3">
        <v>1947000</v>
      </c>
      <c r="M20" s="3">
        <v>1921000</v>
      </c>
      <c r="N20" s="3">
        <v>1920000</v>
      </c>
      <c r="O20" s="3">
        <v>1873000</v>
      </c>
      <c r="P20" s="3">
        <v>1778000</v>
      </c>
      <c r="Q20" s="3">
        <v>1802000</v>
      </c>
      <c r="R20" s="3">
        <v>1807000</v>
      </c>
      <c r="S20" s="3">
        <v>1790000</v>
      </c>
      <c r="T20" s="3">
        <v>1791000</v>
      </c>
      <c r="U20" s="3">
        <v>1776000</v>
      </c>
      <c r="V20" s="3">
        <v>1745000</v>
      </c>
      <c r="W20" s="3">
        <v>1711000</v>
      </c>
      <c r="X20" s="3">
        <v>1749000</v>
      </c>
      <c r="Y20" s="3">
        <v>1759000</v>
      </c>
      <c r="Z20" s="3">
        <v>1700000</v>
      </c>
      <c r="AA20" s="3">
        <v>1668000</v>
      </c>
      <c r="AB20" s="3">
        <v>1694000</v>
      </c>
      <c r="AC20" s="3">
        <v>1710000</v>
      </c>
      <c r="AD20" s="3">
        <v>1712000</v>
      </c>
      <c r="AE20" s="3">
        <v>1719000</v>
      </c>
      <c r="AF20" s="3">
        <v>1710000</v>
      </c>
      <c r="AG20" s="3">
        <v>1720000</v>
      </c>
      <c r="AH20" s="3">
        <v>1736000</v>
      </c>
      <c r="AI20" s="3">
        <v>1717000</v>
      </c>
      <c r="AJ20" s="3">
        <v>1723000</v>
      </c>
      <c r="AK20" s="3">
        <v>1728000</v>
      </c>
      <c r="AL20" s="3">
        <v>1766000</v>
      </c>
      <c r="AM20" s="3">
        <v>1778000</v>
      </c>
      <c r="AN20" s="3">
        <v>1681000</v>
      </c>
      <c r="AO20" s="3">
        <v>1516000</v>
      </c>
      <c r="AP20" s="3">
        <v>1647000</v>
      </c>
      <c r="AQ20" s="3">
        <v>1644000</v>
      </c>
      <c r="AR20" s="3">
        <v>1579000</v>
      </c>
      <c r="AS20" s="3">
        <v>1592000</v>
      </c>
      <c r="AT20" s="3">
        <v>1657000</v>
      </c>
      <c r="AU20" s="3">
        <v>1625000</v>
      </c>
      <c r="AV20" s="3">
        <v>1592000</v>
      </c>
      <c r="AW20" s="3">
        <v>1568000</v>
      </c>
      <c r="AX20" s="3">
        <v>1587000</v>
      </c>
      <c r="AY20" s="3">
        <v>1626000</v>
      </c>
      <c r="AZ20" s="3">
        <v>1585000</v>
      </c>
      <c r="BA20" s="3">
        <v>1601000</v>
      </c>
      <c r="BB20" s="3">
        <v>1523000</v>
      </c>
      <c r="BC20" s="3">
        <v>1547000</v>
      </c>
      <c r="BD20" s="3">
        <v>1585000</v>
      </c>
      <c r="BE20" s="3">
        <v>1585000</v>
      </c>
      <c r="BF20" s="3">
        <v>1606000</v>
      </c>
      <c r="BG20" s="3">
        <v>1530000</v>
      </c>
      <c r="BH20" s="3">
        <v>1504000</v>
      </c>
    </row>
    <row r="21" spans="1:60" ht="35" customHeight="1">
      <c r="A21" s="2" t="s">
        <v>41</v>
      </c>
      <c r="B21" s="3">
        <v>156300</v>
      </c>
      <c r="C21" s="3">
        <v>164100</v>
      </c>
      <c r="D21" s="3">
        <v>165400</v>
      </c>
      <c r="E21" s="3">
        <v>162000</v>
      </c>
      <c r="F21" s="3">
        <v>159200</v>
      </c>
      <c r="G21" s="3">
        <v>159500</v>
      </c>
      <c r="H21" s="3">
        <v>158100</v>
      </c>
      <c r="I21" s="3">
        <v>159100</v>
      </c>
      <c r="J21" s="3">
        <v>161900</v>
      </c>
      <c r="K21" s="3">
        <v>161200</v>
      </c>
      <c r="L21" s="3">
        <v>170600</v>
      </c>
      <c r="M21" s="3">
        <v>167000</v>
      </c>
      <c r="N21" s="3">
        <v>175200</v>
      </c>
      <c r="O21" s="3">
        <v>174700</v>
      </c>
      <c r="P21" s="3">
        <v>178800</v>
      </c>
      <c r="Q21" s="3">
        <v>185100</v>
      </c>
      <c r="R21" s="3">
        <v>182200</v>
      </c>
      <c r="S21" s="3">
        <v>187100</v>
      </c>
      <c r="T21" s="3">
        <v>192200</v>
      </c>
      <c r="U21" s="3">
        <v>192000</v>
      </c>
      <c r="V21" s="3">
        <v>188300</v>
      </c>
      <c r="W21" s="3">
        <v>179000</v>
      </c>
      <c r="X21" s="3">
        <v>186300</v>
      </c>
      <c r="Y21" s="3">
        <v>197500</v>
      </c>
      <c r="Z21" s="3">
        <v>191700</v>
      </c>
      <c r="AA21" s="3">
        <v>184300</v>
      </c>
      <c r="AB21" s="3">
        <v>193000</v>
      </c>
      <c r="AC21" s="3">
        <v>197700</v>
      </c>
      <c r="AD21" s="3">
        <v>200000</v>
      </c>
      <c r="AE21" s="3">
        <v>205000</v>
      </c>
      <c r="AF21" s="3">
        <v>205500</v>
      </c>
      <c r="AG21" s="3">
        <v>209000</v>
      </c>
      <c r="AH21" s="3">
        <v>219000</v>
      </c>
      <c r="AI21" s="3">
        <v>232000</v>
      </c>
      <c r="AJ21" s="3">
        <v>224000</v>
      </c>
      <c r="AK21" s="3">
        <v>246000</v>
      </c>
      <c r="AL21" s="3">
        <v>239000</v>
      </c>
      <c r="AM21" s="3">
        <v>230000</v>
      </c>
      <c r="AN21" s="3">
        <v>221500</v>
      </c>
      <c r="AO21" s="3">
        <v>197500</v>
      </c>
      <c r="AP21" s="3">
        <v>214000</v>
      </c>
      <c r="AQ21" s="3">
        <v>210000</v>
      </c>
      <c r="AR21" s="3">
        <v>200500</v>
      </c>
      <c r="AS21" s="3">
        <v>211500</v>
      </c>
      <c r="AT21" s="3">
        <v>226500</v>
      </c>
      <c r="AU21" s="3">
        <v>218500</v>
      </c>
      <c r="AV21" s="3">
        <v>216000</v>
      </c>
      <c r="AW21" s="3">
        <v>212000</v>
      </c>
      <c r="AX21" s="3">
        <v>217000</v>
      </c>
      <c r="AY21" s="3">
        <v>235000</v>
      </c>
      <c r="AZ21" s="3">
        <v>230500</v>
      </c>
      <c r="BA21" s="3">
        <v>231500</v>
      </c>
      <c r="BB21" s="3">
        <v>217500</v>
      </c>
      <c r="BC21" s="3">
        <v>222000</v>
      </c>
      <c r="BD21" s="3">
        <v>227500</v>
      </c>
      <c r="BE21" s="3">
        <v>222000</v>
      </c>
      <c r="BF21" s="3">
        <v>223000</v>
      </c>
      <c r="BG21" s="3">
        <v>219500</v>
      </c>
      <c r="BH21" s="3">
        <v>210500</v>
      </c>
    </row>
    <row r="22" spans="1:60" ht="35" customHeight="1">
      <c r="A22" s="2" t="s">
        <v>55</v>
      </c>
      <c r="B22" s="3">
        <v>270000</v>
      </c>
      <c r="C22" s="3">
        <v>270000</v>
      </c>
      <c r="D22" s="3">
        <v>268000</v>
      </c>
      <c r="E22" s="3">
        <v>267500</v>
      </c>
      <c r="F22" s="3">
        <v>272000</v>
      </c>
      <c r="G22" s="3">
        <v>266000</v>
      </c>
      <c r="H22" s="3">
        <v>279000</v>
      </c>
      <c r="I22" s="3">
        <v>289000</v>
      </c>
      <c r="J22" s="3">
        <v>284500</v>
      </c>
      <c r="K22" s="3">
        <v>289500</v>
      </c>
      <c r="L22" s="3">
        <v>289500</v>
      </c>
      <c r="M22" s="3">
        <v>292000</v>
      </c>
      <c r="N22" s="3">
        <v>282000</v>
      </c>
      <c r="O22" s="3">
        <v>280000</v>
      </c>
      <c r="P22" s="3">
        <v>283000</v>
      </c>
      <c r="Q22" s="3">
        <v>272000</v>
      </c>
      <c r="R22" s="3">
        <v>275000</v>
      </c>
      <c r="S22" s="3">
        <v>277000</v>
      </c>
      <c r="T22" s="3">
        <v>280000</v>
      </c>
      <c r="U22" s="3">
        <v>279500</v>
      </c>
      <c r="V22" s="3">
        <v>279000</v>
      </c>
      <c r="W22" s="3">
        <v>283000</v>
      </c>
      <c r="X22" s="3">
        <v>307500</v>
      </c>
      <c r="Y22" s="3">
        <v>305000</v>
      </c>
      <c r="Z22" s="3">
        <v>290000</v>
      </c>
      <c r="AA22" s="3">
        <v>284000</v>
      </c>
      <c r="AB22" s="3">
        <v>304000</v>
      </c>
      <c r="AC22" s="3">
        <v>313500</v>
      </c>
      <c r="AD22" s="3">
        <v>309500</v>
      </c>
      <c r="AE22" s="3">
        <v>319500</v>
      </c>
      <c r="AF22" s="3">
        <v>309500</v>
      </c>
      <c r="AG22" s="3">
        <v>358000</v>
      </c>
      <c r="AH22" s="3">
        <v>377000</v>
      </c>
      <c r="AI22" s="3">
        <v>426500</v>
      </c>
      <c r="AJ22" s="3">
        <v>446000</v>
      </c>
      <c r="AK22" s="3">
        <v>465000</v>
      </c>
      <c r="AL22" s="3">
        <v>466500</v>
      </c>
      <c r="AM22" s="3">
        <v>448500</v>
      </c>
      <c r="AN22" s="3">
        <v>409000</v>
      </c>
      <c r="AO22" s="3">
        <v>362500</v>
      </c>
      <c r="AP22" s="3">
        <v>401500</v>
      </c>
      <c r="AQ22" s="3">
        <v>404500</v>
      </c>
      <c r="AR22" s="3">
        <v>382000</v>
      </c>
      <c r="AS22" s="3">
        <v>402000</v>
      </c>
      <c r="AT22" s="3">
        <v>406000</v>
      </c>
      <c r="AU22" s="3">
        <v>399500</v>
      </c>
      <c r="AV22" s="3">
        <v>400500</v>
      </c>
      <c r="AW22" s="3">
        <v>413000</v>
      </c>
      <c r="AX22" s="3">
        <v>446500</v>
      </c>
      <c r="AY22" s="3">
        <v>464000</v>
      </c>
      <c r="AZ22" s="3">
        <v>479500</v>
      </c>
      <c r="BA22" s="3">
        <v>464500</v>
      </c>
      <c r="BB22" s="3">
        <v>427500</v>
      </c>
      <c r="BC22" s="3">
        <v>437000</v>
      </c>
      <c r="BD22" s="3">
        <v>454500</v>
      </c>
      <c r="BE22" s="3">
        <v>457000</v>
      </c>
      <c r="BF22" s="3">
        <v>434000</v>
      </c>
      <c r="BG22" s="3">
        <v>429000</v>
      </c>
      <c r="BH22" s="3">
        <v>407500</v>
      </c>
    </row>
    <row r="23" spans="1:60" ht="35" customHeight="1">
      <c r="A23" s="2" t="s">
        <v>16</v>
      </c>
      <c r="B23" s="3">
        <v>128500</v>
      </c>
      <c r="C23" s="3">
        <v>138100</v>
      </c>
      <c r="D23" s="3">
        <v>138900</v>
      </c>
      <c r="E23" s="3">
        <v>141000</v>
      </c>
      <c r="F23" s="3">
        <v>138800</v>
      </c>
      <c r="G23" s="3">
        <v>139000</v>
      </c>
      <c r="H23" s="3">
        <v>138800</v>
      </c>
      <c r="I23" s="3">
        <v>137600</v>
      </c>
      <c r="J23" s="3">
        <v>140300</v>
      </c>
      <c r="K23" s="3">
        <v>143900</v>
      </c>
      <c r="L23" s="3">
        <v>148900</v>
      </c>
      <c r="M23" s="3">
        <v>149300</v>
      </c>
      <c r="N23" s="3">
        <v>145200</v>
      </c>
      <c r="O23" s="3">
        <v>149500</v>
      </c>
      <c r="P23" s="3">
        <v>152300</v>
      </c>
      <c r="Q23" s="3">
        <v>152100</v>
      </c>
      <c r="R23" s="3">
        <v>152100</v>
      </c>
      <c r="S23" s="3">
        <v>159500</v>
      </c>
      <c r="T23" s="3">
        <v>162400</v>
      </c>
      <c r="U23" s="3">
        <v>160700</v>
      </c>
      <c r="V23" s="3">
        <v>160500</v>
      </c>
      <c r="W23" s="3">
        <v>150400</v>
      </c>
      <c r="X23" s="3">
        <v>167500</v>
      </c>
      <c r="Y23" s="3">
        <v>169100</v>
      </c>
      <c r="Z23" s="3">
        <v>159300</v>
      </c>
      <c r="AA23" s="3">
        <v>158600</v>
      </c>
      <c r="AB23" s="3">
        <v>166400</v>
      </c>
      <c r="AC23" s="3">
        <v>165800</v>
      </c>
      <c r="AD23" s="3">
        <v>167800</v>
      </c>
      <c r="AE23" s="3">
        <v>178600</v>
      </c>
      <c r="AF23" s="3">
        <v>181200</v>
      </c>
      <c r="AG23" s="3">
        <v>190000</v>
      </c>
      <c r="AH23" s="3">
        <v>190100</v>
      </c>
      <c r="AI23" s="3">
        <v>193000</v>
      </c>
      <c r="AJ23" s="3">
        <v>200000</v>
      </c>
      <c r="AK23" s="3">
        <v>203500</v>
      </c>
      <c r="AL23" s="3">
        <v>218000</v>
      </c>
      <c r="AM23" s="3">
        <v>216500</v>
      </c>
      <c r="AN23" s="3">
        <v>195100</v>
      </c>
      <c r="AO23" s="3">
        <v>172200</v>
      </c>
      <c r="AP23" s="3">
        <v>191600</v>
      </c>
      <c r="AQ23" s="3">
        <v>188200</v>
      </c>
      <c r="AR23" s="3">
        <v>173500</v>
      </c>
      <c r="AS23" s="3">
        <v>187900</v>
      </c>
      <c r="AT23" s="3">
        <v>190000</v>
      </c>
      <c r="AU23" s="3">
        <v>187900</v>
      </c>
      <c r="AV23" s="3">
        <v>183500</v>
      </c>
      <c r="AW23" s="3">
        <v>188700</v>
      </c>
      <c r="AX23" s="3">
        <v>193900</v>
      </c>
      <c r="AY23" s="3">
        <v>208500</v>
      </c>
      <c r="AZ23" s="3">
        <v>200500</v>
      </c>
      <c r="BA23" s="3">
        <v>199400</v>
      </c>
      <c r="BB23" s="3">
        <v>186300</v>
      </c>
      <c r="BC23" s="3">
        <v>189700</v>
      </c>
      <c r="BD23" s="3">
        <v>189000</v>
      </c>
      <c r="BE23" s="3">
        <v>180100</v>
      </c>
      <c r="BF23" s="3">
        <v>179700</v>
      </c>
      <c r="BG23" s="3">
        <v>176300</v>
      </c>
      <c r="BH23" s="3">
        <v>167200</v>
      </c>
    </row>
    <row r="24" spans="1:60" ht="35" customHeight="1">
      <c r="A24" s="2" t="s">
        <v>75</v>
      </c>
      <c r="B24" s="3">
        <v>24150</v>
      </c>
      <c r="C24" s="3">
        <v>24450</v>
      </c>
      <c r="D24" s="3">
        <v>24800</v>
      </c>
      <c r="E24" s="3">
        <v>25350</v>
      </c>
      <c r="F24" s="3">
        <v>26350</v>
      </c>
      <c r="G24" s="3">
        <v>28650</v>
      </c>
      <c r="H24" s="3">
        <v>28150</v>
      </c>
      <c r="I24" s="3">
        <v>28950</v>
      </c>
      <c r="J24" s="3">
        <v>28350</v>
      </c>
      <c r="K24" s="3">
        <v>30150</v>
      </c>
      <c r="L24" s="3">
        <v>29750</v>
      </c>
      <c r="M24" s="3">
        <v>31850</v>
      </c>
      <c r="N24" s="3">
        <v>30850</v>
      </c>
      <c r="O24" s="3">
        <v>30550</v>
      </c>
      <c r="P24" s="3">
        <v>30100</v>
      </c>
      <c r="Q24" s="3">
        <v>30400</v>
      </c>
      <c r="R24" s="3">
        <v>29900</v>
      </c>
      <c r="S24" s="3">
        <v>30300</v>
      </c>
      <c r="T24" s="3">
        <v>30200</v>
      </c>
      <c r="U24" s="3">
        <v>29800</v>
      </c>
      <c r="V24" s="3">
        <v>29450</v>
      </c>
      <c r="W24" s="3">
        <v>27400</v>
      </c>
      <c r="X24" s="3">
        <v>28650</v>
      </c>
      <c r="Y24" s="3">
        <v>29250</v>
      </c>
      <c r="Z24" s="3">
        <v>28100</v>
      </c>
      <c r="AA24" s="3">
        <v>27500</v>
      </c>
      <c r="AB24" s="3">
        <v>27950</v>
      </c>
      <c r="AC24" s="3">
        <v>27850</v>
      </c>
      <c r="AD24" s="3">
        <v>28000</v>
      </c>
      <c r="AE24" s="3">
        <v>28150</v>
      </c>
      <c r="AF24" s="3">
        <v>27700</v>
      </c>
      <c r="AG24" s="3">
        <v>28900</v>
      </c>
      <c r="AH24" s="3">
        <v>29500</v>
      </c>
      <c r="AI24" s="3">
        <v>29250</v>
      </c>
      <c r="AJ24" s="3">
        <v>29000</v>
      </c>
      <c r="AK24" s="3">
        <v>28950</v>
      </c>
      <c r="AL24" s="3">
        <v>28700</v>
      </c>
      <c r="AM24" s="3">
        <v>28950</v>
      </c>
      <c r="AN24" s="3">
        <v>28000</v>
      </c>
      <c r="AO24" s="3">
        <v>23500</v>
      </c>
      <c r="AP24" s="3">
        <v>27200</v>
      </c>
      <c r="AQ24" s="3">
        <v>27600</v>
      </c>
      <c r="AR24" s="3">
        <v>28550</v>
      </c>
      <c r="AS24" s="3">
        <v>27850</v>
      </c>
      <c r="AT24" s="3">
        <v>28800</v>
      </c>
      <c r="AU24" s="3">
        <v>30850</v>
      </c>
      <c r="AV24" s="3">
        <v>30700</v>
      </c>
      <c r="AW24" s="3">
        <v>28750</v>
      </c>
      <c r="AX24" s="3">
        <v>29150</v>
      </c>
      <c r="AY24" s="3">
        <v>29100</v>
      </c>
      <c r="AZ24" s="3">
        <v>28500</v>
      </c>
      <c r="BA24" s="3">
        <v>28550</v>
      </c>
      <c r="BB24" s="3">
        <v>26000</v>
      </c>
      <c r="BC24" s="3">
        <v>26400</v>
      </c>
      <c r="BD24" s="3">
        <v>26850</v>
      </c>
      <c r="BE24" s="3">
        <v>26350</v>
      </c>
      <c r="BF24" s="3">
        <v>26000</v>
      </c>
      <c r="BG24" s="3">
        <v>24500</v>
      </c>
      <c r="BH24" s="3">
        <v>24450</v>
      </c>
    </row>
    <row r="25" spans="1:60" ht="35" customHeight="1">
      <c r="A25" s="2" t="s">
        <v>39</v>
      </c>
      <c r="B25" s="3">
        <v>202500</v>
      </c>
      <c r="C25" s="3">
        <v>209500</v>
      </c>
      <c r="D25" s="3">
        <v>213000</v>
      </c>
      <c r="E25" s="3">
        <v>211000</v>
      </c>
      <c r="F25" s="3">
        <v>213000</v>
      </c>
      <c r="G25" s="3">
        <v>217000</v>
      </c>
      <c r="H25" s="3">
        <v>214000</v>
      </c>
      <c r="I25" s="3">
        <v>221000</v>
      </c>
      <c r="J25" s="3">
        <v>211500</v>
      </c>
      <c r="K25" s="3">
        <v>210500</v>
      </c>
      <c r="L25" s="3">
        <v>209000</v>
      </c>
      <c r="M25" s="3">
        <v>206500</v>
      </c>
      <c r="N25" s="3">
        <v>207000</v>
      </c>
      <c r="O25" s="3">
        <v>204000</v>
      </c>
      <c r="P25" s="3">
        <v>208000</v>
      </c>
      <c r="Q25" s="3">
        <v>212000</v>
      </c>
      <c r="R25" s="3">
        <v>215000</v>
      </c>
      <c r="S25" s="3">
        <v>211500</v>
      </c>
      <c r="T25" s="3">
        <v>218500</v>
      </c>
      <c r="U25" s="3">
        <v>214500</v>
      </c>
      <c r="V25" s="3">
        <v>210000</v>
      </c>
      <c r="W25" s="3">
        <v>203000</v>
      </c>
      <c r="X25" s="3">
        <v>207500</v>
      </c>
      <c r="Y25" s="3">
        <v>214500</v>
      </c>
      <c r="Z25" s="3">
        <v>217500</v>
      </c>
      <c r="AA25" s="3">
        <v>220000</v>
      </c>
      <c r="AB25" s="3">
        <v>230000</v>
      </c>
      <c r="AC25" s="3">
        <v>227500</v>
      </c>
      <c r="AD25" s="3">
        <v>239500</v>
      </c>
      <c r="AE25" s="3">
        <v>238500</v>
      </c>
      <c r="AF25" s="3">
        <v>238000</v>
      </c>
      <c r="AG25" s="3">
        <v>244500</v>
      </c>
      <c r="AH25" s="3">
        <v>242000</v>
      </c>
      <c r="AI25" s="3">
        <v>243000</v>
      </c>
      <c r="AJ25" s="3">
        <v>248500</v>
      </c>
      <c r="AK25" s="3">
        <v>244500</v>
      </c>
      <c r="AL25" s="3">
        <v>242000</v>
      </c>
      <c r="AM25" s="3">
        <v>238500</v>
      </c>
      <c r="AN25" s="3">
        <v>225000</v>
      </c>
      <c r="AO25" s="3">
        <v>197400</v>
      </c>
      <c r="AP25" s="3">
        <v>211500</v>
      </c>
      <c r="AQ25" s="3">
        <v>212500</v>
      </c>
      <c r="AR25" s="3">
        <v>204000</v>
      </c>
      <c r="AS25" s="3">
        <v>206000</v>
      </c>
      <c r="AT25" s="3">
        <v>209000</v>
      </c>
      <c r="AU25" s="3">
        <v>206000</v>
      </c>
      <c r="AV25" s="3">
        <v>205500</v>
      </c>
      <c r="AW25" s="3">
        <v>200000</v>
      </c>
      <c r="AX25" s="3">
        <v>206000</v>
      </c>
      <c r="AY25" s="3">
        <v>209500</v>
      </c>
      <c r="AZ25" s="3">
        <v>202000</v>
      </c>
      <c r="BA25" s="3">
        <v>202000</v>
      </c>
      <c r="BB25" s="3">
        <v>188300</v>
      </c>
      <c r="BC25" s="3">
        <v>199600</v>
      </c>
      <c r="BD25" s="3">
        <v>203500</v>
      </c>
      <c r="BE25" s="3">
        <v>203000</v>
      </c>
      <c r="BF25" s="3">
        <v>206000</v>
      </c>
      <c r="BG25" s="3">
        <v>201500</v>
      </c>
      <c r="BH25" s="3">
        <v>197200</v>
      </c>
    </row>
    <row r="26" spans="1:60" ht="35" customHeight="1">
      <c r="A26" s="2" t="s">
        <v>43</v>
      </c>
      <c r="B26" s="3">
        <v>76600</v>
      </c>
      <c r="C26" s="3">
        <v>79100</v>
      </c>
      <c r="D26" s="3">
        <v>80500</v>
      </c>
      <c r="E26" s="3">
        <v>79000</v>
      </c>
      <c r="F26" s="3">
        <v>77500</v>
      </c>
      <c r="G26" s="3">
        <v>77800</v>
      </c>
      <c r="H26" s="3">
        <v>78200</v>
      </c>
      <c r="I26" s="3">
        <v>78400</v>
      </c>
      <c r="J26" s="3">
        <v>79900</v>
      </c>
      <c r="K26" s="3">
        <v>79400</v>
      </c>
      <c r="L26" s="3">
        <v>79200</v>
      </c>
      <c r="M26" s="3">
        <v>79700</v>
      </c>
      <c r="N26" s="3">
        <v>81900</v>
      </c>
      <c r="O26" s="3">
        <v>81200</v>
      </c>
      <c r="P26" s="3">
        <v>82900</v>
      </c>
      <c r="Q26" s="3">
        <v>83900</v>
      </c>
      <c r="R26" s="3">
        <v>82400</v>
      </c>
      <c r="S26" s="3">
        <v>86100</v>
      </c>
      <c r="T26" s="3">
        <v>83800</v>
      </c>
      <c r="U26" s="3">
        <v>85100</v>
      </c>
      <c r="V26" s="3">
        <v>84300</v>
      </c>
      <c r="W26" s="3">
        <v>82500</v>
      </c>
      <c r="X26" s="3">
        <v>88000</v>
      </c>
      <c r="Y26" s="3">
        <v>90300</v>
      </c>
      <c r="Z26" s="3">
        <v>90900</v>
      </c>
      <c r="AA26" s="3">
        <v>93600</v>
      </c>
      <c r="AB26" s="3">
        <v>93400</v>
      </c>
      <c r="AC26" s="3">
        <v>97900</v>
      </c>
      <c r="AD26" s="3">
        <v>100900</v>
      </c>
      <c r="AE26" s="3">
        <v>106000</v>
      </c>
      <c r="AF26" s="3">
        <v>102500</v>
      </c>
      <c r="AG26" s="3">
        <v>100300</v>
      </c>
      <c r="AH26" s="3">
        <v>102000</v>
      </c>
      <c r="AI26" s="3">
        <v>101800</v>
      </c>
      <c r="AJ26" s="3">
        <v>100900</v>
      </c>
      <c r="AK26" s="3">
        <v>99500</v>
      </c>
      <c r="AL26" s="3">
        <v>99900</v>
      </c>
      <c r="AM26" s="3">
        <v>96900</v>
      </c>
      <c r="AN26" s="3">
        <v>96700</v>
      </c>
      <c r="AO26" s="3">
        <v>88800</v>
      </c>
      <c r="AP26" s="3">
        <v>92900</v>
      </c>
      <c r="AQ26" s="3">
        <v>91800</v>
      </c>
      <c r="AR26" s="3">
        <v>88500</v>
      </c>
      <c r="AS26" s="3">
        <v>89200</v>
      </c>
      <c r="AT26" s="3">
        <v>91100</v>
      </c>
      <c r="AU26" s="3">
        <v>91900</v>
      </c>
      <c r="AV26" s="3">
        <v>90800</v>
      </c>
      <c r="AW26" s="3">
        <v>90000</v>
      </c>
      <c r="AX26" s="3">
        <v>91200</v>
      </c>
      <c r="AY26" s="3">
        <v>95000</v>
      </c>
      <c r="AZ26" s="3">
        <v>96500</v>
      </c>
      <c r="BA26" s="3">
        <v>97900</v>
      </c>
      <c r="BB26" s="3">
        <v>89900</v>
      </c>
      <c r="BC26" s="3">
        <v>90000</v>
      </c>
      <c r="BD26" s="3">
        <v>92100</v>
      </c>
      <c r="BE26" s="3">
        <v>93400</v>
      </c>
      <c r="BF26" s="3">
        <v>93500</v>
      </c>
      <c r="BG26" s="3">
        <v>90500</v>
      </c>
      <c r="BH26" s="3">
        <v>87700</v>
      </c>
    </row>
    <row r="27" spans="1:60" ht="35" customHeight="1">
      <c r="A27" s="2" t="s">
        <v>63</v>
      </c>
      <c r="B27" s="3">
        <v>93400</v>
      </c>
      <c r="C27" s="3">
        <v>94100</v>
      </c>
      <c r="D27" s="3">
        <v>94900</v>
      </c>
      <c r="E27" s="3">
        <v>93500</v>
      </c>
      <c r="F27" s="3">
        <v>91900</v>
      </c>
      <c r="G27" s="3">
        <v>92900</v>
      </c>
      <c r="H27" s="3">
        <v>94000</v>
      </c>
      <c r="I27" s="3">
        <v>94300</v>
      </c>
      <c r="J27" s="3">
        <v>96100</v>
      </c>
      <c r="K27" s="3">
        <v>96200</v>
      </c>
      <c r="L27" s="3">
        <v>96400</v>
      </c>
      <c r="M27" s="3">
        <v>96200</v>
      </c>
      <c r="N27" s="3">
        <v>100300</v>
      </c>
      <c r="O27" s="3">
        <v>99800</v>
      </c>
      <c r="P27" s="3">
        <v>100500</v>
      </c>
      <c r="Q27" s="3">
        <v>101100</v>
      </c>
      <c r="R27" s="3">
        <v>101200</v>
      </c>
      <c r="S27" s="3">
        <v>105000</v>
      </c>
      <c r="T27" s="3">
        <v>102700</v>
      </c>
      <c r="U27" s="3">
        <v>103600</v>
      </c>
      <c r="V27" s="3">
        <v>100100</v>
      </c>
      <c r="W27" s="3">
        <v>103300</v>
      </c>
      <c r="X27" s="3">
        <v>110200</v>
      </c>
      <c r="Y27" s="3">
        <v>112500</v>
      </c>
      <c r="Z27" s="3">
        <v>114100</v>
      </c>
      <c r="AA27" s="3">
        <v>114600</v>
      </c>
      <c r="AB27" s="3">
        <v>118800</v>
      </c>
      <c r="AC27" s="3">
        <v>122200</v>
      </c>
      <c r="AD27" s="3">
        <v>125800</v>
      </c>
      <c r="AE27" s="3">
        <v>130000</v>
      </c>
      <c r="AF27" s="3">
        <v>127600</v>
      </c>
      <c r="AG27" s="3">
        <v>126300</v>
      </c>
      <c r="AH27" s="3">
        <v>131300</v>
      </c>
      <c r="AI27" s="3">
        <v>129100</v>
      </c>
      <c r="AJ27" s="3">
        <v>126100</v>
      </c>
      <c r="AK27" s="3">
        <v>126000</v>
      </c>
      <c r="AL27" s="3">
        <v>124900</v>
      </c>
      <c r="AM27" s="3">
        <v>121800</v>
      </c>
      <c r="AN27" s="3">
        <v>120100</v>
      </c>
      <c r="AO27" s="3">
        <v>105500</v>
      </c>
      <c r="AP27" s="3">
        <v>111200</v>
      </c>
      <c r="AQ27" s="3">
        <v>110300</v>
      </c>
      <c r="AR27" s="3">
        <v>107900</v>
      </c>
      <c r="AS27" s="3">
        <v>109900</v>
      </c>
      <c r="AT27" s="3">
        <v>113400</v>
      </c>
      <c r="AU27" s="3">
        <v>112500</v>
      </c>
      <c r="AV27" s="3">
        <v>108900</v>
      </c>
      <c r="AW27" s="3">
        <v>108400</v>
      </c>
      <c r="AX27" s="3">
        <v>109900</v>
      </c>
      <c r="AY27" s="3">
        <v>114500</v>
      </c>
      <c r="AZ27" s="3">
        <v>113200</v>
      </c>
      <c r="BA27" s="3">
        <v>113200</v>
      </c>
      <c r="BB27" s="3">
        <v>106000</v>
      </c>
      <c r="BC27" s="3">
        <v>106500</v>
      </c>
      <c r="BD27" s="3">
        <v>108700</v>
      </c>
      <c r="BE27" s="3">
        <v>108800</v>
      </c>
      <c r="BF27" s="3">
        <v>110400</v>
      </c>
      <c r="BG27" s="3">
        <v>107200</v>
      </c>
      <c r="BH27" s="3">
        <v>106600</v>
      </c>
    </row>
    <row r="28" spans="1:60" ht="35" customHeight="1">
      <c r="A28" s="2" t="s">
        <v>69</v>
      </c>
      <c r="B28" s="3">
        <v>46500</v>
      </c>
      <c r="C28" s="3">
        <v>49850</v>
      </c>
      <c r="D28" s="3">
        <v>50500</v>
      </c>
      <c r="E28" s="3">
        <v>49600</v>
      </c>
      <c r="F28" s="3">
        <v>49150</v>
      </c>
      <c r="G28" s="3">
        <v>49400</v>
      </c>
      <c r="H28" s="3">
        <v>51000</v>
      </c>
      <c r="I28" s="3">
        <v>55700</v>
      </c>
      <c r="J28" s="3">
        <v>53600</v>
      </c>
      <c r="K28" s="3">
        <v>53800</v>
      </c>
      <c r="L28" s="3">
        <v>54700</v>
      </c>
      <c r="M28" s="3">
        <v>56300</v>
      </c>
      <c r="N28" s="3">
        <v>65400</v>
      </c>
      <c r="O28" s="3">
        <v>67900</v>
      </c>
      <c r="P28" s="3">
        <v>66000</v>
      </c>
      <c r="Q28" s="3">
        <v>61200</v>
      </c>
      <c r="R28" s="3">
        <v>60400</v>
      </c>
      <c r="S28" s="3">
        <v>60500</v>
      </c>
      <c r="T28" s="3">
        <v>59400</v>
      </c>
      <c r="U28" s="3">
        <v>61000</v>
      </c>
      <c r="V28" s="3">
        <v>58300</v>
      </c>
      <c r="W28" s="3">
        <v>57300</v>
      </c>
      <c r="X28" s="3">
        <v>59500</v>
      </c>
      <c r="Y28" s="3">
        <v>62700</v>
      </c>
      <c r="Z28" s="3">
        <v>61900</v>
      </c>
      <c r="AA28" s="3">
        <v>60700</v>
      </c>
      <c r="AB28" s="3">
        <v>62600</v>
      </c>
      <c r="AC28" s="3">
        <v>60800</v>
      </c>
      <c r="AD28" s="3">
        <v>61000</v>
      </c>
      <c r="AE28" s="3">
        <v>60100</v>
      </c>
      <c r="AF28" s="3">
        <v>59800</v>
      </c>
      <c r="AG28" s="3">
        <v>62100</v>
      </c>
      <c r="AH28" s="3">
        <v>63000</v>
      </c>
      <c r="AI28" s="3">
        <v>62700</v>
      </c>
      <c r="AJ28" s="3">
        <v>62800</v>
      </c>
      <c r="AK28" s="3">
        <v>64300</v>
      </c>
      <c r="AL28" s="3">
        <v>63300</v>
      </c>
      <c r="AM28" s="3">
        <v>58500</v>
      </c>
      <c r="AN28" s="3">
        <v>50900</v>
      </c>
      <c r="AO28" s="3">
        <v>45550</v>
      </c>
      <c r="AP28" s="3">
        <v>48200</v>
      </c>
      <c r="AQ28" s="3">
        <v>48800</v>
      </c>
      <c r="AR28" s="3">
        <v>44800</v>
      </c>
      <c r="AS28" s="3">
        <v>47600</v>
      </c>
      <c r="AT28" s="3">
        <v>47950</v>
      </c>
      <c r="AU28" s="3">
        <v>47600</v>
      </c>
      <c r="AV28" s="3">
        <v>48300</v>
      </c>
      <c r="AW28" s="3">
        <v>46900</v>
      </c>
      <c r="AX28" s="3">
        <v>48200</v>
      </c>
      <c r="AY28" s="3">
        <v>49950</v>
      </c>
      <c r="AZ28" s="3">
        <v>48300</v>
      </c>
      <c r="BA28" s="3">
        <v>49150</v>
      </c>
      <c r="BB28" s="3">
        <v>45600</v>
      </c>
      <c r="BC28" s="3">
        <v>46750</v>
      </c>
      <c r="BD28" s="3">
        <v>46450</v>
      </c>
      <c r="BE28" s="3">
        <v>46000</v>
      </c>
      <c r="BF28" s="3">
        <v>43900</v>
      </c>
      <c r="BG28" s="3">
        <v>42200</v>
      </c>
      <c r="BH28" s="3">
        <v>41650</v>
      </c>
    </row>
    <row r="29" spans="1:60" ht="35" customHeight="1">
      <c r="A29" s="2" t="s">
        <v>73</v>
      </c>
      <c r="B29" s="3">
        <v>144500</v>
      </c>
      <c r="C29" s="3">
        <v>167300</v>
      </c>
      <c r="D29" s="3">
        <v>183700</v>
      </c>
      <c r="E29" s="3">
        <v>186500</v>
      </c>
      <c r="F29" s="3">
        <v>185700</v>
      </c>
      <c r="G29" s="3">
        <v>176300</v>
      </c>
      <c r="H29" s="3">
        <v>167600</v>
      </c>
      <c r="I29" s="3">
        <v>173200</v>
      </c>
      <c r="J29" s="3">
        <v>177800</v>
      </c>
      <c r="K29" s="3">
        <v>180000</v>
      </c>
      <c r="L29" s="3">
        <v>178500</v>
      </c>
      <c r="M29" s="3">
        <v>177500</v>
      </c>
      <c r="N29" s="3">
        <v>172100</v>
      </c>
      <c r="O29" s="3">
        <v>172200</v>
      </c>
      <c r="P29" s="3">
        <v>170400</v>
      </c>
      <c r="Q29" s="3">
        <v>171100</v>
      </c>
      <c r="R29" s="3">
        <v>169500</v>
      </c>
      <c r="S29" s="3">
        <v>174800</v>
      </c>
      <c r="T29" s="3">
        <v>182000</v>
      </c>
      <c r="U29" s="3">
        <v>203500</v>
      </c>
      <c r="V29" s="3">
        <v>211000</v>
      </c>
      <c r="W29" s="3">
        <v>187100</v>
      </c>
      <c r="X29" s="3">
        <v>199300</v>
      </c>
      <c r="Y29" s="3">
        <v>202500</v>
      </c>
      <c r="Z29" s="3">
        <v>193500</v>
      </c>
      <c r="AA29" s="3">
        <v>196000</v>
      </c>
      <c r="AB29" s="3">
        <v>197800</v>
      </c>
      <c r="AC29" s="3">
        <v>194900</v>
      </c>
      <c r="AD29" s="3">
        <v>190500</v>
      </c>
      <c r="AE29" s="3">
        <v>209500</v>
      </c>
      <c r="AF29" s="3">
        <v>202500</v>
      </c>
      <c r="AG29" s="3">
        <v>201500</v>
      </c>
      <c r="AH29" s="3">
        <v>200500</v>
      </c>
      <c r="AI29" s="3">
        <v>204000</v>
      </c>
      <c r="AJ29" s="3">
        <v>210000</v>
      </c>
      <c r="AK29" s="3">
        <v>214500</v>
      </c>
      <c r="AL29" s="3">
        <v>275500</v>
      </c>
      <c r="AM29" s="3">
        <v>323500</v>
      </c>
      <c r="AN29" s="3">
        <v>282000</v>
      </c>
      <c r="AO29" s="3">
        <v>259000</v>
      </c>
      <c r="AP29" s="3">
        <v>315000</v>
      </c>
      <c r="AQ29" s="3">
        <v>333500</v>
      </c>
      <c r="AR29" s="3">
        <v>305000</v>
      </c>
      <c r="AS29" s="3">
        <v>324000</v>
      </c>
      <c r="AT29" s="3">
        <v>312500</v>
      </c>
      <c r="AU29" s="3">
        <v>317000</v>
      </c>
      <c r="AV29" s="3">
        <v>305500</v>
      </c>
      <c r="AW29" s="3">
        <v>300000</v>
      </c>
      <c r="AX29" s="3">
        <v>301000</v>
      </c>
      <c r="AY29" s="3">
        <v>311000</v>
      </c>
      <c r="AZ29" s="3">
        <v>307000</v>
      </c>
      <c r="BA29" s="3">
        <v>309500</v>
      </c>
      <c r="BB29" s="3">
        <v>297000</v>
      </c>
      <c r="BC29" s="3">
        <v>296500</v>
      </c>
      <c r="BD29" s="3">
        <v>300000</v>
      </c>
      <c r="BE29" s="3">
        <v>278000</v>
      </c>
      <c r="BF29" s="3">
        <v>275500</v>
      </c>
      <c r="BG29" s="3">
        <v>260500</v>
      </c>
      <c r="BH29" s="3">
        <v>251000</v>
      </c>
    </row>
    <row r="30" spans="1:60" ht="35" customHeight="1">
      <c r="A30" s="2" t="s">
        <v>71</v>
      </c>
      <c r="B30" s="3">
        <v>55300</v>
      </c>
      <c r="C30" s="3">
        <v>58000</v>
      </c>
      <c r="D30" s="3">
        <v>60300</v>
      </c>
      <c r="E30" s="3">
        <v>58500</v>
      </c>
      <c r="F30" s="3">
        <v>60300</v>
      </c>
      <c r="G30" s="3">
        <v>76900</v>
      </c>
      <c r="H30" s="3">
        <v>77700</v>
      </c>
      <c r="I30" s="3">
        <v>88700</v>
      </c>
      <c r="J30" s="3">
        <v>88200</v>
      </c>
      <c r="K30" s="3">
        <v>96500</v>
      </c>
      <c r="L30" s="3">
        <v>90900</v>
      </c>
      <c r="M30" s="3">
        <v>90800</v>
      </c>
      <c r="N30" s="3">
        <v>90500</v>
      </c>
      <c r="O30" s="3">
        <v>88800</v>
      </c>
      <c r="P30" s="3">
        <v>88300</v>
      </c>
      <c r="Q30" s="3">
        <v>90400</v>
      </c>
      <c r="R30" s="3">
        <v>88800</v>
      </c>
      <c r="S30" s="3">
        <v>87600</v>
      </c>
      <c r="T30" s="3">
        <v>89000</v>
      </c>
      <c r="U30" s="3">
        <v>92800</v>
      </c>
      <c r="V30" s="3">
        <v>94200</v>
      </c>
      <c r="W30" s="3">
        <v>92900</v>
      </c>
      <c r="X30" s="3">
        <v>119500</v>
      </c>
      <c r="Y30" s="3">
        <v>123000</v>
      </c>
      <c r="Z30" s="3">
        <v>111300</v>
      </c>
      <c r="AA30" s="3">
        <v>103000</v>
      </c>
      <c r="AB30" s="3">
        <v>104400</v>
      </c>
      <c r="AC30" s="3">
        <v>101300</v>
      </c>
      <c r="AD30" s="3">
        <v>101400</v>
      </c>
      <c r="AE30" s="3">
        <v>105800</v>
      </c>
      <c r="AF30" s="3">
        <v>103400</v>
      </c>
      <c r="AG30" s="3">
        <v>106400</v>
      </c>
      <c r="AH30" s="3">
        <v>116500</v>
      </c>
      <c r="AI30" s="3">
        <v>111300</v>
      </c>
      <c r="AJ30" s="3">
        <v>110800</v>
      </c>
      <c r="AK30" s="3">
        <v>111400</v>
      </c>
      <c r="AL30" s="3">
        <v>110600</v>
      </c>
      <c r="AM30" s="3">
        <v>113600</v>
      </c>
      <c r="AN30" s="3">
        <v>146700</v>
      </c>
      <c r="AO30" s="3">
        <v>116000</v>
      </c>
      <c r="AP30" s="3">
        <v>150800</v>
      </c>
      <c r="AQ30" s="3">
        <v>158900</v>
      </c>
      <c r="AR30" s="3">
        <v>162700</v>
      </c>
      <c r="AS30" s="3">
        <v>156200</v>
      </c>
      <c r="AT30" s="3">
        <v>147700</v>
      </c>
      <c r="AU30" s="3">
        <v>152300</v>
      </c>
      <c r="AV30" s="3">
        <v>144400</v>
      </c>
      <c r="AW30" s="3">
        <v>140000</v>
      </c>
      <c r="AX30" s="3">
        <v>138900</v>
      </c>
      <c r="AY30" s="3">
        <v>139800</v>
      </c>
      <c r="AZ30" s="3">
        <v>141000</v>
      </c>
      <c r="BA30" s="3">
        <v>136000</v>
      </c>
      <c r="BB30" s="3">
        <v>124000</v>
      </c>
      <c r="BC30" s="3">
        <v>127300</v>
      </c>
      <c r="BD30" s="3">
        <v>136600</v>
      </c>
      <c r="BE30" s="3">
        <v>129700</v>
      </c>
      <c r="BF30" s="3">
        <v>124100</v>
      </c>
      <c r="BG30" s="3">
        <v>120700</v>
      </c>
      <c r="BH30" s="3">
        <v>114100</v>
      </c>
    </row>
    <row r="31" spans="1:60" ht="35" customHeight="1">
      <c r="A31" s="2" t="s">
        <v>25</v>
      </c>
      <c r="B31" s="3">
        <v>946000</v>
      </c>
      <c r="C31" s="3">
        <v>1012000</v>
      </c>
      <c r="D31" s="3">
        <v>1022000</v>
      </c>
      <c r="E31" s="3">
        <v>1010000</v>
      </c>
      <c r="F31" s="3">
        <v>1090000</v>
      </c>
      <c r="G31" s="3">
        <v>1214000</v>
      </c>
      <c r="H31" s="3">
        <v>1212000</v>
      </c>
      <c r="I31" s="3">
        <v>1282000</v>
      </c>
      <c r="J31" s="3">
        <v>1269000</v>
      </c>
      <c r="K31" s="3">
        <v>1294000</v>
      </c>
      <c r="L31" s="3">
        <v>1299000</v>
      </c>
      <c r="M31" s="3">
        <v>1330000</v>
      </c>
      <c r="N31" s="3">
        <v>1309000</v>
      </c>
      <c r="O31" s="3">
        <v>1315000</v>
      </c>
      <c r="P31" s="3">
        <v>1289000</v>
      </c>
      <c r="Q31" s="3">
        <v>1255000</v>
      </c>
      <c r="R31" s="3">
        <v>1262000</v>
      </c>
      <c r="S31" s="3">
        <v>1230000</v>
      </c>
      <c r="T31" s="3">
        <v>1288000</v>
      </c>
      <c r="U31" s="3">
        <v>1300000</v>
      </c>
      <c r="V31" s="3">
        <v>1300000</v>
      </c>
      <c r="W31" s="3">
        <v>1239000</v>
      </c>
      <c r="X31" s="3">
        <v>1299000</v>
      </c>
      <c r="Y31" s="3">
        <v>1324000</v>
      </c>
      <c r="Z31" s="3">
        <v>1227000</v>
      </c>
      <c r="AA31" s="3">
        <v>1181000</v>
      </c>
      <c r="AB31" s="3">
        <v>1193000</v>
      </c>
      <c r="AC31" s="3">
        <v>1146000</v>
      </c>
      <c r="AD31" s="3">
        <v>1130000</v>
      </c>
      <c r="AE31" s="3">
        <v>1131000</v>
      </c>
      <c r="AF31" s="3">
        <v>1105000</v>
      </c>
      <c r="AG31" s="3">
        <v>1149000</v>
      </c>
      <c r="AH31" s="3">
        <v>1242000</v>
      </c>
      <c r="AI31" s="3">
        <v>1236000</v>
      </c>
      <c r="AJ31" s="3">
        <v>1241000</v>
      </c>
      <c r="AK31" s="3">
        <v>1212000</v>
      </c>
      <c r="AL31" s="3">
        <v>1194000</v>
      </c>
      <c r="AM31" s="3">
        <v>1195000</v>
      </c>
      <c r="AN31" s="3">
        <v>1432000</v>
      </c>
      <c r="AO31" s="3">
        <v>1323000</v>
      </c>
      <c r="AP31" s="3">
        <v>1381000</v>
      </c>
      <c r="AQ31" s="3">
        <v>1481000</v>
      </c>
      <c r="AR31" s="3">
        <v>1434000</v>
      </c>
      <c r="AS31" s="3">
        <v>1455000</v>
      </c>
      <c r="AT31" s="3">
        <v>1410000</v>
      </c>
      <c r="AU31" s="3">
        <v>1465000</v>
      </c>
      <c r="AV31" s="3">
        <v>1488000</v>
      </c>
      <c r="AW31" s="3">
        <v>1476000</v>
      </c>
      <c r="AX31" s="3">
        <v>1396000</v>
      </c>
      <c r="AY31" s="3">
        <v>1390000</v>
      </c>
      <c r="AZ31" s="3">
        <v>1375000</v>
      </c>
      <c r="BA31" s="3">
        <v>1320000</v>
      </c>
      <c r="BB31" s="3">
        <v>1278000</v>
      </c>
      <c r="BC31" s="3">
        <v>1335000</v>
      </c>
      <c r="BD31" s="3">
        <v>1400000</v>
      </c>
      <c r="BE31" s="3">
        <v>1369000</v>
      </c>
      <c r="BF31" s="3">
        <v>1335000</v>
      </c>
      <c r="BG31" s="3">
        <v>1308000</v>
      </c>
      <c r="BH31" s="3">
        <v>1249000</v>
      </c>
    </row>
    <row r="32" spans="1:60" ht="35" customHeight="1">
      <c r="A32" s="2" t="s">
        <v>47</v>
      </c>
      <c r="B32" s="3">
        <v>114700</v>
      </c>
      <c r="C32" s="3">
        <v>117900</v>
      </c>
      <c r="D32" s="3">
        <v>119800</v>
      </c>
      <c r="E32" s="3">
        <v>121200</v>
      </c>
      <c r="F32" s="3">
        <v>129700</v>
      </c>
      <c r="G32" s="3">
        <v>134400</v>
      </c>
      <c r="H32" s="3">
        <v>145700</v>
      </c>
      <c r="I32" s="3">
        <v>149900</v>
      </c>
      <c r="J32" s="3">
        <v>142000</v>
      </c>
      <c r="K32" s="3">
        <v>148900</v>
      </c>
      <c r="L32" s="3">
        <v>147000</v>
      </c>
      <c r="M32" s="3">
        <v>148800</v>
      </c>
      <c r="N32" s="3">
        <v>147100</v>
      </c>
      <c r="O32" s="3">
        <v>141500</v>
      </c>
      <c r="P32" s="3">
        <v>137700</v>
      </c>
      <c r="Q32" s="3">
        <v>140300</v>
      </c>
      <c r="R32" s="3">
        <v>139800</v>
      </c>
      <c r="S32" s="3">
        <v>140500</v>
      </c>
      <c r="T32" s="3">
        <v>143400</v>
      </c>
      <c r="U32" s="3">
        <v>141900</v>
      </c>
      <c r="V32" s="3">
        <v>138500</v>
      </c>
      <c r="W32" s="3">
        <v>133600</v>
      </c>
      <c r="X32" s="3">
        <v>141400</v>
      </c>
      <c r="Y32" s="3">
        <v>144000</v>
      </c>
      <c r="Z32" s="3">
        <v>135600</v>
      </c>
      <c r="AA32" s="3">
        <v>130600</v>
      </c>
      <c r="AB32" s="3">
        <v>133200</v>
      </c>
      <c r="AC32" s="3">
        <v>130900</v>
      </c>
      <c r="AD32" s="3">
        <v>129700</v>
      </c>
      <c r="AE32" s="3">
        <v>131800</v>
      </c>
      <c r="AF32" s="3">
        <v>129800</v>
      </c>
      <c r="AG32" s="3">
        <v>140600</v>
      </c>
      <c r="AH32" s="3">
        <v>149900</v>
      </c>
      <c r="AI32" s="3">
        <v>147200</v>
      </c>
      <c r="AJ32" s="3">
        <v>143100</v>
      </c>
      <c r="AK32" s="3">
        <v>142000</v>
      </c>
      <c r="AL32" s="3">
        <v>140000</v>
      </c>
      <c r="AM32" s="3">
        <v>141200</v>
      </c>
      <c r="AN32" s="3">
        <v>135400</v>
      </c>
      <c r="AO32" s="3">
        <v>108500</v>
      </c>
      <c r="AP32" s="3">
        <v>122100</v>
      </c>
      <c r="AQ32" s="3">
        <v>126700</v>
      </c>
      <c r="AR32" s="3">
        <v>123700</v>
      </c>
      <c r="AS32" s="3">
        <v>124400</v>
      </c>
      <c r="AT32" s="3">
        <v>133600</v>
      </c>
      <c r="AU32" s="3">
        <v>136700</v>
      </c>
      <c r="AV32" s="3">
        <v>136900</v>
      </c>
      <c r="AW32" s="3">
        <v>131900</v>
      </c>
      <c r="AX32" s="3">
        <v>132700</v>
      </c>
      <c r="AY32" s="3">
        <v>132900</v>
      </c>
      <c r="AZ32" s="3">
        <v>130000</v>
      </c>
      <c r="BA32" s="3">
        <v>129100</v>
      </c>
      <c r="BB32" s="3">
        <v>118900</v>
      </c>
      <c r="BC32" s="3">
        <v>122300</v>
      </c>
      <c r="BD32" s="3">
        <v>124700</v>
      </c>
      <c r="BE32" s="3">
        <v>125700</v>
      </c>
      <c r="BF32" s="3">
        <v>123200</v>
      </c>
      <c r="BG32" s="3">
        <v>118200</v>
      </c>
      <c r="BH32" s="3">
        <v>120200</v>
      </c>
    </row>
    <row r="33" spans="1:60" ht="35" customHeight="1">
      <c r="A33" s="2" t="s">
        <v>51</v>
      </c>
      <c r="B33" s="3">
        <v>369000</v>
      </c>
      <c r="C33" s="3">
        <v>372000</v>
      </c>
      <c r="D33" s="3">
        <v>366000</v>
      </c>
      <c r="E33" s="3">
        <v>392500</v>
      </c>
      <c r="F33" s="3">
        <v>391000</v>
      </c>
      <c r="G33" s="3">
        <v>399500</v>
      </c>
      <c r="H33" s="3">
        <v>394000</v>
      </c>
      <c r="I33" s="3">
        <v>451000</v>
      </c>
      <c r="J33" s="3">
        <v>450000</v>
      </c>
      <c r="K33" s="3">
        <v>450500</v>
      </c>
      <c r="L33" s="3">
        <v>431000</v>
      </c>
      <c r="M33" s="3">
        <v>457500</v>
      </c>
      <c r="N33" s="3">
        <v>451000</v>
      </c>
      <c r="O33" s="3">
        <v>487500</v>
      </c>
      <c r="P33" s="3">
        <v>453500</v>
      </c>
      <c r="Q33" s="3">
        <v>457500</v>
      </c>
      <c r="R33" s="3">
        <v>465500</v>
      </c>
      <c r="S33" s="3">
        <v>460000</v>
      </c>
      <c r="T33" s="3">
        <v>447000</v>
      </c>
      <c r="U33" s="3">
        <v>457000</v>
      </c>
      <c r="V33" s="3">
        <v>449000</v>
      </c>
      <c r="W33" s="3">
        <v>436000</v>
      </c>
      <c r="X33" s="3">
        <v>444500</v>
      </c>
      <c r="Y33" s="3">
        <v>448500</v>
      </c>
      <c r="Z33" s="3">
        <v>433500</v>
      </c>
      <c r="AA33" s="3">
        <v>426000</v>
      </c>
      <c r="AB33" s="3">
        <v>435000</v>
      </c>
      <c r="AC33" s="3">
        <v>437000</v>
      </c>
      <c r="AD33" s="3">
        <v>446000</v>
      </c>
      <c r="AE33" s="3">
        <v>446000</v>
      </c>
      <c r="AF33" s="3">
        <v>435000</v>
      </c>
      <c r="AG33" s="3">
        <v>440500</v>
      </c>
      <c r="AH33" s="3">
        <v>443000</v>
      </c>
      <c r="AI33" s="3">
        <v>445500</v>
      </c>
      <c r="AJ33" s="3">
        <v>453000</v>
      </c>
      <c r="AK33" s="3">
        <v>469500</v>
      </c>
      <c r="AL33" s="3">
        <v>529000</v>
      </c>
      <c r="AM33" s="3">
        <v>517000</v>
      </c>
      <c r="AN33" s="3">
        <v>468500</v>
      </c>
      <c r="AO33" s="3">
        <v>399000</v>
      </c>
      <c r="AP33" s="3">
        <v>432000</v>
      </c>
      <c r="AQ33" s="3">
        <v>444000</v>
      </c>
      <c r="AR33" s="3">
        <v>409000</v>
      </c>
      <c r="AS33" s="3">
        <v>423000</v>
      </c>
      <c r="AT33" s="3">
        <v>423000</v>
      </c>
      <c r="AU33" s="3">
        <v>414500</v>
      </c>
      <c r="AV33" s="3">
        <v>404000</v>
      </c>
      <c r="AW33" s="3">
        <v>401000</v>
      </c>
      <c r="AX33" s="3">
        <v>412500</v>
      </c>
      <c r="AY33" s="3">
        <v>430000</v>
      </c>
      <c r="AZ33" s="3">
        <v>413000</v>
      </c>
      <c r="BA33" s="3">
        <v>400500</v>
      </c>
      <c r="BB33" s="3">
        <v>381000</v>
      </c>
      <c r="BC33" s="3">
        <v>392500</v>
      </c>
      <c r="BD33" s="3">
        <v>402000</v>
      </c>
      <c r="BE33" s="3">
        <v>398500</v>
      </c>
      <c r="BF33" s="3">
        <v>408500</v>
      </c>
      <c r="BG33" s="3">
        <v>398000</v>
      </c>
      <c r="BH33" s="3">
        <v>378000</v>
      </c>
    </row>
    <row r="34" spans="1:60" ht="35" customHeight="1">
      <c r="A34" s="2" t="s">
        <v>21</v>
      </c>
      <c r="B34" s="3">
        <v>298500</v>
      </c>
      <c r="C34" s="3">
        <v>304500</v>
      </c>
      <c r="D34" s="3">
        <v>308000</v>
      </c>
      <c r="E34" s="3">
        <v>350500</v>
      </c>
      <c r="F34" s="3">
        <v>340500</v>
      </c>
      <c r="G34" s="3">
        <v>366000</v>
      </c>
      <c r="H34" s="3">
        <v>367000</v>
      </c>
      <c r="I34" s="3">
        <v>406000</v>
      </c>
      <c r="J34" s="3">
        <v>411500</v>
      </c>
      <c r="K34" s="3">
        <v>422000</v>
      </c>
      <c r="L34" s="3">
        <v>413000</v>
      </c>
      <c r="M34" s="3">
        <v>480000</v>
      </c>
      <c r="N34" s="3">
        <v>479000</v>
      </c>
      <c r="O34" s="3">
        <v>549000</v>
      </c>
      <c r="P34" s="3">
        <v>529000</v>
      </c>
      <c r="Q34" s="3">
        <v>510000</v>
      </c>
      <c r="R34" s="3">
        <v>492500</v>
      </c>
      <c r="S34" s="3">
        <v>488500</v>
      </c>
      <c r="T34" s="3">
        <v>492500</v>
      </c>
      <c r="U34" s="3">
        <v>528000</v>
      </c>
      <c r="V34" s="3">
        <v>500000</v>
      </c>
      <c r="W34" s="3">
        <v>478000</v>
      </c>
      <c r="X34" s="3">
        <v>491500</v>
      </c>
      <c r="Y34" s="3">
        <v>504000</v>
      </c>
      <c r="Z34" s="3">
        <v>488500</v>
      </c>
      <c r="AA34" s="3">
        <v>467500</v>
      </c>
      <c r="AB34" s="3">
        <v>478000</v>
      </c>
      <c r="AC34" s="3">
        <v>480500</v>
      </c>
      <c r="AD34" s="3">
        <v>509000</v>
      </c>
      <c r="AE34" s="3">
        <v>506000</v>
      </c>
      <c r="AF34" s="3">
        <v>499000</v>
      </c>
      <c r="AG34" s="3">
        <v>513000</v>
      </c>
      <c r="AH34" s="3">
        <v>509000</v>
      </c>
      <c r="AI34" s="3">
        <v>523000</v>
      </c>
      <c r="AJ34" s="3">
        <v>524000</v>
      </c>
      <c r="AK34" s="3">
        <v>572000</v>
      </c>
      <c r="AL34" s="3">
        <v>609000</v>
      </c>
      <c r="AM34" s="3">
        <v>674000</v>
      </c>
      <c r="AN34" s="3">
        <v>595000</v>
      </c>
      <c r="AO34" s="3">
        <v>501000</v>
      </c>
      <c r="AP34" s="3">
        <v>548000</v>
      </c>
      <c r="AQ34" s="3">
        <v>553000</v>
      </c>
      <c r="AR34" s="3">
        <v>507000</v>
      </c>
      <c r="AS34" s="3">
        <v>525000</v>
      </c>
      <c r="AT34" s="3">
        <v>530000</v>
      </c>
      <c r="AU34" s="3">
        <v>521000</v>
      </c>
      <c r="AV34" s="3">
        <v>517000</v>
      </c>
      <c r="AW34" s="3">
        <v>506000</v>
      </c>
      <c r="AX34" s="3">
        <v>522000</v>
      </c>
      <c r="AY34" s="3">
        <v>545000</v>
      </c>
      <c r="AZ34" s="3">
        <v>522000</v>
      </c>
      <c r="BA34" s="3">
        <v>517000</v>
      </c>
      <c r="BB34" s="3">
        <v>485000</v>
      </c>
      <c r="BC34" s="3">
        <v>492000</v>
      </c>
      <c r="BD34" s="3">
        <v>501000</v>
      </c>
      <c r="BE34" s="3">
        <v>490000</v>
      </c>
      <c r="BF34" s="3">
        <v>495000</v>
      </c>
      <c r="BG34" s="3">
        <v>469500</v>
      </c>
      <c r="BH34" s="3">
        <v>445500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E5165616-9E56-4CCB-BFE7-EFD3219646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theme="1"/>
          <x14:sparklines>
            <x14:sparkline>
              <xm:f>CASE_01_sparkline!B5:BH5</xm:f>
              <xm:sqref>BI5</xm:sqref>
            </x14:sparkline>
            <x14:sparkline>
              <xm:f>CASE_01_sparkline!B6:BH6</xm:f>
              <xm:sqref>BI6</xm:sqref>
            </x14:sparkline>
            <x14:sparkline>
              <xm:f>CASE_01_sparkline!B7:BH7</xm:f>
              <xm:sqref>BI7</xm:sqref>
            </x14:sparkline>
            <x14:sparkline>
              <xm:f>CASE_01_sparkline!B8:BH8</xm:f>
              <xm:sqref>BI8</xm:sqref>
            </x14:sparkline>
            <x14:sparkline>
              <xm:f>CASE_01_sparkline!B9:BH9</xm:f>
              <xm:sqref>BI9</xm:sqref>
            </x14:sparkline>
            <x14:sparkline>
              <xm:f>CASE_01_sparkline!B10:BH10</xm:f>
              <xm:sqref>BI10</xm:sqref>
            </x14:sparkline>
            <x14:sparkline>
              <xm:f>CASE_01_sparkline!B11:BH11</xm:f>
              <xm:sqref>BI11</xm:sqref>
            </x14:sparkline>
            <x14:sparkline>
              <xm:f>CASE_01_sparkline!B12:BH12</xm:f>
              <xm:sqref>BI12</xm:sqref>
            </x14:sparkline>
            <x14:sparkline>
              <xm:f>CASE_01_sparkline!B13:BH13</xm:f>
              <xm:sqref>BI13</xm:sqref>
            </x14:sparkline>
            <x14:sparkline>
              <xm:f>CASE_01_sparkline!B14:BH14</xm:f>
              <xm:sqref>BI14</xm:sqref>
            </x14:sparkline>
            <x14:sparkline>
              <xm:f>CASE_01_sparkline!B15:BH15</xm:f>
              <xm:sqref>BI15</xm:sqref>
            </x14:sparkline>
            <x14:sparkline>
              <xm:f>CASE_01_sparkline!B16:BH16</xm:f>
              <xm:sqref>BI16</xm:sqref>
            </x14:sparkline>
            <x14:sparkline>
              <xm:f>CASE_01_sparkline!B17:BH17</xm:f>
              <xm:sqref>BI17</xm:sqref>
            </x14:sparkline>
            <x14:sparkline>
              <xm:f>CASE_01_sparkline!B18:BH18</xm:f>
              <xm:sqref>BI18</xm:sqref>
            </x14:sparkline>
            <x14:sparkline>
              <xm:f>CASE_01_sparkline!B19:BH19</xm:f>
              <xm:sqref>BI19</xm:sqref>
            </x14:sparkline>
            <x14:sparkline>
              <xm:f>CASE_01_sparkline!B20:BH20</xm:f>
              <xm:sqref>BI20</xm:sqref>
            </x14:sparkline>
            <x14:sparkline>
              <xm:f>CASE_01_sparkline!B21:BH21</xm:f>
              <xm:sqref>BI21</xm:sqref>
            </x14:sparkline>
            <x14:sparkline>
              <xm:f>CASE_01_sparkline!B22:BH22</xm:f>
              <xm:sqref>BI22</xm:sqref>
            </x14:sparkline>
            <x14:sparkline>
              <xm:f>CASE_01_sparkline!B23:BH23</xm:f>
              <xm:sqref>BI23</xm:sqref>
            </x14:sparkline>
            <x14:sparkline>
              <xm:f>CASE_01_sparkline!B24:BH24</xm:f>
              <xm:sqref>BI24</xm:sqref>
            </x14:sparkline>
            <x14:sparkline>
              <xm:f>CASE_01_sparkline!B25:BH25</xm:f>
              <xm:sqref>BI25</xm:sqref>
            </x14:sparkline>
            <x14:sparkline>
              <xm:f>CASE_01_sparkline!B26:BH26</xm:f>
              <xm:sqref>BI26</xm:sqref>
            </x14:sparkline>
            <x14:sparkline>
              <xm:f>CASE_01_sparkline!B27:BH27</xm:f>
              <xm:sqref>BI27</xm:sqref>
            </x14:sparkline>
            <x14:sparkline>
              <xm:f>CASE_01_sparkline!B28:BH28</xm:f>
              <xm:sqref>BI28</xm:sqref>
            </x14:sparkline>
            <x14:sparkline>
              <xm:f>CASE_01_sparkline!B29:BH29</xm:f>
              <xm:sqref>BI29</xm:sqref>
            </x14:sparkline>
            <x14:sparkline>
              <xm:f>CASE_01_sparkline!B30:BH30</xm:f>
              <xm:sqref>BI30</xm:sqref>
            </x14:sparkline>
            <x14:sparkline>
              <xm:f>CASE_01_sparkline!B31:BH31</xm:f>
              <xm:sqref>BI31</xm:sqref>
            </x14:sparkline>
            <x14:sparkline>
              <xm:f>CASE_01_sparkline!B32:BH32</xm:f>
              <xm:sqref>BI32</xm:sqref>
            </x14:sparkline>
            <x14:sparkline>
              <xm:f>CASE_01_sparkline!B33:BH33</xm:f>
              <xm:sqref>BI33</xm:sqref>
            </x14:sparkline>
            <x14:sparkline>
              <xm:f>CASE_01_sparkline!B34:BH34</xm:f>
              <xm:sqref>BI34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FEE0-B969-41A0-B688-F456E2F7D504}">
  <dimension ref="A3:AF64"/>
  <sheetViews>
    <sheetView workbookViewId="0">
      <selection activeCell="A4" sqref="A4"/>
    </sheetView>
  </sheetViews>
  <sheetFormatPr baseColWidth="10" defaultColWidth="8.83203125" defaultRowHeight="17"/>
  <cols>
    <col min="1" max="1" width="11.1640625" bestFit="1" customWidth="1"/>
    <col min="2" max="3" width="15.33203125" bestFit="1" customWidth="1"/>
    <col min="4" max="4" width="13.33203125" bestFit="1" customWidth="1"/>
    <col min="5" max="5" width="8.33203125" bestFit="1" customWidth="1"/>
    <col min="6" max="6" width="14.83203125" bestFit="1" customWidth="1"/>
    <col min="7" max="7" width="9.33203125" bestFit="1" customWidth="1"/>
    <col min="8" max="8" width="13" bestFit="1" customWidth="1"/>
    <col min="9" max="9" width="9.33203125" bestFit="1" customWidth="1"/>
    <col min="10" max="10" width="10.83203125" bestFit="1" customWidth="1"/>
    <col min="11" max="11" width="9.33203125" bestFit="1" customWidth="1"/>
    <col min="12" max="12" width="8.33203125" bestFit="1" customWidth="1"/>
    <col min="13" max="13" width="14.33203125" bestFit="1" customWidth="1"/>
    <col min="14" max="14" width="12.33203125" bestFit="1" customWidth="1"/>
    <col min="15" max="16" width="9.33203125" bestFit="1" customWidth="1"/>
    <col min="17" max="17" width="16.33203125" bestFit="1" customWidth="1"/>
    <col min="18" max="20" width="9.33203125" bestFit="1" customWidth="1"/>
    <col min="21" max="21" width="10.33203125" bestFit="1" customWidth="1"/>
    <col min="22" max="22" width="9.33203125" bestFit="1" customWidth="1"/>
    <col min="23" max="23" width="8.6640625" bestFit="1" customWidth="1"/>
    <col min="24" max="24" width="12.33203125" bestFit="1" customWidth="1"/>
    <col min="25" max="25" width="8.6640625" bestFit="1" customWidth="1"/>
    <col min="26" max="27" width="10.33203125" bestFit="1" customWidth="1"/>
    <col min="28" max="28" width="18.33203125" bestFit="1" customWidth="1"/>
    <col min="29" max="29" width="8.6640625" bestFit="1" customWidth="1"/>
    <col min="30" max="30" width="10.33203125" bestFit="1" customWidth="1"/>
    <col min="31" max="31" width="9.33203125" bestFit="1" customWidth="1"/>
    <col min="32" max="32" width="10.33203125" bestFit="1" customWidth="1"/>
    <col min="33" max="59" width="11.1640625" bestFit="1" customWidth="1"/>
    <col min="60" max="60" width="6.83203125" bestFit="1" customWidth="1"/>
  </cols>
  <sheetData>
    <row r="3" spans="1:32">
      <c r="A3" s="1" t="s">
        <v>79</v>
      </c>
      <c r="B3" s="1" t="s">
        <v>77</v>
      </c>
    </row>
    <row r="4" spans="1:32">
      <c r="A4" s="1" t="s">
        <v>78</v>
      </c>
      <c r="B4" t="s">
        <v>67</v>
      </c>
      <c r="C4" t="s">
        <v>57</v>
      </c>
      <c r="D4" t="s">
        <v>37</v>
      </c>
      <c r="E4" t="s">
        <v>35</v>
      </c>
      <c r="F4" t="s">
        <v>23</v>
      </c>
      <c r="G4" t="s">
        <v>59</v>
      </c>
      <c r="H4" t="s">
        <v>65</v>
      </c>
      <c r="I4" t="s">
        <v>29</v>
      </c>
      <c r="J4" t="s">
        <v>19</v>
      </c>
      <c r="K4" t="s">
        <v>61</v>
      </c>
      <c r="L4" t="s">
        <v>33</v>
      </c>
      <c r="M4" t="s">
        <v>31</v>
      </c>
      <c r="N4" t="s">
        <v>53</v>
      </c>
      <c r="O4" t="s">
        <v>49</v>
      </c>
      <c r="P4" t="s">
        <v>45</v>
      </c>
      <c r="Q4" t="s">
        <v>27</v>
      </c>
      <c r="R4" t="s">
        <v>41</v>
      </c>
      <c r="S4" t="s">
        <v>55</v>
      </c>
      <c r="T4" t="s">
        <v>16</v>
      </c>
      <c r="U4" t="s">
        <v>75</v>
      </c>
      <c r="V4" t="s">
        <v>39</v>
      </c>
      <c r="W4" t="s">
        <v>43</v>
      </c>
      <c r="X4" t="s">
        <v>63</v>
      </c>
      <c r="Y4" t="s">
        <v>69</v>
      </c>
      <c r="Z4" t="s">
        <v>73</v>
      </c>
      <c r="AA4" t="s">
        <v>71</v>
      </c>
      <c r="AB4" t="s">
        <v>25</v>
      </c>
      <c r="AC4" t="s">
        <v>47</v>
      </c>
      <c r="AD4" t="s">
        <v>51</v>
      </c>
      <c r="AE4" t="s">
        <v>21</v>
      </c>
      <c r="AF4" t="s">
        <v>94</v>
      </c>
    </row>
    <row r="5" spans="1:32">
      <c r="A5" s="2">
        <v>20260102</v>
      </c>
      <c r="B5">
        <v>393500</v>
      </c>
      <c r="C5">
        <v>819000</v>
      </c>
      <c r="D5">
        <v>504000</v>
      </c>
      <c r="E5">
        <v>123300</v>
      </c>
      <c r="F5">
        <v>361000</v>
      </c>
      <c r="G5">
        <v>247000</v>
      </c>
      <c r="H5">
        <v>297500</v>
      </c>
      <c r="I5">
        <v>392000</v>
      </c>
      <c r="J5">
        <v>677000</v>
      </c>
      <c r="K5">
        <v>1287000</v>
      </c>
      <c r="L5">
        <v>120600</v>
      </c>
      <c r="M5">
        <v>75200</v>
      </c>
      <c r="N5">
        <v>24650</v>
      </c>
      <c r="O5">
        <v>262500</v>
      </c>
      <c r="P5">
        <v>245000</v>
      </c>
      <c r="Q5">
        <v>1683000</v>
      </c>
      <c r="R5">
        <v>156300</v>
      </c>
      <c r="S5">
        <v>270000</v>
      </c>
      <c r="T5">
        <v>128500</v>
      </c>
      <c r="U5">
        <v>24150</v>
      </c>
      <c r="V5">
        <v>202500</v>
      </c>
      <c r="W5">
        <v>76600</v>
      </c>
      <c r="X5">
        <v>93400</v>
      </c>
      <c r="Y5">
        <v>46500</v>
      </c>
      <c r="Z5">
        <v>144500</v>
      </c>
      <c r="AA5">
        <v>55300</v>
      </c>
      <c r="AB5">
        <v>946000</v>
      </c>
      <c r="AC5">
        <v>114700</v>
      </c>
      <c r="AD5">
        <v>369000</v>
      </c>
      <c r="AE5">
        <v>298500</v>
      </c>
      <c r="AF5">
        <v>10438200</v>
      </c>
    </row>
    <row r="6" spans="1:32">
      <c r="A6" s="2">
        <v>20260105</v>
      </c>
      <c r="B6">
        <v>401000</v>
      </c>
      <c r="C6">
        <v>868000</v>
      </c>
      <c r="D6">
        <v>513000</v>
      </c>
      <c r="E6">
        <v>126800</v>
      </c>
      <c r="F6">
        <v>371500</v>
      </c>
      <c r="G6">
        <v>249500</v>
      </c>
      <c r="H6">
        <v>302500</v>
      </c>
      <c r="I6">
        <v>416000</v>
      </c>
      <c r="J6">
        <v>696000</v>
      </c>
      <c r="K6">
        <v>1307000</v>
      </c>
      <c r="L6">
        <v>122600</v>
      </c>
      <c r="M6">
        <v>83200</v>
      </c>
      <c r="N6">
        <v>25500</v>
      </c>
      <c r="O6">
        <v>275000</v>
      </c>
      <c r="P6">
        <v>254500</v>
      </c>
      <c r="Q6">
        <v>1713000</v>
      </c>
      <c r="R6">
        <v>164100</v>
      </c>
      <c r="S6">
        <v>270000</v>
      </c>
      <c r="T6">
        <v>138100</v>
      </c>
      <c r="U6">
        <v>24450</v>
      </c>
      <c r="V6">
        <v>209500</v>
      </c>
      <c r="W6">
        <v>79100</v>
      </c>
      <c r="X6">
        <v>94100</v>
      </c>
      <c r="Y6">
        <v>49850</v>
      </c>
      <c r="Z6">
        <v>167300</v>
      </c>
      <c r="AA6">
        <v>58000</v>
      </c>
      <c r="AB6">
        <v>1012000</v>
      </c>
      <c r="AC6">
        <v>117900</v>
      </c>
      <c r="AD6">
        <v>372000</v>
      </c>
      <c r="AE6">
        <v>304500</v>
      </c>
      <c r="AF6">
        <v>10786000</v>
      </c>
    </row>
    <row r="7" spans="1:32">
      <c r="A7" s="2">
        <v>20260106</v>
      </c>
      <c r="B7">
        <v>414000</v>
      </c>
      <c r="C7">
        <v>834000</v>
      </c>
      <c r="D7">
        <v>550000</v>
      </c>
      <c r="E7">
        <v>126400</v>
      </c>
      <c r="F7">
        <v>378000</v>
      </c>
      <c r="G7">
        <v>260000</v>
      </c>
      <c r="H7">
        <v>304000</v>
      </c>
      <c r="I7">
        <v>432000</v>
      </c>
      <c r="J7">
        <v>726000</v>
      </c>
      <c r="K7">
        <v>1192000</v>
      </c>
      <c r="L7">
        <v>122500</v>
      </c>
      <c r="M7">
        <v>85900</v>
      </c>
      <c r="N7">
        <v>28700</v>
      </c>
      <c r="O7">
        <v>277000</v>
      </c>
      <c r="P7">
        <v>260000</v>
      </c>
      <c r="Q7">
        <v>1721000</v>
      </c>
      <c r="R7">
        <v>165400</v>
      </c>
      <c r="S7">
        <v>268000</v>
      </c>
      <c r="T7">
        <v>138900</v>
      </c>
      <c r="U7">
        <v>24800</v>
      </c>
      <c r="V7">
        <v>213000</v>
      </c>
      <c r="W7">
        <v>80500</v>
      </c>
      <c r="X7">
        <v>94900</v>
      </c>
      <c r="Y7">
        <v>50500</v>
      </c>
      <c r="Z7">
        <v>183700</v>
      </c>
      <c r="AA7">
        <v>60300</v>
      </c>
      <c r="AB7">
        <v>1022000</v>
      </c>
      <c r="AC7">
        <v>119800</v>
      </c>
      <c r="AD7">
        <v>366000</v>
      </c>
      <c r="AE7">
        <v>308000</v>
      </c>
      <c r="AF7">
        <v>10807300</v>
      </c>
    </row>
    <row r="8" spans="1:32">
      <c r="A8" s="2">
        <v>20260107</v>
      </c>
      <c r="B8">
        <v>418000</v>
      </c>
      <c r="C8">
        <v>821000</v>
      </c>
      <c r="D8">
        <v>557000</v>
      </c>
      <c r="E8">
        <v>124700</v>
      </c>
      <c r="F8">
        <v>370500</v>
      </c>
      <c r="G8">
        <v>252500</v>
      </c>
      <c r="H8">
        <v>308000</v>
      </c>
      <c r="I8">
        <v>429500</v>
      </c>
      <c r="J8">
        <v>742000</v>
      </c>
      <c r="K8">
        <v>1239000</v>
      </c>
      <c r="L8">
        <v>129300</v>
      </c>
      <c r="M8">
        <v>84000</v>
      </c>
      <c r="N8">
        <v>28000</v>
      </c>
      <c r="O8">
        <v>270500</v>
      </c>
      <c r="P8">
        <v>265000</v>
      </c>
      <c r="Q8">
        <v>1767000</v>
      </c>
      <c r="R8">
        <v>162000</v>
      </c>
      <c r="S8">
        <v>267500</v>
      </c>
      <c r="T8">
        <v>141000</v>
      </c>
      <c r="U8">
        <v>25350</v>
      </c>
      <c r="V8">
        <v>211000</v>
      </c>
      <c r="W8">
        <v>79000</v>
      </c>
      <c r="X8">
        <v>93500</v>
      </c>
      <c r="Y8">
        <v>49600</v>
      </c>
      <c r="Z8">
        <v>186500</v>
      </c>
      <c r="AA8">
        <v>58500</v>
      </c>
      <c r="AB8">
        <v>1010000</v>
      </c>
      <c r="AC8">
        <v>121200</v>
      </c>
      <c r="AD8">
        <v>392500</v>
      </c>
      <c r="AE8">
        <v>350500</v>
      </c>
      <c r="AF8">
        <v>10954150</v>
      </c>
    </row>
    <row r="9" spans="1:32">
      <c r="A9" s="2">
        <v>20260108</v>
      </c>
      <c r="B9">
        <v>424500</v>
      </c>
      <c r="C9">
        <v>862000</v>
      </c>
      <c r="D9">
        <v>582000</v>
      </c>
      <c r="E9">
        <v>123500</v>
      </c>
      <c r="F9">
        <v>366000</v>
      </c>
      <c r="G9">
        <v>251000</v>
      </c>
      <c r="H9">
        <v>300500</v>
      </c>
      <c r="I9">
        <v>430500</v>
      </c>
      <c r="J9">
        <v>756000</v>
      </c>
      <c r="K9">
        <v>1203000</v>
      </c>
      <c r="L9">
        <v>124900</v>
      </c>
      <c r="M9">
        <v>83700</v>
      </c>
      <c r="N9">
        <v>27650</v>
      </c>
      <c r="O9">
        <v>271000</v>
      </c>
      <c r="P9">
        <v>270500</v>
      </c>
      <c r="Q9">
        <v>1885000</v>
      </c>
      <c r="R9">
        <v>159200</v>
      </c>
      <c r="S9">
        <v>272000</v>
      </c>
      <c r="T9">
        <v>138800</v>
      </c>
      <c r="U9">
        <v>26350</v>
      </c>
      <c r="V9">
        <v>213000</v>
      </c>
      <c r="W9">
        <v>77500</v>
      </c>
      <c r="X9">
        <v>91900</v>
      </c>
      <c r="Y9">
        <v>49150</v>
      </c>
      <c r="Z9">
        <v>185700</v>
      </c>
      <c r="AA9">
        <v>60300</v>
      </c>
      <c r="AB9">
        <v>1090000</v>
      </c>
      <c r="AC9">
        <v>129700</v>
      </c>
      <c r="AD9">
        <v>391000</v>
      </c>
      <c r="AE9">
        <v>340500</v>
      </c>
      <c r="AF9">
        <v>11186850</v>
      </c>
    </row>
    <row r="10" spans="1:32">
      <c r="A10" s="2">
        <v>20260109</v>
      </c>
      <c r="B10">
        <v>447000</v>
      </c>
      <c r="C10">
        <v>848000</v>
      </c>
      <c r="D10">
        <v>609000</v>
      </c>
      <c r="E10">
        <v>126600</v>
      </c>
      <c r="F10">
        <v>363000</v>
      </c>
      <c r="G10">
        <v>254000</v>
      </c>
      <c r="H10">
        <v>304000</v>
      </c>
      <c r="I10">
        <v>430500</v>
      </c>
      <c r="J10">
        <v>744000</v>
      </c>
      <c r="K10">
        <v>1142000</v>
      </c>
      <c r="L10">
        <v>133200</v>
      </c>
      <c r="M10">
        <v>84200</v>
      </c>
      <c r="N10">
        <v>27100</v>
      </c>
      <c r="O10">
        <v>267500</v>
      </c>
      <c r="P10">
        <v>268500</v>
      </c>
      <c r="Q10">
        <v>1878000</v>
      </c>
      <c r="R10">
        <v>159500</v>
      </c>
      <c r="S10">
        <v>266000</v>
      </c>
      <c r="T10">
        <v>139000</v>
      </c>
      <c r="U10">
        <v>28650</v>
      </c>
      <c r="V10">
        <v>217000</v>
      </c>
      <c r="W10">
        <v>77800</v>
      </c>
      <c r="X10">
        <v>92900</v>
      </c>
      <c r="Y10">
        <v>49400</v>
      </c>
      <c r="Z10">
        <v>176300</v>
      </c>
      <c r="AA10">
        <v>76900</v>
      </c>
      <c r="AB10">
        <v>1214000</v>
      </c>
      <c r="AC10">
        <v>134400</v>
      </c>
      <c r="AD10">
        <v>399500</v>
      </c>
      <c r="AE10">
        <v>366000</v>
      </c>
      <c r="AF10">
        <v>11323950</v>
      </c>
    </row>
    <row r="11" spans="1:32">
      <c r="A11" s="2">
        <v>20260112</v>
      </c>
      <c r="B11">
        <v>450500</v>
      </c>
      <c r="C11">
        <v>876000</v>
      </c>
      <c r="D11">
        <v>604000</v>
      </c>
      <c r="E11">
        <v>125500</v>
      </c>
      <c r="F11">
        <v>379000</v>
      </c>
      <c r="G11">
        <v>255500</v>
      </c>
      <c r="H11">
        <v>309500</v>
      </c>
      <c r="I11">
        <v>427500</v>
      </c>
      <c r="J11">
        <v>749000</v>
      </c>
      <c r="K11">
        <v>1208000</v>
      </c>
      <c r="L11">
        <v>129300</v>
      </c>
      <c r="M11">
        <v>88100</v>
      </c>
      <c r="N11">
        <v>28650</v>
      </c>
      <c r="O11">
        <v>278000</v>
      </c>
      <c r="P11">
        <v>267500</v>
      </c>
      <c r="Q11">
        <v>1859000</v>
      </c>
      <c r="R11">
        <v>158100</v>
      </c>
      <c r="S11">
        <v>279000</v>
      </c>
      <c r="T11">
        <v>138800</v>
      </c>
      <c r="U11">
        <v>28150</v>
      </c>
      <c r="V11">
        <v>214000</v>
      </c>
      <c r="W11">
        <v>78200</v>
      </c>
      <c r="X11">
        <v>94000</v>
      </c>
      <c r="Y11">
        <v>51000</v>
      </c>
      <c r="Z11">
        <v>167600</v>
      </c>
      <c r="AA11">
        <v>77700</v>
      </c>
      <c r="AB11">
        <v>1212000</v>
      </c>
      <c r="AC11">
        <v>145700</v>
      </c>
      <c r="AD11">
        <v>394000</v>
      </c>
      <c r="AE11">
        <v>367000</v>
      </c>
      <c r="AF11">
        <v>11440300</v>
      </c>
    </row>
    <row r="12" spans="1:32">
      <c r="A12" s="2">
        <v>20260113</v>
      </c>
      <c r="B12">
        <v>462500</v>
      </c>
      <c r="C12">
        <v>886000</v>
      </c>
      <c r="D12">
        <v>645000</v>
      </c>
      <c r="E12">
        <v>128500</v>
      </c>
      <c r="F12">
        <v>394000</v>
      </c>
      <c r="G12">
        <v>264500</v>
      </c>
      <c r="H12">
        <v>352500</v>
      </c>
      <c r="I12">
        <v>426500</v>
      </c>
      <c r="J12">
        <v>738000</v>
      </c>
      <c r="K12">
        <v>1330000</v>
      </c>
      <c r="L12">
        <v>136000</v>
      </c>
      <c r="M12">
        <v>87000</v>
      </c>
      <c r="N12">
        <v>28450</v>
      </c>
      <c r="O12">
        <v>300000</v>
      </c>
      <c r="P12">
        <v>273500</v>
      </c>
      <c r="Q12">
        <v>1908000</v>
      </c>
      <c r="R12">
        <v>159100</v>
      </c>
      <c r="S12">
        <v>289000</v>
      </c>
      <c r="T12">
        <v>137600</v>
      </c>
      <c r="U12">
        <v>28950</v>
      </c>
      <c r="V12">
        <v>221000</v>
      </c>
      <c r="W12">
        <v>78400</v>
      </c>
      <c r="X12">
        <v>94300</v>
      </c>
      <c r="Y12">
        <v>55700</v>
      </c>
      <c r="Z12">
        <v>173200</v>
      </c>
      <c r="AA12">
        <v>88700</v>
      </c>
      <c r="AB12">
        <v>1282000</v>
      </c>
      <c r="AC12">
        <v>149900</v>
      </c>
      <c r="AD12">
        <v>451000</v>
      </c>
      <c r="AE12">
        <v>406000</v>
      </c>
      <c r="AF12">
        <v>11975300</v>
      </c>
    </row>
    <row r="13" spans="1:32">
      <c r="A13" s="2">
        <v>20260114</v>
      </c>
      <c r="B13">
        <v>427500</v>
      </c>
      <c r="C13">
        <v>922000</v>
      </c>
      <c r="D13">
        <v>615000</v>
      </c>
      <c r="E13">
        <v>128900</v>
      </c>
      <c r="F13">
        <v>389500</v>
      </c>
      <c r="G13">
        <v>259500</v>
      </c>
      <c r="H13">
        <v>345000</v>
      </c>
      <c r="I13">
        <v>435500</v>
      </c>
      <c r="J13">
        <v>742000</v>
      </c>
      <c r="K13">
        <v>1290000</v>
      </c>
      <c r="L13">
        <v>143000</v>
      </c>
      <c r="M13">
        <v>89600</v>
      </c>
      <c r="N13">
        <v>29500</v>
      </c>
      <c r="O13">
        <v>285500</v>
      </c>
      <c r="P13">
        <v>283500</v>
      </c>
      <c r="Q13">
        <v>1927000</v>
      </c>
      <c r="R13">
        <v>161900</v>
      </c>
      <c r="S13">
        <v>284500</v>
      </c>
      <c r="T13">
        <v>140300</v>
      </c>
      <c r="U13">
        <v>28350</v>
      </c>
      <c r="V13">
        <v>211500</v>
      </c>
      <c r="W13">
        <v>79900</v>
      </c>
      <c r="X13">
        <v>96100</v>
      </c>
      <c r="Y13">
        <v>53600</v>
      </c>
      <c r="Z13">
        <v>177800</v>
      </c>
      <c r="AA13">
        <v>88200</v>
      </c>
      <c r="AB13">
        <v>1269000</v>
      </c>
      <c r="AC13">
        <v>142000</v>
      </c>
      <c r="AD13">
        <v>450000</v>
      </c>
      <c r="AE13">
        <v>411500</v>
      </c>
      <c r="AF13">
        <v>11907650</v>
      </c>
    </row>
    <row r="14" spans="1:32">
      <c r="A14" s="2">
        <v>20260115</v>
      </c>
      <c r="B14">
        <v>440000</v>
      </c>
      <c r="C14">
        <v>892000</v>
      </c>
      <c r="D14">
        <v>631000</v>
      </c>
      <c r="E14">
        <v>130100</v>
      </c>
      <c r="F14">
        <v>392000</v>
      </c>
      <c r="G14">
        <v>247500</v>
      </c>
      <c r="H14">
        <v>351500</v>
      </c>
      <c r="I14">
        <v>429500</v>
      </c>
      <c r="J14">
        <v>749000</v>
      </c>
      <c r="K14">
        <v>1438000</v>
      </c>
      <c r="L14">
        <v>152500</v>
      </c>
      <c r="M14">
        <v>89500</v>
      </c>
      <c r="N14">
        <v>30750</v>
      </c>
      <c r="O14">
        <v>291500</v>
      </c>
      <c r="P14">
        <v>286000</v>
      </c>
      <c r="Q14">
        <v>1965000</v>
      </c>
      <c r="R14">
        <v>161200</v>
      </c>
      <c r="S14">
        <v>289500</v>
      </c>
      <c r="T14">
        <v>143900</v>
      </c>
      <c r="U14">
        <v>30150</v>
      </c>
      <c r="V14">
        <v>210500</v>
      </c>
      <c r="W14">
        <v>79400</v>
      </c>
      <c r="X14">
        <v>96200</v>
      </c>
      <c r="Y14">
        <v>53800</v>
      </c>
      <c r="Z14">
        <v>180000</v>
      </c>
      <c r="AA14">
        <v>96500</v>
      </c>
      <c r="AB14">
        <v>1294000</v>
      </c>
      <c r="AC14">
        <v>148900</v>
      </c>
      <c r="AD14">
        <v>450500</v>
      </c>
      <c r="AE14">
        <v>422000</v>
      </c>
      <c r="AF14">
        <v>12172400</v>
      </c>
    </row>
    <row r="15" spans="1:32">
      <c r="A15" s="2">
        <v>20260116</v>
      </c>
      <c r="B15">
        <v>438500</v>
      </c>
      <c r="C15">
        <v>906000</v>
      </c>
      <c r="D15">
        <v>622000</v>
      </c>
      <c r="E15">
        <v>130900</v>
      </c>
      <c r="F15">
        <v>391000</v>
      </c>
      <c r="G15">
        <v>245500</v>
      </c>
      <c r="H15">
        <v>331500</v>
      </c>
      <c r="I15">
        <v>446500</v>
      </c>
      <c r="J15">
        <v>756000</v>
      </c>
      <c r="K15">
        <v>1585000</v>
      </c>
      <c r="L15">
        <v>151100</v>
      </c>
      <c r="M15">
        <v>95300</v>
      </c>
      <c r="N15">
        <v>31200</v>
      </c>
      <c r="O15">
        <v>289000</v>
      </c>
      <c r="P15">
        <v>290000</v>
      </c>
      <c r="Q15">
        <v>1947000</v>
      </c>
      <c r="R15">
        <v>170600</v>
      </c>
      <c r="S15">
        <v>289500</v>
      </c>
      <c r="T15">
        <v>148900</v>
      </c>
      <c r="U15">
        <v>29750</v>
      </c>
      <c r="V15">
        <v>209000</v>
      </c>
      <c r="W15">
        <v>79200</v>
      </c>
      <c r="X15">
        <v>96400</v>
      </c>
      <c r="Y15">
        <v>54700</v>
      </c>
      <c r="Z15">
        <v>178500</v>
      </c>
      <c r="AA15">
        <v>90900</v>
      </c>
      <c r="AB15">
        <v>1299000</v>
      </c>
      <c r="AC15">
        <v>147000</v>
      </c>
      <c r="AD15">
        <v>431000</v>
      </c>
      <c r="AE15">
        <v>413000</v>
      </c>
      <c r="AF15">
        <v>12293950</v>
      </c>
    </row>
    <row r="16" spans="1:32">
      <c r="A16" s="2">
        <v>20260119</v>
      </c>
      <c r="B16">
        <v>444500</v>
      </c>
      <c r="C16">
        <v>918000</v>
      </c>
      <c r="D16">
        <v>648000</v>
      </c>
      <c r="E16">
        <v>129500</v>
      </c>
      <c r="F16">
        <v>398500</v>
      </c>
      <c r="G16">
        <v>238000</v>
      </c>
      <c r="H16">
        <v>347500</v>
      </c>
      <c r="I16">
        <v>435500</v>
      </c>
      <c r="J16">
        <v>764000</v>
      </c>
      <c r="K16">
        <v>1584000</v>
      </c>
      <c r="L16">
        <v>169500</v>
      </c>
      <c r="M16">
        <v>95400</v>
      </c>
      <c r="N16">
        <v>31950</v>
      </c>
      <c r="O16">
        <v>314000</v>
      </c>
      <c r="P16">
        <v>289000</v>
      </c>
      <c r="Q16">
        <v>1921000</v>
      </c>
      <c r="R16">
        <v>167000</v>
      </c>
      <c r="S16">
        <v>292000</v>
      </c>
      <c r="T16">
        <v>149300</v>
      </c>
      <c r="U16">
        <v>31850</v>
      </c>
      <c r="V16">
        <v>206500</v>
      </c>
      <c r="W16">
        <v>79700</v>
      </c>
      <c r="X16">
        <v>96200</v>
      </c>
      <c r="Y16">
        <v>56300</v>
      </c>
      <c r="Z16">
        <v>177500</v>
      </c>
      <c r="AA16">
        <v>90800</v>
      </c>
      <c r="AB16">
        <v>1330000</v>
      </c>
      <c r="AC16">
        <v>148800</v>
      </c>
      <c r="AD16">
        <v>457500</v>
      </c>
      <c r="AE16">
        <v>480000</v>
      </c>
      <c r="AF16">
        <v>12491800</v>
      </c>
    </row>
    <row r="17" spans="1:32">
      <c r="A17" s="2">
        <v>20260120</v>
      </c>
      <c r="B17">
        <v>443000</v>
      </c>
      <c r="C17">
        <v>915000</v>
      </c>
      <c r="D17">
        <v>641000</v>
      </c>
      <c r="E17">
        <v>133100</v>
      </c>
      <c r="F17">
        <v>403000</v>
      </c>
      <c r="G17">
        <v>244000</v>
      </c>
      <c r="H17">
        <v>357500</v>
      </c>
      <c r="I17">
        <v>427000</v>
      </c>
      <c r="J17">
        <v>743000</v>
      </c>
      <c r="K17">
        <v>1621000</v>
      </c>
      <c r="L17">
        <v>163900</v>
      </c>
      <c r="M17">
        <v>95300</v>
      </c>
      <c r="N17">
        <v>30700</v>
      </c>
      <c r="O17">
        <v>326000</v>
      </c>
      <c r="P17">
        <v>296000</v>
      </c>
      <c r="Q17">
        <v>1920000</v>
      </c>
      <c r="R17">
        <v>175200</v>
      </c>
      <c r="S17">
        <v>282000</v>
      </c>
      <c r="T17">
        <v>145200</v>
      </c>
      <c r="U17">
        <v>30850</v>
      </c>
      <c r="V17">
        <v>207000</v>
      </c>
      <c r="W17">
        <v>81900</v>
      </c>
      <c r="X17">
        <v>100300</v>
      </c>
      <c r="Y17">
        <v>65400</v>
      </c>
      <c r="Z17">
        <v>172100</v>
      </c>
      <c r="AA17">
        <v>90500</v>
      </c>
      <c r="AB17">
        <v>1309000</v>
      </c>
      <c r="AC17">
        <v>147100</v>
      </c>
      <c r="AD17">
        <v>451000</v>
      </c>
      <c r="AE17">
        <v>479000</v>
      </c>
      <c r="AF17">
        <v>12496050</v>
      </c>
    </row>
    <row r="18" spans="1:32">
      <c r="A18" s="2">
        <v>20260121</v>
      </c>
      <c r="B18">
        <v>428500</v>
      </c>
      <c r="C18">
        <v>894000</v>
      </c>
      <c r="D18">
        <v>631000</v>
      </c>
      <c r="E18">
        <v>136800</v>
      </c>
      <c r="F18">
        <v>394500</v>
      </c>
      <c r="G18">
        <v>238500</v>
      </c>
      <c r="H18">
        <v>351000</v>
      </c>
      <c r="I18">
        <v>430000</v>
      </c>
      <c r="J18">
        <v>740000</v>
      </c>
      <c r="K18">
        <v>1657000</v>
      </c>
      <c r="L18">
        <v>172100</v>
      </c>
      <c r="M18">
        <v>91300</v>
      </c>
      <c r="N18">
        <v>29750</v>
      </c>
      <c r="O18">
        <v>324000</v>
      </c>
      <c r="P18">
        <v>299000</v>
      </c>
      <c r="Q18">
        <v>1873000</v>
      </c>
      <c r="R18">
        <v>174700</v>
      </c>
      <c r="S18">
        <v>280000</v>
      </c>
      <c r="T18">
        <v>149500</v>
      </c>
      <c r="U18">
        <v>30550</v>
      </c>
      <c r="V18">
        <v>204000</v>
      </c>
      <c r="W18">
        <v>81200</v>
      </c>
      <c r="X18">
        <v>99800</v>
      </c>
      <c r="Y18">
        <v>67900</v>
      </c>
      <c r="Z18">
        <v>172200</v>
      </c>
      <c r="AA18">
        <v>88800</v>
      </c>
      <c r="AB18">
        <v>1315000</v>
      </c>
      <c r="AC18">
        <v>141500</v>
      </c>
      <c r="AD18">
        <v>487500</v>
      </c>
      <c r="AE18">
        <v>549000</v>
      </c>
      <c r="AF18">
        <v>12532100</v>
      </c>
    </row>
    <row r="19" spans="1:32">
      <c r="A19" s="2">
        <v>20260122</v>
      </c>
      <c r="B19">
        <v>424500</v>
      </c>
      <c r="C19">
        <v>888000</v>
      </c>
      <c r="D19">
        <v>613000</v>
      </c>
      <c r="E19">
        <v>134700</v>
      </c>
      <c r="F19">
        <v>417000</v>
      </c>
      <c r="G19">
        <v>245500</v>
      </c>
      <c r="H19">
        <v>359500</v>
      </c>
      <c r="I19">
        <v>446500</v>
      </c>
      <c r="J19">
        <v>755000</v>
      </c>
      <c r="K19">
        <v>1555000</v>
      </c>
      <c r="L19">
        <v>164600</v>
      </c>
      <c r="M19">
        <v>90000</v>
      </c>
      <c r="N19">
        <v>29850</v>
      </c>
      <c r="O19">
        <v>384500</v>
      </c>
      <c r="P19">
        <v>297500</v>
      </c>
      <c r="Q19">
        <v>1778000</v>
      </c>
      <c r="R19">
        <v>178800</v>
      </c>
      <c r="S19">
        <v>283000</v>
      </c>
      <c r="T19">
        <v>152300</v>
      </c>
      <c r="U19">
        <v>30100</v>
      </c>
      <c r="V19">
        <v>208000</v>
      </c>
      <c r="W19">
        <v>82900</v>
      </c>
      <c r="X19">
        <v>100500</v>
      </c>
      <c r="Y19">
        <v>66000</v>
      </c>
      <c r="Z19">
        <v>170400</v>
      </c>
      <c r="AA19">
        <v>88300</v>
      </c>
      <c r="AB19">
        <v>1289000</v>
      </c>
      <c r="AC19">
        <v>137700</v>
      </c>
      <c r="AD19">
        <v>453500</v>
      </c>
      <c r="AE19">
        <v>529000</v>
      </c>
      <c r="AF19">
        <v>12352650</v>
      </c>
    </row>
    <row r="20" spans="1:32">
      <c r="A20" s="2">
        <v>20260123</v>
      </c>
      <c r="B20">
        <v>436000</v>
      </c>
      <c r="C20">
        <v>884000</v>
      </c>
      <c r="D20">
        <v>627000</v>
      </c>
      <c r="E20">
        <v>135600</v>
      </c>
      <c r="F20">
        <v>412000</v>
      </c>
      <c r="G20">
        <v>266000</v>
      </c>
      <c r="H20">
        <v>368000</v>
      </c>
      <c r="I20">
        <v>445500</v>
      </c>
      <c r="J20">
        <v>767000</v>
      </c>
      <c r="K20">
        <v>1580000</v>
      </c>
      <c r="L20">
        <v>159000</v>
      </c>
      <c r="M20">
        <v>93300</v>
      </c>
      <c r="N20">
        <v>34800</v>
      </c>
      <c r="O20">
        <v>373000</v>
      </c>
      <c r="P20">
        <v>305500</v>
      </c>
      <c r="Q20">
        <v>1802000</v>
      </c>
      <c r="R20">
        <v>185100</v>
      </c>
      <c r="S20">
        <v>272000</v>
      </c>
      <c r="T20">
        <v>152100</v>
      </c>
      <c r="U20">
        <v>30400</v>
      </c>
      <c r="V20">
        <v>212000</v>
      </c>
      <c r="W20">
        <v>83900</v>
      </c>
      <c r="X20">
        <v>101100</v>
      </c>
      <c r="Y20">
        <v>61200</v>
      </c>
      <c r="Z20">
        <v>171100</v>
      </c>
      <c r="AA20">
        <v>90400</v>
      </c>
      <c r="AB20">
        <v>1255000</v>
      </c>
      <c r="AC20">
        <v>140300</v>
      </c>
      <c r="AD20">
        <v>457500</v>
      </c>
      <c r="AE20">
        <v>510000</v>
      </c>
      <c r="AF20">
        <v>12410800</v>
      </c>
    </row>
    <row r="21" spans="1:32">
      <c r="A21" s="2">
        <v>20260126</v>
      </c>
      <c r="B21">
        <v>424000</v>
      </c>
      <c r="C21">
        <v>872000</v>
      </c>
      <c r="D21">
        <v>605000</v>
      </c>
      <c r="E21">
        <v>135500</v>
      </c>
      <c r="F21">
        <v>416000</v>
      </c>
      <c r="G21">
        <v>272500</v>
      </c>
      <c r="H21">
        <v>365000</v>
      </c>
      <c r="I21">
        <v>441000</v>
      </c>
      <c r="J21">
        <v>736000</v>
      </c>
      <c r="K21">
        <v>1807000</v>
      </c>
      <c r="L21">
        <v>155200</v>
      </c>
      <c r="M21">
        <v>91800</v>
      </c>
      <c r="N21">
        <v>33300</v>
      </c>
      <c r="O21">
        <v>387000</v>
      </c>
      <c r="P21">
        <v>297500</v>
      </c>
      <c r="Q21">
        <v>1807000</v>
      </c>
      <c r="R21">
        <v>182200</v>
      </c>
      <c r="S21">
        <v>275000</v>
      </c>
      <c r="T21">
        <v>152100</v>
      </c>
      <c r="U21">
        <v>29900</v>
      </c>
      <c r="V21">
        <v>215000</v>
      </c>
      <c r="W21">
        <v>82400</v>
      </c>
      <c r="X21">
        <v>101200</v>
      </c>
      <c r="Y21">
        <v>60400</v>
      </c>
      <c r="Z21">
        <v>169500</v>
      </c>
      <c r="AA21">
        <v>88800</v>
      </c>
      <c r="AB21">
        <v>1262000</v>
      </c>
      <c r="AC21">
        <v>139800</v>
      </c>
      <c r="AD21">
        <v>465500</v>
      </c>
      <c r="AE21">
        <v>492500</v>
      </c>
      <c r="AF21">
        <v>12562100</v>
      </c>
    </row>
    <row r="22" spans="1:32">
      <c r="A22" s="2">
        <v>20260127</v>
      </c>
      <c r="B22">
        <v>426500</v>
      </c>
      <c r="C22">
        <v>901000</v>
      </c>
      <c r="D22">
        <v>588000</v>
      </c>
      <c r="E22">
        <v>143000</v>
      </c>
      <c r="F22">
        <v>408500</v>
      </c>
      <c r="G22">
        <v>281500</v>
      </c>
      <c r="H22">
        <v>359500</v>
      </c>
      <c r="I22">
        <v>473000</v>
      </c>
      <c r="J22">
        <v>800000</v>
      </c>
      <c r="K22">
        <v>1831000</v>
      </c>
      <c r="L22">
        <v>153500</v>
      </c>
      <c r="M22">
        <v>93600</v>
      </c>
      <c r="N22">
        <v>34800</v>
      </c>
      <c r="O22">
        <v>387500</v>
      </c>
      <c r="P22">
        <v>298000</v>
      </c>
      <c r="Q22">
        <v>1790000</v>
      </c>
      <c r="R22">
        <v>187100</v>
      </c>
      <c r="S22">
        <v>277000</v>
      </c>
      <c r="T22">
        <v>159500</v>
      </c>
      <c r="U22">
        <v>30300</v>
      </c>
      <c r="V22">
        <v>211500</v>
      </c>
      <c r="W22">
        <v>86100</v>
      </c>
      <c r="X22">
        <v>105000</v>
      </c>
      <c r="Y22">
        <v>60500</v>
      </c>
      <c r="Z22">
        <v>174800</v>
      </c>
      <c r="AA22">
        <v>87600</v>
      </c>
      <c r="AB22">
        <v>1230000</v>
      </c>
      <c r="AC22">
        <v>140500</v>
      </c>
      <c r="AD22">
        <v>460000</v>
      </c>
      <c r="AE22">
        <v>488500</v>
      </c>
      <c r="AF22">
        <v>12667800</v>
      </c>
    </row>
    <row r="23" spans="1:32">
      <c r="A23" s="2">
        <v>20260128</v>
      </c>
      <c r="B23">
        <v>422500</v>
      </c>
      <c r="C23">
        <v>902000</v>
      </c>
      <c r="D23">
        <v>586000</v>
      </c>
      <c r="E23">
        <v>137900</v>
      </c>
      <c r="F23">
        <v>431000</v>
      </c>
      <c r="G23">
        <v>277500</v>
      </c>
      <c r="H23">
        <v>378000</v>
      </c>
      <c r="I23">
        <v>504000</v>
      </c>
      <c r="J23">
        <v>841000</v>
      </c>
      <c r="K23">
        <v>1801000</v>
      </c>
      <c r="L23">
        <v>149700</v>
      </c>
      <c r="M23">
        <v>92000</v>
      </c>
      <c r="N23">
        <v>34800</v>
      </c>
      <c r="O23">
        <v>396500</v>
      </c>
      <c r="P23">
        <v>302000</v>
      </c>
      <c r="Q23">
        <v>1791000</v>
      </c>
      <c r="R23">
        <v>192200</v>
      </c>
      <c r="S23">
        <v>280000</v>
      </c>
      <c r="T23">
        <v>162400</v>
      </c>
      <c r="U23">
        <v>30200</v>
      </c>
      <c r="V23">
        <v>218500</v>
      </c>
      <c r="W23">
        <v>83800</v>
      </c>
      <c r="X23">
        <v>102700</v>
      </c>
      <c r="Y23">
        <v>59400</v>
      </c>
      <c r="Z23">
        <v>182000</v>
      </c>
      <c r="AA23">
        <v>89000</v>
      </c>
      <c r="AB23">
        <v>1288000</v>
      </c>
      <c r="AC23">
        <v>143400</v>
      </c>
      <c r="AD23">
        <v>447000</v>
      </c>
      <c r="AE23">
        <v>492500</v>
      </c>
      <c r="AF23">
        <v>12818000</v>
      </c>
    </row>
    <row r="24" spans="1:32">
      <c r="A24" s="2">
        <v>20260129</v>
      </c>
      <c r="B24">
        <v>421000</v>
      </c>
      <c r="C24">
        <v>897000</v>
      </c>
      <c r="D24">
        <v>588000</v>
      </c>
      <c r="E24">
        <v>137800</v>
      </c>
      <c r="F24">
        <v>416500</v>
      </c>
      <c r="G24">
        <v>287000</v>
      </c>
      <c r="H24">
        <v>364000</v>
      </c>
      <c r="I24">
        <v>531000</v>
      </c>
      <c r="J24">
        <v>861000</v>
      </c>
      <c r="K24">
        <v>1959000</v>
      </c>
      <c r="L24">
        <v>154900</v>
      </c>
      <c r="M24">
        <v>94000</v>
      </c>
      <c r="N24">
        <v>40850</v>
      </c>
      <c r="O24">
        <v>388000</v>
      </c>
      <c r="P24">
        <v>303000</v>
      </c>
      <c r="Q24">
        <v>1776000</v>
      </c>
      <c r="R24">
        <v>192000</v>
      </c>
      <c r="S24">
        <v>279500</v>
      </c>
      <c r="T24">
        <v>160700</v>
      </c>
      <c r="U24">
        <v>29800</v>
      </c>
      <c r="V24">
        <v>214500</v>
      </c>
      <c r="W24">
        <v>85100</v>
      </c>
      <c r="X24">
        <v>103600</v>
      </c>
      <c r="Y24">
        <v>61000</v>
      </c>
      <c r="Z24">
        <v>203500</v>
      </c>
      <c r="AA24">
        <v>92800</v>
      </c>
      <c r="AB24">
        <v>1300000</v>
      </c>
      <c r="AC24">
        <v>141900</v>
      </c>
      <c r="AD24">
        <v>457000</v>
      </c>
      <c r="AE24">
        <v>528000</v>
      </c>
      <c r="AF24">
        <v>13068450</v>
      </c>
    </row>
    <row r="25" spans="1:32">
      <c r="A25" s="2">
        <v>20260130</v>
      </c>
      <c r="B25">
        <v>413500</v>
      </c>
      <c r="C25">
        <v>889000</v>
      </c>
      <c r="D25">
        <v>575000</v>
      </c>
      <c r="E25">
        <v>135200</v>
      </c>
      <c r="F25">
        <v>398000</v>
      </c>
      <c r="G25">
        <v>275000</v>
      </c>
      <c r="H25">
        <v>347500</v>
      </c>
      <c r="I25">
        <v>570000</v>
      </c>
      <c r="J25">
        <v>909000</v>
      </c>
      <c r="K25">
        <v>1884000</v>
      </c>
      <c r="L25">
        <v>152600</v>
      </c>
      <c r="M25">
        <v>90600</v>
      </c>
      <c r="N25">
        <v>42750</v>
      </c>
      <c r="O25">
        <v>390000</v>
      </c>
      <c r="P25">
        <v>301500</v>
      </c>
      <c r="Q25">
        <v>1745000</v>
      </c>
      <c r="R25">
        <v>188300</v>
      </c>
      <c r="S25">
        <v>279000</v>
      </c>
      <c r="T25">
        <v>160500</v>
      </c>
      <c r="U25">
        <v>29450</v>
      </c>
      <c r="V25">
        <v>210000</v>
      </c>
      <c r="W25">
        <v>84300</v>
      </c>
      <c r="X25">
        <v>100100</v>
      </c>
      <c r="Y25">
        <v>58300</v>
      </c>
      <c r="Z25">
        <v>211000</v>
      </c>
      <c r="AA25">
        <v>94200</v>
      </c>
      <c r="AB25">
        <v>1300000</v>
      </c>
      <c r="AC25">
        <v>138500</v>
      </c>
      <c r="AD25">
        <v>449000</v>
      </c>
      <c r="AE25">
        <v>500000</v>
      </c>
      <c r="AF25">
        <v>12921300</v>
      </c>
    </row>
    <row r="26" spans="1:32">
      <c r="A26" s="2">
        <v>20260202</v>
      </c>
      <c r="B26">
        <v>401500</v>
      </c>
      <c r="C26">
        <v>836000</v>
      </c>
      <c r="D26">
        <v>549000</v>
      </c>
      <c r="E26">
        <v>133700</v>
      </c>
      <c r="F26">
        <v>380000</v>
      </c>
      <c r="G26">
        <v>268000</v>
      </c>
      <c r="H26">
        <v>341500</v>
      </c>
      <c r="I26">
        <v>505000</v>
      </c>
      <c r="J26">
        <v>830000</v>
      </c>
      <c r="K26">
        <v>1650000</v>
      </c>
      <c r="L26">
        <v>150100</v>
      </c>
      <c r="M26">
        <v>86200</v>
      </c>
      <c r="N26">
        <v>40050</v>
      </c>
      <c r="O26">
        <v>356000</v>
      </c>
      <c r="P26">
        <v>291000</v>
      </c>
      <c r="Q26">
        <v>1711000</v>
      </c>
      <c r="R26">
        <v>179000</v>
      </c>
      <c r="S26">
        <v>283000</v>
      </c>
      <c r="T26">
        <v>150400</v>
      </c>
      <c r="U26">
        <v>27400</v>
      </c>
      <c r="V26">
        <v>203000</v>
      </c>
      <c r="W26">
        <v>82500</v>
      </c>
      <c r="X26">
        <v>103300</v>
      </c>
      <c r="Y26">
        <v>57300</v>
      </c>
      <c r="Z26">
        <v>187100</v>
      </c>
      <c r="AA26">
        <v>92900</v>
      </c>
      <c r="AB26">
        <v>1239000</v>
      </c>
      <c r="AC26">
        <v>133600</v>
      </c>
      <c r="AD26">
        <v>436000</v>
      </c>
      <c r="AE26">
        <v>478000</v>
      </c>
      <c r="AF26">
        <v>12181550</v>
      </c>
    </row>
    <row r="27" spans="1:32">
      <c r="A27" s="2">
        <v>20260203</v>
      </c>
      <c r="B27">
        <v>417500</v>
      </c>
      <c r="C27">
        <v>889000</v>
      </c>
      <c r="D27">
        <v>582000</v>
      </c>
      <c r="E27">
        <v>138800</v>
      </c>
      <c r="F27">
        <v>391000</v>
      </c>
      <c r="G27">
        <v>269000</v>
      </c>
      <c r="H27">
        <v>357000</v>
      </c>
      <c r="I27">
        <v>546000</v>
      </c>
      <c r="J27">
        <v>907000</v>
      </c>
      <c r="K27">
        <v>1716000</v>
      </c>
      <c r="L27">
        <v>154000</v>
      </c>
      <c r="M27">
        <v>91200</v>
      </c>
      <c r="N27">
        <v>49950</v>
      </c>
      <c r="O27">
        <v>374500</v>
      </c>
      <c r="P27">
        <v>315000</v>
      </c>
      <c r="Q27">
        <v>1749000</v>
      </c>
      <c r="R27">
        <v>186300</v>
      </c>
      <c r="S27">
        <v>307500</v>
      </c>
      <c r="T27">
        <v>167500</v>
      </c>
      <c r="U27">
        <v>28650</v>
      </c>
      <c r="V27">
        <v>207500</v>
      </c>
      <c r="W27">
        <v>88000</v>
      </c>
      <c r="X27">
        <v>110200</v>
      </c>
      <c r="Y27">
        <v>59500</v>
      </c>
      <c r="Z27">
        <v>199300</v>
      </c>
      <c r="AA27">
        <v>119500</v>
      </c>
      <c r="AB27">
        <v>1299000</v>
      </c>
      <c r="AC27">
        <v>141400</v>
      </c>
      <c r="AD27">
        <v>444500</v>
      </c>
      <c r="AE27">
        <v>491500</v>
      </c>
      <c r="AF27">
        <v>12797300</v>
      </c>
    </row>
    <row r="28" spans="1:32">
      <c r="A28" s="2">
        <v>20260204</v>
      </c>
      <c r="B28">
        <v>424500</v>
      </c>
      <c r="C28">
        <v>924000</v>
      </c>
      <c r="D28">
        <v>583000</v>
      </c>
      <c r="E28">
        <v>142100</v>
      </c>
      <c r="F28">
        <v>402500</v>
      </c>
      <c r="G28">
        <v>264500</v>
      </c>
      <c r="H28">
        <v>363500</v>
      </c>
      <c r="I28">
        <v>569000</v>
      </c>
      <c r="J28">
        <v>900000</v>
      </c>
      <c r="K28">
        <v>1829000</v>
      </c>
      <c r="L28">
        <v>156800</v>
      </c>
      <c r="M28">
        <v>96500</v>
      </c>
      <c r="N28">
        <v>51200</v>
      </c>
      <c r="O28">
        <v>391500</v>
      </c>
      <c r="P28">
        <v>316500</v>
      </c>
      <c r="Q28">
        <v>1759000</v>
      </c>
      <c r="R28">
        <v>197500</v>
      </c>
      <c r="S28">
        <v>305000</v>
      </c>
      <c r="T28">
        <v>169100</v>
      </c>
      <c r="U28">
        <v>29250</v>
      </c>
      <c r="V28">
        <v>214500</v>
      </c>
      <c r="W28">
        <v>90300</v>
      </c>
      <c r="X28">
        <v>112500</v>
      </c>
      <c r="Y28">
        <v>62700</v>
      </c>
      <c r="Z28">
        <v>202500</v>
      </c>
      <c r="AA28">
        <v>123000</v>
      </c>
      <c r="AB28">
        <v>1324000</v>
      </c>
      <c r="AC28">
        <v>144000</v>
      </c>
      <c r="AD28">
        <v>448500</v>
      </c>
      <c r="AE28">
        <v>504000</v>
      </c>
      <c r="AF28">
        <v>13100450</v>
      </c>
    </row>
    <row r="29" spans="1:32">
      <c r="A29" s="2">
        <v>20260205</v>
      </c>
      <c r="B29">
        <v>409000</v>
      </c>
      <c r="C29">
        <v>873000</v>
      </c>
      <c r="D29">
        <v>550000</v>
      </c>
      <c r="E29">
        <v>139500</v>
      </c>
      <c r="F29">
        <v>395000</v>
      </c>
      <c r="G29">
        <v>257000</v>
      </c>
      <c r="H29">
        <v>367000</v>
      </c>
      <c r="I29">
        <v>534000</v>
      </c>
      <c r="J29">
        <v>842000</v>
      </c>
      <c r="K29">
        <v>1709000</v>
      </c>
      <c r="L29">
        <v>156200</v>
      </c>
      <c r="M29">
        <v>90600</v>
      </c>
      <c r="N29">
        <v>49600</v>
      </c>
      <c r="O29">
        <v>385500</v>
      </c>
      <c r="P29">
        <v>306000</v>
      </c>
      <c r="Q29">
        <v>1700000</v>
      </c>
      <c r="R29">
        <v>191700</v>
      </c>
      <c r="S29">
        <v>290000</v>
      </c>
      <c r="T29">
        <v>159300</v>
      </c>
      <c r="U29">
        <v>28100</v>
      </c>
      <c r="V29">
        <v>217500</v>
      </c>
      <c r="W29">
        <v>90900</v>
      </c>
      <c r="X29">
        <v>114100</v>
      </c>
      <c r="Y29">
        <v>61900</v>
      </c>
      <c r="Z29">
        <v>193500</v>
      </c>
      <c r="AA29">
        <v>111300</v>
      </c>
      <c r="AB29">
        <v>1227000</v>
      </c>
      <c r="AC29">
        <v>135600</v>
      </c>
      <c r="AD29">
        <v>433500</v>
      </c>
      <c r="AE29">
        <v>488500</v>
      </c>
      <c r="AF29">
        <v>12506300</v>
      </c>
    </row>
    <row r="30" spans="1:32">
      <c r="A30" s="2">
        <v>20260206</v>
      </c>
      <c r="B30">
        <v>395500</v>
      </c>
      <c r="C30">
        <v>840000</v>
      </c>
      <c r="D30">
        <v>539000</v>
      </c>
      <c r="E30">
        <v>149300</v>
      </c>
      <c r="F30">
        <v>385000</v>
      </c>
      <c r="G30">
        <v>249000</v>
      </c>
      <c r="H30">
        <v>359500</v>
      </c>
      <c r="I30">
        <v>514000</v>
      </c>
      <c r="J30">
        <v>839000</v>
      </c>
      <c r="K30">
        <v>1641000</v>
      </c>
      <c r="L30">
        <v>151900</v>
      </c>
      <c r="M30">
        <v>89000</v>
      </c>
      <c r="N30">
        <v>48000</v>
      </c>
      <c r="O30">
        <v>370000</v>
      </c>
      <c r="P30">
        <v>289500</v>
      </c>
      <c r="Q30">
        <v>1668000</v>
      </c>
      <c r="R30">
        <v>184300</v>
      </c>
      <c r="S30">
        <v>284000</v>
      </c>
      <c r="T30">
        <v>158600</v>
      </c>
      <c r="U30">
        <v>27500</v>
      </c>
      <c r="V30">
        <v>220000</v>
      </c>
      <c r="W30">
        <v>93600</v>
      </c>
      <c r="X30">
        <v>114600</v>
      </c>
      <c r="Y30">
        <v>60700</v>
      </c>
      <c r="Z30">
        <v>196000</v>
      </c>
      <c r="AA30">
        <v>103000</v>
      </c>
      <c r="AB30">
        <v>1181000</v>
      </c>
      <c r="AC30">
        <v>130600</v>
      </c>
      <c r="AD30">
        <v>426000</v>
      </c>
      <c r="AE30">
        <v>467500</v>
      </c>
      <c r="AF30">
        <v>12175100</v>
      </c>
    </row>
    <row r="31" spans="1:32">
      <c r="A31" s="2">
        <v>20260209</v>
      </c>
      <c r="B31">
        <v>390000</v>
      </c>
      <c r="C31">
        <v>933000</v>
      </c>
      <c r="D31">
        <v>540000</v>
      </c>
      <c r="E31">
        <v>151400</v>
      </c>
      <c r="F31">
        <v>394500</v>
      </c>
      <c r="G31">
        <v>250000</v>
      </c>
      <c r="H31">
        <v>363500</v>
      </c>
      <c r="I31">
        <v>563000</v>
      </c>
      <c r="J31">
        <v>887000</v>
      </c>
      <c r="K31">
        <v>1709000</v>
      </c>
      <c r="L31">
        <v>153800</v>
      </c>
      <c r="M31">
        <v>95400</v>
      </c>
      <c r="N31">
        <v>53400</v>
      </c>
      <c r="O31">
        <v>380000</v>
      </c>
      <c r="P31">
        <v>312500</v>
      </c>
      <c r="Q31">
        <v>1694000</v>
      </c>
      <c r="R31">
        <v>193000</v>
      </c>
      <c r="S31">
        <v>304000</v>
      </c>
      <c r="T31">
        <v>166400</v>
      </c>
      <c r="U31">
        <v>27950</v>
      </c>
      <c r="V31">
        <v>230000</v>
      </c>
      <c r="W31">
        <v>93400</v>
      </c>
      <c r="X31">
        <v>118800</v>
      </c>
      <c r="Y31">
        <v>62600</v>
      </c>
      <c r="Z31">
        <v>197800</v>
      </c>
      <c r="AA31">
        <v>104400</v>
      </c>
      <c r="AB31">
        <v>1193000</v>
      </c>
      <c r="AC31">
        <v>133200</v>
      </c>
      <c r="AD31">
        <v>435000</v>
      </c>
      <c r="AE31">
        <v>478000</v>
      </c>
      <c r="AF31">
        <v>12608050</v>
      </c>
    </row>
    <row r="32" spans="1:32">
      <c r="A32" s="2">
        <v>20260210</v>
      </c>
      <c r="B32">
        <v>382000</v>
      </c>
      <c r="C32">
        <v>939000</v>
      </c>
      <c r="D32">
        <v>534000</v>
      </c>
      <c r="E32">
        <v>155500</v>
      </c>
      <c r="F32">
        <v>390500</v>
      </c>
      <c r="G32">
        <v>254000</v>
      </c>
      <c r="H32">
        <v>371000</v>
      </c>
      <c r="I32">
        <v>543000</v>
      </c>
      <c r="J32">
        <v>876000</v>
      </c>
      <c r="K32">
        <v>1701000</v>
      </c>
      <c r="L32">
        <v>154700</v>
      </c>
      <c r="M32">
        <v>94100</v>
      </c>
      <c r="N32">
        <v>51900</v>
      </c>
      <c r="O32">
        <v>381000</v>
      </c>
      <c r="P32">
        <v>317000</v>
      </c>
      <c r="Q32">
        <v>1710000</v>
      </c>
      <c r="R32">
        <v>197700</v>
      </c>
      <c r="S32">
        <v>313500</v>
      </c>
      <c r="T32">
        <v>165800</v>
      </c>
      <c r="U32">
        <v>27850</v>
      </c>
      <c r="V32">
        <v>227500</v>
      </c>
      <c r="W32">
        <v>97900</v>
      </c>
      <c r="X32">
        <v>122200</v>
      </c>
      <c r="Y32">
        <v>60800</v>
      </c>
      <c r="Z32">
        <v>194900</v>
      </c>
      <c r="AA32">
        <v>101300</v>
      </c>
      <c r="AB32">
        <v>1146000</v>
      </c>
      <c r="AC32">
        <v>130900</v>
      </c>
      <c r="AD32">
        <v>437000</v>
      </c>
      <c r="AE32">
        <v>480500</v>
      </c>
      <c r="AF32">
        <v>12558550</v>
      </c>
    </row>
    <row r="33" spans="1:32">
      <c r="A33" s="2">
        <v>20260211</v>
      </c>
      <c r="B33">
        <v>390000</v>
      </c>
      <c r="C33">
        <v>995000</v>
      </c>
      <c r="D33">
        <v>537000</v>
      </c>
      <c r="E33">
        <v>164500</v>
      </c>
      <c r="F33">
        <v>392000</v>
      </c>
      <c r="G33">
        <v>257500</v>
      </c>
      <c r="H33">
        <v>372000</v>
      </c>
      <c r="I33">
        <v>532000</v>
      </c>
      <c r="J33">
        <v>860000</v>
      </c>
      <c r="K33">
        <v>1678000</v>
      </c>
      <c r="L33">
        <v>161800</v>
      </c>
      <c r="M33">
        <v>95500</v>
      </c>
      <c r="N33">
        <v>51300</v>
      </c>
      <c r="O33">
        <v>377000</v>
      </c>
      <c r="P33">
        <v>316500</v>
      </c>
      <c r="Q33">
        <v>1712000</v>
      </c>
      <c r="R33">
        <v>200000</v>
      </c>
      <c r="S33">
        <v>309500</v>
      </c>
      <c r="T33">
        <v>167800</v>
      </c>
      <c r="U33">
        <v>28000</v>
      </c>
      <c r="V33">
        <v>239500</v>
      </c>
      <c r="W33">
        <v>100900</v>
      </c>
      <c r="X33">
        <v>125800</v>
      </c>
      <c r="Y33">
        <v>61000</v>
      </c>
      <c r="Z33">
        <v>190500</v>
      </c>
      <c r="AA33">
        <v>101400</v>
      </c>
      <c r="AB33">
        <v>1130000</v>
      </c>
      <c r="AC33">
        <v>129700</v>
      </c>
      <c r="AD33">
        <v>446000</v>
      </c>
      <c r="AE33">
        <v>509000</v>
      </c>
      <c r="AF33">
        <v>12631200</v>
      </c>
    </row>
    <row r="34" spans="1:32">
      <c r="A34" s="2">
        <v>20260212</v>
      </c>
      <c r="B34">
        <v>397000</v>
      </c>
      <c r="C34">
        <v>966000</v>
      </c>
      <c r="D34">
        <v>539000</v>
      </c>
      <c r="E34">
        <v>168500</v>
      </c>
      <c r="F34">
        <v>410000</v>
      </c>
      <c r="G34">
        <v>255500</v>
      </c>
      <c r="H34">
        <v>383000</v>
      </c>
      <c r="I34">
        <v>570000</v>
      </c>
      <c r="J34">
        <v>888000</v>
      </c>
      <c r="K34">
        <v>1732000</v>
      </c>
      <c r="L34">
        <v>166300</v>
      </c>
      <c r="M34">
        <v>95500</v>
      </c>
      <c r="N34">
        <v>53400</v>
      </c>
      <c r="O34">
        <v>385500</v>
      </c>
      <c r="P34">
        <v>334000</v>
      </c>
      <c r="Q34">
        <v>1719000</v>
      </c>
      <c r="R34">
        <v>205000</v>
      </c>
      <c r="S34">
        <v>319500</v>
      </c>
      <c r="T34">
        <v>178600</v>
      </c>
      <c r="U34">
        <v>28150</v>
      </c>
      <c r="V34">
        <v>238500</v>
      </c>
      <c r="W34">
        <v>106000</v>
      </c>
      <c r="X34">
        <v>130000</v>
      </c>
      <c r="Y34">
        <v>60100</v>
      </c>
      <c r="Z34">
        <v>209500</v>
      </c>
      <c r="AA34">
        <v>105800</v>
      </c>
      <c r="AB34">
        <v>1131000</v>
      </c>
      <c r="AC34">
        <v>131800</v>
      </c>
      <c r="AD34">
        <v>446000</v>
      </c>
      <c r="AE34">
        <v>506000</v>
      </c>
      <c r="AF34">
        <v>12858650</v>
      </c>
    </row>
    <row r="35" spans="1:32">
      <c r="A35" s="2">
        <v>20260213</v>
      </c>
      <c r="B35">
        <v>397500</v>
      </c>
      <c r="C35">
        <v>949000</v>
      </c>
      <c r="D35">
        <v>543000</v>
      </c>
      <c r="E35">
        <v>167900</v>
      </c>
      <c r="F35">
        <v>395000</v>
      </c>
      <c r="G35">
        <v>252500</v>
      </c>
      <c r="H35">
        <v>375500</v>
      </c>
      <c r="I35">
        <v>558000</v>
      </c>
      <c r="J35">
        <v>880000</v>
      </c>
      <c r="K35">
        <v>1670000</v>
      </c>
      <c r="L35">
        <v>164100</v>
      </c>
      <c r="M35">
        <v>96700</v>
      </c>
      <c r="N35">
        <v>61600</v>
      </c>
      <c r="O35">
        <v>374500</v>
      </c>
      <c r="P35">
        <v>318000</v>
      </c>
      <c r="Q35">
        <v>1710000</v>
      </c>
      <c r="R35">
        <v>205500</v>
      </c>
      <c r="S35">
        <v>309500</v>
      </c>
      <c r="T35">
        <v>181200</v>
      </c>
      <c r="U35">
        <v>27700</v>
      </c>
      <c r="V35">
        <v>238000</v>
      </c>
      <c r="W35">
        <v>102500</v>
      </c>
      <c r="X35">
        <v>127600</v>
      </c>
      <c r="Y35">
        <v>59800</v>
      </c>
      <c r="Z35">
        <v>202500</v>
      </c>
      <c r="AA35">
        <v>103400</v>
      </c>
      <c r="AB35">
        <v>1105000</v>
      </c>
      <c r="AC35">
        <v>129800</v>
      </c>
      <c r="AD35">
        <v>435000</v>
      </c>
      <c r="AE35">
        <v>499000</v>
      </c>
      <c r="AF35">
        <v>12639800</v>
      </c>
    </row>
    <row r="36" spans="1:32">
      <c r="A36" s="2">
        <v>20260219</v>
      </c>
      <c r="B36">
        <v>422500</v>
      </c>
      <c r="C36">
        <v>967000</v>
      </c>
      <c r="D36">
        <v>574000</v>
      </c>
      <c r="E36">
        <v>166500</v>
      </c>
      <c r="F36">
        <v>403500</v>
      </c>
      <c r="G36">
        <v>253000</v>
      </c>
      <c r="H36">
        <v>389000</v>
      </c>
      <c r="I36">
        <v>566000</v>
      </c>
      <c r="J36">
        <v>894000</v>
      </c>
      <c r="K36">
        <v>1669000</v>
      </c>
      <c r="L36">
        <v>170000</v>
      </c>
      <c r="M36">
        <v>98400</v>
      </c>
      <c r="N36">
        <v>70500</v>
      </c>
      <c r="O36">
        <v>408000</v>
      </c>
      <c r="P36">
        <v>319500</v>
      </c>
      <c r="Q36">
        <v>1720000</v>
      </c>
      <c r="R36">
        <v>209000</v>
      </c>
      <c r="S36">
        <v>358000</v>
      </c>
      <c r="T36">
        <v>190000</v>
      </c>
      <c r="U36">
        <v>28900</v>
      </c>
      <c r="V36">
        <v>244500</v>
      </c>
      <c r="W36">
        <v>100300</v>
      </c>
      <c r="X36">
        <v>126300</v>
      </c>
      <c r="Y36">
        <v>62100</v>
      </c>
      <c r="Z36">
        <v>201500</v>
      </c>
      <c r="AA36">
        <v>106400</v>
      </c>
      <c r="AB36">
        <v>1149000</v>
      </c>
      <c r="AC36">
        <v>140600</v>
      </c>
      <c r="AD36">
        <v>440500</v>
      </c>
      <c r="AE36">
        <v>513000</v>
      </c>
      <c r="AF36">
        <v>12961000</v>
      </c>
    </row>
    <row r="37" spans="1:32">
      <c r="A37" s="2">
        <v>20260220</v>
      </c>
      <c r="B37">
        <v>452000</v>
      </c>
      <c r="C37">
        <v>1011000</v>
      </c>
      <c r="D37">
        <v>602000</v>
      </c>
      <c r="E37">
        <v>168800</v>
      </c>
      <c r="F37">
        <v>401500</v>
      </c>
      <c r="G37">
        <v>254500</v>
      </c>
      <c r="H37">
        <v>394000</v>
      </c>
      <c r="I37">
        <v>580000</v>
      </c>
      <c r="J37">
        <v>949000</v>
      </c>
      <c r="K37">
        <v>1663000</v>
      </c>
      <c r="L37">
        <v>171800</v>
      </c>
      <c r="M37">
        <v>103500</v>
      </c>
      <c r="N37">
        <v>70900</v>
      </c>
      <c r="O37">
        <v>402000</v>
      </c>
      <c r="P37">
        <v>331000</v>
      </c>
      <c r="Q37">
        <v>1736000</v>
      </c>
      <c r="R37">
        <v>219000</v>
      </c>
      <c r="S37">
        <v>377000</v>
      </c>
      <c r="T37">
        <v>190100</v>
      </c>
      <c r="U37">
        <v>29500</v>
      </c>
      <c r="V37">
        <v>242000</v>
      </c>
      <c r="W37">
        <v>102000</v>
      </c>
      <c r="X37">
        <v>131300</v>
      </c>
      <c r="Y37">
        <v>63000</v>
      </c>
      <c r="Z37">
        <v>200500</v>
      </c>
      <c r="AA37">
        <v>116500</v>
      </c>
      <c r="AB37">
        <v>1242000</v>
      </c>
      <c r="AC37">
        <v>149900</v>
      </c>
      <c r="AD37">
        <v>443000</v>
      </c>
      <c r="AE37">
        <v>509000</v>
      </c>
      <c r="AF37">
        <v>13305800</v>
      </c>
    </row>
    <row r="38" spans="1:32">
      <c r="A38" s="2">
        <v>20260223</v>
      </c>
      <c r="B38">
        <v>472000</v>
      </c>
      <c r="C38">
        <v>1067000</v>
      </c>
      <c r="D38">
        <v>607000</v>
      </c>
      <c r="E38">
        <v>168700</v>
      </c>
      <c r="F38">
        <v>396000</v>
      </c>
      <c r="G38">
        <v>255500</v>
      </c>
      <c r="H38">
        <v>388000</v>
      </c>
      <c r="I38">
        <v>580000</v>
      </c>
      <c r="J38">
        <v>951000</v>
      </c>
      <c r="K38">
        <v>1723000</v>
      </c>
      <c r="L38">
        <v>172700</v>
      </c>
      <c r="M38">
        <v>102000</v>
      </c>
      <c r="N38">
        <v>68300</v>
      </c>
      <c r="O38">
        <v>391500</v>
      </c>
      <c r="P38">
        <v>332000</v>
      </c>
      <c r="Q38">
        <v>1717000</v>
      </c>
      <c r="R38">
        <v>232000</v>
      </c>
      <c r="S38">
        <v>426500</v>
      </c>
      <c r="T38">
        <v>193000</v>
      </c>
      <c r="U38">
        <v>29250</v>
      </c>
      <c r="V38">
        <v>243000</v>
      </c>
      <c r="W38">
        <v>101800</v>
      </c>
      <c r="X38">
        <v>129100</v>
      </c>
      <c r="Y38">
        <v>62700</v>
      </c>
      <c r="Z38">
        <v>204000</v>
      </c>
      <c r="AA38">
        <v>111300</v>
      </c>
      <c r="AB38">
        <v>1236000</v>
      </c>
      <c r="AC38">
        <v>147200</v>
      </c>
      <c r="AD38">
        <v>445500</v>
      </c>
      <c r="AE38">
        <v>523000</v>
      </c>
      <c r="AF38">
        <v>13476050</v>
      </c>
    </row>
    <row r="39" spans="1:32">
      <c r="A39" s="2">
        <v>20260224</v>
      </c>
      <c r="B39">
        <v>457500</v>
      </c>
      <c r="C39">
        <v>1070000</v>
      </c>
      <c r="D39">
        <v>596000</v>
      </c>
      <c r="E39">
        <v>166700</v>
      </c>
      <c r="F39">
        <v>412500</v>
      </c>
      <c r="G39">
        <v>255000</v>
      </c>
      <c r="H39">
        <v>399500</v>
      </c>
      <c r="I39">
        <v>617000</v>
      </c>
      <c r="J39">
        <v>1005000</v>
      </c>
      <c r="K39">
        <v>1871000</v>
      </c>
      <c r="L39">
        <v>174000</v>
      </c>
      <c r="M39">
        <v>101300</v>
      </c>
      <c r="N39">
        <v>67100</v>
      </c>
      <c r="O39">
        <v>421500</v>
      </c>
      <c r="P39">
        <v>338000</v>
      </c>
      <c r="Q39">
        <v>1723000</v>
      </c>
      <c r="R39">
        <v>224000</v>
      </c>
      <c r="S39">
        <v>446000</v>
      </c>
      <c r="T39">
        <v>200000</v>
      </c>
      <c r="U39">
        <v>29000</v>
      </c>
      <c r="V39">
        <v>248500</v>
      </c>
      <c r="W39">
        <v>100900</v>
      </c>
      <c r="X39">
        <v>126100</v>
      </c>
      <c r="Y39">
        <v>62800</v>
      </c>
      <c r="Z39">
        <v>210000</v>
      </c>
      <c r="AA39">
        <v>110800</v>
      </c>
      <c r="AB39">
        <v>1241000</v>
      </c>
      <c r="AC39">
        <v>143100</v>
      </c>
      <c r="AD39">
        <v>453000</v>
      </c>
      <c r="AE39">
        <v>524000</v>
      </c>
      <c r="AF39">
        <v>13794300</v>
      </c>
    </row>
    <row r="40" spans="1:32">
      <c r="A40" s="2">
        <v>20260225</v>
      </c>
      <c r="B40">
        <v>467500</v>
      </c>
      <c r="C40">
        <v>1065000</v>
      </c>
      <c r="D40">
        <v>594000</v>
      </c>
      <c r="E40">
        <v>167700</v>
      </c>
      <c r="F40">
        <v>426000</v>
      </c>
      <c r="G40">
        <v>253000</v>
      </c>
      <c r="H40">
        <v>406500</v>
      </c>
      <c r="I40">
        <v>647000</v>
      </c>
      <c r="J40">
        <v>1018000</v>
      </c>
      <c r="K40">
        <v>2115000</v>
      </c>
      <c r="L40">
        <v>196100</v>
      </c>
      <c r="M40">
        <v>103200</v>
      </c>
      <c r="N40">
        <v>72900</v>
      </c>
      <c r="O40">
        <v>433000</v>
      </c>
      <c r="P40">
        <v>347000</v>
      </c>
      <c r="Q40">
        <v>1728000</v>
      </c>
      <c r="R40">
        <v>246000</v>
      </c>
      <c r="S40">
        <v>465000</v>
      </c>
      <c r="T40">
        <v>203500</v>
      </c>
      <c r="U40">
        <v>28950</v>
      </c>
      <c r="V40">
        <v>244500</v>
      </c>
      <c r="W40">
        <v>99500</v>
      </c>
      <c r="X40">
        <v>126000</v>
      </c>
      <c r="Y40">
        <v>64300</v>
      </c>
      <c r="Z40">
        <v>214500</v>
      </c>
      <c r="AA40">
        <v>111400</v>
      </c>
      <c r="AB40">
        <v>1212000</v>
      </c>
      <c r="AC40">
        <v>142000</v>
      </c>
      <c r="AD40">
        <v>469500</v>
      </c>
      <c r="AE40">
        <v>572000</v>
      </c>
      <c r="AF40">
        <v>14239050</v>
      </c>
    </row>
    <row r="41" spans="1:32">
      <c r="A41" s="2">
        <v>20260226</v>
      </c>
      <c r="B41">
        <v>452000</v>
      </c>
      <c r="C41">
        <v>1111000</v>
      </c>
      <c r="D41">
        <v>592000</v>
      </c>
      <c r="E41">
        <v>165300</v>
      </c>
      <c r="F41">
        <v>427000</v>
      </c>
      <c r="G41">
        <v>260500</v>
      </c>
      <c r="H41">
        <v>407500</v>
      </c>
      <c r="I41">
        <v>679000</v>
      </c>
      <c r="J41">
        <v>1099000</v>
      </c>
      <c r="K41">
        <v>2055000</v>
      </c>
      <c r="L41">
        <v>206000</v>
      </c>
      <c r="M41">
        <v>103800</v>
      </c>
      <c r="N41">
        <v>73600</v>
      </c>
      <c r="O41">
        <v>449000</v>
      </c>
      <c r="P41">
        <v>360000</v>
      </c>
      <c r="Q41">
        <v>1766000</v>
      </c>
      <c r="R41">
        <v>239000</v>
      </c>
      <c r="S41">
        <v>466500</v>
      </c>
      <c r="T41">
        <v>218000</v>
      </c>
      <c r="U41">
        <v>28700</v>
      </c>
      <c r="V41">
        <v>242000</v>
      </c>
      <c r="W41">
        <v>99900</v>
      </c>
      <c r="X41">
        <v>124900</v>
      </c>
      <c r="Y41">
        <v>63300</v>
      </c>
      <c r="Z41">
        <v>275500</v>
      </c>
      <c r="AA41">
        <v>110600</v>
      </c>
      <c r="AB41">
        <v>1194000</v>
      </c>
      <c r="AC41">
        <v>140000</v>
      </c>
      <c r="AD41">
        <v>529000</v>
      </c>
      <c r="AE41">
        <v>609000</v>
      </c>
      <c r="AF41">
        <v>14547100</v>
      </c>
    </row>
    <row r="42" spans="1:32">
      <c r="A42" s="2">
        <v>20260227</v>
      </c>
      <c r="B42">
        <v>450000</v>
      </c>
      <c r="C42">
        <v>1050000</v>
      </c>
      <c r="D42">
        <v>603000</v>
      </c>
      <c r="E42">
        <v>159000</v>
      </c>
      <c r="F42">
        <v>427000</v>
      </c>
      <c r="G42">
        <v>254500</v>
      </c>
      <c r="H42">
        <v>413000</v>
      </c>
      <c r="I42">
        <v>645000</v>
      </c>
      <c r="J42">
        <v>1061000</v>
      </c>
      <c r="K42">
        <v>2030000</v>
      </c>
      <c r="L42">
        <v>205500</v>
      </c>
      <c r="M42">
        <v>106300</v>
      </c>
      <c r="N42">
        <v>72000</v>
      </c>
      <c r="O42">
        <v>466000</v>
      </c>
      <c r="P42">
        <v>350500</v>
      </c>
      <c r="Q42">
        <v>1778000</v>
      </c>
      <c r="R42">
        <v>230000</v>
      </c>
      <c r="S42">
        <v>448500</v>
      </c>
      <c r="T42">
        <v>216500</v>
      </c>
      <c r="U42">
        <v>28950</v>
      </c>
      <c r="V42">
        <v>238500</v>
      </c>
      <c r="W42">
        <v>96900</v>
      </c>
      <c r="X42">
        <v>121800</v>
      </c>
      <c r="Y42">
        <v>58500</v>
      </c>
      <c r="Z42">
        <v>323500</v>
      </c>
      <c r="AA42">
        <v>113600</v>
      </c>
      <c r="AB42">
        <v>1195000</v>
      </c>
      <c r="AC42">
        <v>141200</v>
      </c>
      <c r="AD42">
        <v>517000</v>
      </c>
      <c r="AE42">
        <v>674000</v>
      </c>
      <c r="AF42">
        <v>14474750</v>
      </c>
    </row>
    <row r="43" spans="1:32">
      <c r="A43" s="2">
        <v>20260303</v>
      </c>
      <c r="B43">
        <v>441500</v>
      </c>
      <c r="C43">
        <v>987000</v>
      </c>
      <c r="D43">
        <v>590000</v>
      </c>
      <c r="E43">
        <v>153500</v>
      </c>
      <c r="F43">
        <v>393000</v>
      </c>
      <c r="G43">
        <v>236000</v>
      </c>
      <c r="H43">
        <v>374500</v>
      </c>
      <c r="I43">
        <v>581000</v>
      </c>
      <c r="J43">
        <v>939000</v>
      </c>
      <c r="K43">
        <v>1983000</v>
      </c>
      <c r="L43">
        <v>182300</v>
      </c>
      <c r="M43">
        <v>96900</v>
      </c>
      <c r="N43">
        <v>66600</v>
      </c>
      <c r="O43">
        <v>408000</v>
      </c>
      <c r="P43">
        <v>317000</v>
      </c>
      <c r="Q43">
        <v>1681000</v>
      </c>
      <c r="R43">
        <v>221500</v>
      </c>
      <c r="S43">
        <v>409000</v>
      </c>
      <c r="T43">
        <v>195100</v>
      </c>
      <c r="U43">
        <v>28000</v>
      </c>
      <c r="V43">
        <v>225000</v>
      </c>
      <c r="W43">
        <v>96700</v>
      </c>
      <c r="X43">
        <v>120100</v>
      </c>
      <c r="Y43">
        <v>50900</v>
      </c>
      <c r="Z43">
        <v>282000</v>
      </c>
      <c r="AA43">
        <v>146700</v>
      </c>
      <c r="AB43">
        <v>1432000</v>
      </c>
      <c r="AC43">
        <v>135400</v>
      </c>
      <c r="AD43">
        <v>468500</v>
      </c>
      <c r="AE43">
        <v>595000</v>
      </c>
      <c r="AF43">
        <v>13836200</v>
      </c>
    </row>
    <row r="44" spans="1:32">
      <c r="A44" s="2">
        <v>20260304</v>
      </c>
      <c r="B44">
        <v>379000</v>
      </c>
      <c r="C44">
        <v>871000</v>
      </c>
      <c r="D44">
        <v>511000</v>
      </c>
      <c r="E44">
        <v>137700</v>
      </c>
      <c r="F44">
        <v>347500</v>
      </c>
      <c r="G44">
        <v>208000</v>
      </c>
      <c r="H44">
        <v>321500</v>
      </c>
      <c r="I44">
        <v>507000</v>
      </c>
      <c r="J44">
        <v>849000</v>
      </c>
      <c r="K44">
        <v>1632000</v>
      </c>
      <c r="L44">
        <v>156700</v>
      </c>
      <c r="M44">
        <v>80600</v>
      </c>
      <c r="N44">
        <v>56500</v>
      </c>
      <c r="O44">
        <v>351000</v>
      </c>
      <c r="P44">
        <v>272000</v>
      </c>
      <c r="Q44">
        <v>1516000</v>
      </c>
      <c r="R44">
        <v>197500</v>
      </c>
      <c r="S44">
        <v>362500</v>
      </c>
      <c r="T44">
        <v>172200</v>
      </c>
      <c r="U44">
        <v>23500</v>
      </c>
      <c r="V44">
        <v>197400</v>
      </c>
      <c r="W44">
        <v>88800</v>
      </c>
      <c r="X44">
        <v>105500</v>
      </c>
      <c r="Y44">
        <v>45550</v>
      </c>
      <c r="Z44">
        <v>259000</v>
      </c>
      <c r="AA44">
        <v>116000</v>
      </c>
      <c r="AB44">
        <v>1323000</v>
      </c>
      <c r="AC44">
        <v>108500</v>
      </c>
      <c r="AD44">
        <v>399000</v>
      </c>
      <c r="AE44">
        <v>501000</v>
      </c>
      <c r="AF44">
        <v>12095950</v>
      </c>
    </row>
    <row r="45" spans="1:32">
      <c r="A45" s="2">
        <v>20260305</v>
      </c>
      <c r="B45">
        <v>407000</v>
      </c>
      <c r="C45">
        <v>984000</v>
      </c>
      <c r="D45">
        <v>559000</v>
      </c>
      <c r="E45">
        <v>149000</v>
      </c>
      <c r="F45">
        <v>371500</v>
      </c>
      <c r="G45">
        <v>220000</v>
      </c>
      <c r="H45">
        <v>346500</v>
      </c>
      <c r="I45">
        <v>566000</v>
      </c>
      <c r="J45">
        <v>941000</v>
      </c>
      <c r="K45">
        <v>1759000</v>
      </c>
      <c r="L45">
        <v>166400</v>
      </c>
      <c r="M45">
        <v>90500</v>
      </c>
      <c r="N45">
        <v>65200</v>
      </c>
      <c r="O45">
        <v>392500</v>
      </c>
      <c r="P45">
        <v>293000</v>
      </c>
      <c r="Q45">
        <v>1647000</v>
      </c>
      <c r="R45">
        <v>214000</v>
      </c>
      <c r="S45">
        <v>401500</v>
      </c>
      <c r="T45">
        <v>191600</v>
      </c>
      <c r="U45">
        <v>27200</v>
      </c>
      <c r="V45">
        <v>211500</v>
      </c>
      <c r="W45">
        <v>92900</v>
      </c>
      <c r="X45">
        <v>111200</v>
      </c>
      <c r="Y45">
        <v>48200</v>
      </c>
      <c r="Z45">
        <v>315000</v>
      </c>
      <c r="AA45">
        <v>150800</v>
      </c>
      <c r="AB45">
        <v>1381000</v>
      </c>
      <c r="AC45">
        <v>122100</v>
      </c>
      <c r="AD45">
        <v>432000</v>
      </c>
      <c r="AE45">
        <v>548000</v>
      </c>
      <c r="AF45">
        <v>13204600</v>
      </c>
    </row>
    <row r="46" spans="1:32">
      <c r="A46" s="2">
        <v>20260306</v>
      </c>
      <c r="B46">
        <v>402000</v>
      </c>
      <c r="C46">
        <v>968000</v>
      </c>
      <c r="D46">
        <v>554000</v>
      </c>
      <c r="E46">
        <v>147400</v>
      </c>
      <c r="F46">
        <v>377500</v>
      </c>
      <c r="G46">
        <v>222500</v>
      </c>
      <c r="H46">
        <v>353500</v>
      </c>
      <c r="I46">
        <v>553000</v>
      </c>
      <c r="J46">
        <v>924000</v>
      </c>
      <c r="K46">
        <v>1752000</v>
      </c>
      <c r="L46">
        <v>167000</v>
      </c>
      <c r="M46">
        <v>98000</v>
      </c>
      <c r="N46">
        <v>67100</v>
      </c>
      <c r="O46">
        <v>410500</v>
      </c>
      <c r="P46">
        <v>283500</v>
      </c>
      <c r="Q46">
        <v>1644000</v>
      </c>
      <c r="R46">
        <v>210000</v>
      </c>
      <c r="S46">
        <v>404500</v>
      </c>
      <c r="T46">
        <v>188200</v>
      </c>
      <c r="U46">
        <v>27600</v>
      </c>
      <c r="V46">
        <v>212500</v>
      </c>
      <c r="W46">
        <v>91800</v>
      </c>
      <c r="X46">
        <v>110300</v>
      </c>
      <c r="Y46">
        <v>48800</v>
      </c>
      <c r="Z46">
        <v>333500</v>
      </c>
      <c r="AA46">
        <v>158900</v>
      </c>
      <c r="AB46">
        <v>1481000</v>
      </c>
      <c r="AC46">
        <v>126700</v>
      </c>
      <c r="AD46">
        <v>444000</v>
      </c>
      <c r="AE46">
        <v>553000</v>
      </c>
      <c r="AF46">
        <v>13314800</v>
      </c>
    </row>
    <row r="47" spans="1:32">
      <c r="A47" s="2">
        <v>20260309</v>
      </c>
      <c r="B47">
        <v>400000</v>
      </c>
      <c r="C47">
        <v>907000</v>
      </c>
      <c r="D47">
        <v>576000</v>
      </c>
      <c r="E47">
        <v>142600</v>
      </c>
      <c r="F47">
        <v>359500</v>
      </c>
      <c r="G47">
        <v>218500</v>
      </c>
      <c r="H47">
        <v>336000</v>
      </c>
      <c r="I47">
        <v>509000</v>
      </c>
      <c r="J47">
        <v>836000</v>
      </c>
      <c r="K47">
        <v>1596000</v>
      </c>
      <c r="L47">
        <v>153400</v>
      </c>
      <c r="M47">
        <v>96200</v>
      </c>
      <c r="N47">
        <v>64200</v>
      </c>
      <c r="O47">
        <v>389000</v>
      </c>
      <c r="P47">
        <v>270500</v>
      </c>
      <c r="Q47">
        <v>1579000</v>
      </c>
      <c r="R47">
        <v>200500</v>
      </c>
      <c r="S47">
        <v>382000</v>
      </c>
      <c r="T47">
        <v>173500</v>
      </c>
      <c r="U47">
        <v>28550</v>
      </c>
      <c r="V47">
        <v>204000</v>
      </c>
      <c r="W47">
        <v>88500</v>
      </c>
      <c r="X47">
        <v>107900</v>
      </c>
      <c r="Y47">
        <v>44800</v>
      </c>
      <c r="Z47">
        <v>305000</v>
      </c>
      <c r="AA47">
        <v>162700</v>
      </c>
      <c r="AB47">
        <v>1434000</v>
      </c>
      <c r="AC47">
        <v>123700</v>
      </c>
      <c r="AD47">
        <v>409000</v>
      </c>
      <c r="AE47">
        <v>507000</v>
      </c>
      <c r="AF47">
        <v>12604050</v>
      </c>
    </row>
    <row r="48" spans="1:32">
      <c r="A48" s="2">
        <v>20260310</v>
      </c>
      <c r="B48">
        <v>404000</v>
      </c>
      <c r="C48">
        <v>941000</v>
      </c>
      <c r="D48">
        <v>583000</v>
      </c>
      <c r="E48">
        <v>147400</v>
      </c>
      <c r="F48">
        <v>367000</v>
      </c>
      <c r="G48">
        <v>220500</v>
      </c>
      <c r="H48">
        <v>343500</v>
      </c>
      <c r="I48">
        <v>554000</v>
      </c>
      <c r="J48">
        <v>938000</v>
      </c>
      <c r="K48">
        <v>1625000</v>
      </c>
      <c r="L48">
        <v>161000</v>
      </c>
      <c r="M48">
        <v>102500</v>
      </c>
      <c r="N48">
        <v>64600</v>
      </c>
      <c r="O48">
        <v>403500</v>
      </c>
      <c r="P48">
        <v>273000</v>
      </c>
      <c r="Q48">
        <v>1592000</v>
      </c>
      <c r="R48">
        <v>211500</v>
      </c>
      <c r="S48">
        <v>402000</v>
      </c>
      <c r="T48">
        <v>187900</v>
      </c>
      <c r="U48">
        <v>27850</v>
      </c>
      <c r="V48">
        <v>206000</v>
      </c>
      <c r="W48">
        <v>89200</v>
      </c>
      <c r="X48">
        <v>109900</v>
      </c>
      <c r="Y48">
        <v>47600</v>
      </c>
      <c r="Z48">
        <v>324000</v>
      </c>
      <c r="AA48">
        <v>156200</v>
      </c>
      <c r="AB48">
        <v>1455000</v>
      </c>
      <c r="AC48">
        <v>124400</v>
      </c>
      <c r="AD48">
        <v>423000</v>
      </c>
      <c r="AE48">
        <v>525000</v>
      </c>
      <c r="AF48">
        <v>13009550</v>
      </c>
    </row>
    <row r="49" spans="1:32">
      <c r="A49" s="2">
        <v>20260311</v>
      </c>
      <c r="B49">
        <v>420000</v>
      </c>
      <c r="C49">
        <v>939000</v>
      </c>
      <c r="D49">
        <v>590000</v>
      </c>
      <c r="E49">
        <v>151300</v>
      </c>
      <c r="F49">
        <v>369500</v>
      </c>
      <c r="G49">
        <v>222000</v>
      </c>
      <c r="H49">
        <v>345000</v>
      </c>
      <c r="I49">
        <v>565000</v>
      </c>
      <c r="J49">
        <v>955000</v>
      </c>
      <c r="K49">
        <v>1666000</v>
      </c>
      <c r="L49">
        <v>162000</v>
      </c>
      <c r="M49">
        <v>101000</v>
      </c>
      <c r="N49">
        <v>71400</v>
      </c>
      <c r="O49">
        <v>400000</v>
      </c>
      <c r="P49">
        <v>283500</v>
      </c>
      <c r="Q49">
        <v>1657000</v>
      </c>
      <c r="R49">
        <v>226500</v>
      </c>
      <c r="S49">
        <v>406000</v>
      </c>
      <c r="T49">
        <v>190000</v>
      </c>
      <c r="U49">
        <v>28800</v>
      </c>
      <c r="V49">
        <v>209000</v>
      </c>
      <c r="W49">
        <v>91100</v>
      </c>
      <c r="X49">
        <v>113400</v>
      </c>
      <c r="Y49">
        <v>47950</v>
      </c>
      <c r="Z49">
        <v>312500</v>
      </c>
      <c r="AA49">
        <v>147700</v>
      </c>
      <c r="AB49">
        <v>1410000</v>
      </c>
      <c r="AC49">
        <v>133600</v>
      </c>
      <c r="AD49">
        <v>423000</v>
      </c>
      <c r="AE49">
        <v>530000</v>
      </c>
      <c r="AF49">
        <v>13167250</v>
      </c>
    </row>
    <row r="50" spans="1:32">
      <c r="A50" s="2">
        <v>20260312</v>
      </c>
      <c r="B50">
        <v>425000</v>
      </c>
      <c r="C50">
        <v>944000</v>
      </c>
      <c r="D50">
        <v>604000</v>
      </c>
      <c r="E50">
        <v>149200</v>
      </c>
      <c r="F50">
        <v>384000</v>
      </c>
      <c r="G50">
        <v>222000</v>
      </c>
      <c r="H50">
        <v>347500</v>
      </c>
      <c r="I50">
        <v>554000</v>
      </c>
      <c r="J50">
        <v>930000</v>
      </c>
      <c r="K50">
        <v>1674000</v>
      </c>
      <c r="L50">
        <v>167000</v>
      </c>
      <c r="M50">
        <v>103500</v>
      </c>
      <c r="N50">
        <v>70400</v>
      </c>
      <c r="O50">
        <v>400000</v>
      </c>
      <c r="P50">
        <v>280500</v>
      </c>
      <c r="Q50">
        <v>1625000</v>
      </c>
      <c r="R50">
        <v>218500</v>
      </c>
      <c r="S50">
        <v>399500</v>
      </c>
      <c r="T50">
        <v>187900</v>
      </c>
      <c r="U50">
        <v>30850</v>
      </c>
      <c r="V50">
        <v>206000</v>
      </c>
      <c r="W50">
        <v>91900</v>
      </c>
      <c r="X50">
        <v>112500</v>
      </c>
      <c r="Y50">
        <v>47600</v>
      </c>
      <c r="Z50">
        <v>317000</v>
      </c>
      <c r="AA50">
        <v>152300</v>
      </c>
      <c r="AB50">
        <v>1465000</v>
      </c>
      <c r="AC50">
        <v>136700</v>
      </c>
      <c r="AD50">
        <v>414500</v>
      </c>
      <c r="AE50">
        <v>521000</v>
      </c>
      <c r="AF50">
        <v>13181350</v>
      </c>
    </row>
    <row r="51" spans="1:32">
      <c r="A51" s="2">
        <v>20260313</v>
      </c>
      <c r="B51">
        <v>416000</v>
      </c>
      <c r="C51">
        <v>929000</v>
      </c>
      <c r="D51">
        <v>596000</v>
      </c>
      <c r="E51">
        <v>148900</v>
      </c>
      <c r="F51">
        <v>369000</v>
      </c>
      <c r="G51">
        <v>223000</v>
      </c>
      <c r="H51">
        <v>337000</v>
      </c>
      <c r="I51">
        <v>534000</v>
      </c>
      <c r="J51">
        <v>910000</v>
      </c>
      <c r="K51">
        <v>1628000</v>
      </c>
      <c r="L51">
        <v>164300</v>
      </c>
      <c r="M51">
        <v>106500</v>
      </c>
      <c r="N51">
        <v>69500</v>
      </c>
      <c r="O51">
        <v>388000</v>
      </c>
      <c r="P51">
        <v>280500</v>
      </c>
      <c r="Q51">
        <v>1592000</v>
      </c>
      <c r="R51">
        <v>216000</v>
      </c>
      <c r="S51">
        <v>400500</v>
      </c>
      <c r="T51">
        <v>183500</v>
      </c>
      <c r="U51">
        <v>30700</v>
      </c>
      <c r="V51">
        <v>205500</v>
      </c>
      <c r="W51">
        <v>90800</v>
      </c>
      <c r="X51">
        <v>108900</v>
      </c>
      <c r="Y51">
        <v>48300</v>
      </c>
      <c r="Z51">
        <v>305500</v>
      </c>
      <c r="AA51">
        <v>144400</v>
      </c>
      <c r="AB51">
        <v>1488000</v>
      </c>
      <c r="AC51">
        <v>136900</v>
      </c>
      <c r="AD51">
        <v>404000</v>
      </c>
      <c r="AE51">
        <v>517000</v>
      </c>
      <c r="AF51">
        <v>12971700</v>
      </c>
    </row>
    <row r="52" spans="1:32">
      <c r="A52" s="2">
        <v>20260316</v>
      </c>
      <c r="B52">
        <v>409500</v>
      </c>
      <c r="C52">
        <v>905000</v>
      </c>
      <c r="D52">
        <v>583000</v>
      </c>
      <c r="E52">
        <v>149300</v>
      </c>
      <c r="F52">
        <v>366000</v>
      </c>
      <c r="G52">
        <v>218000</v>
      </c>
      <c r="H52">
        <v>333500</v>
      </c>
      <c r="I52">
        <v>562000</v>
      </c>
      <c r="J52">
        <v>974000</v>
      </c>
      <c r="K52">
        <v>1600000</v>
      </c>
      <c r="L52">
        <v>162000</v>
      </c>
      <c r="M52">
        <v>105700</v>
      </c>
      <c r="N52">
        <v>70900</v>
      </c>
      <c r="O52">
        <v>383000</v>
      </c>
      <c r="P52">
        <v>278500</v>
      </c>
      <c r="Q52">
        <v>1568000</v>
      </c>
      <c r="R52">
        <v>212000</v>
      </c>
      <c r="S52">
        <v>413000</v>
      </c>
      <c r="T52">
        <v>188700</v>
      </c>
      <c r="U52">
        <v>28750</v>
      </c>
      <c r="V52">
        <v>200000</v>
      </c>
      <c r="W52">
        <v>90000</v>
      </c>
      <c r="X52">
        <v>108400</v>
      </c>
      <c r="Y52">
        <v>46900</v>
      </c>
      <c r="Z52">
        <v>300000</v>
      </c>
      <c r="AA52">
        <v>140000</v>
      </c>
      <c r="AB52">
        <v>1476000</v>
      </c>
      <c r="AC52">
        <v>131900</v>
      </c>
      <c r="AD52">
        <v>401000</v>
      </c>
      <c r="AE52">
        <v>506000</v>
      </c>
      <c r="AF52">
        <v>12911050</v>
      </c>
    </row>
    <row r="53" spans="1:32">
      <c r="A53" s="2">
        <v>20260317</v>
      </c>
      <c r="B53">
        <v>420000</v>
      </c>
      <c r="C53">
        <v>931000</v>
      </c>
      <c r="D53">
        <v>587000</v>
      </c>
      <c r="E53">
        <v>150700</v>
      </c>
      <c r="F53">
        <v>380500</v>
      </c>
      <c r="G53">
        <v>224000</v>
      </c>
      <c r="H53">
        <v>342500</v>
      </c>
      <c r="I53">
        <v>587000</v>
      </c>
      <c r="J53">
        <v>970000</v>
      </c>
      <c r="K53">
        <v>1612000</v>
      </c>
      <c r="L53">
        <v>167300</v>
      </c>
      <c r="M53">
        <v>104400</v>
      </c>
      <c r="N53">
        <v>69100</v>
      </c>
      <c r="O53">
        <v>389000</v>
      </c>
      <c r="P53">
        <v>279500</v>
      </c>
      <c r="Q53">
        <v>1587000</v>
      </c>
      <c r="R53">
        <v>217000</v>
      </c>
      <c r="S53">
        <v>446500</v>
      </c>
      <c r="T53">
        <v>193900</v>
      </c>
      <c r="U53">
        <v>29150</v>
      </c>
      <c r="V53">
        <v>206000</v>
      </c>
      <c r="W53">
        <v>91200</v>
      </c>
      <c r="X53">
        <v>109900</v>
      </c>
      <c r="Y53">
        <v>48200</v>
      </c>
      <c r="Z53">
        <v>301000</v>
      </c>
      <c r="AA53">
        <v>138900</v>
      </c>
      <c r="AB53">
        <v>1396000</v>
      </c>
      <c r="AC53">
        <v>132700</v>
      </c>
      <c r="AD53">
        <v>412500</v>
      </c>
      <c r="AE53">
        <v>522000</v>
      </c>
      <c r="AF53">
        <v>13045950</v>
      </c>
    </row>
    <row r="54" spans="1:32">
      <c r="A54" s="2">
        <v>20260318</v>
      </c>
      <c r="B54">
        <v>425000</v>
      </c>
      <c r="C54">
        <v>974000</v>
      </c>
      <c r="D54">
        <v>590000</v>
      </c>
      <c r="E54">
        <v>154700</v>
      </c>
      <c r="F54">
        <v>383500</v>
      </c>
      <c r="G54">
        <v>226500</v>
      </c>
      <c r="H54">
        <v>349500</v>
      </c>
      <c r="I54">
        <v>630000</v>
      </c>
      <c r="J54">
        <v>1056000</v>
      </c>
      <c r="K54">
        <v>1695000</v>
      </c>
      <c r="L54">
        <v>175100</v>
      </c>
      <c r="M54">
        <v>107300</v>
      </c>
      <c r="N54">
        <v>69900</v>
      </c>
      <c r="O54">
        <v>405000</v>
      </c>
      <c r="P54">
        <v>299000</v>
      </c>
      <c r="Q54">
        <v>1626000</v>
      </c>
      <c r="R54">
        <v>235000</v>
      </c>
      <c r="S54">
        <v>464000</v>
      </c>
      <c r="T54">
        <v>208500</v>
      </c>
      <c r="U54">
        <v>29100</v>
      </c>
      <c r="V54">
        <v>209500</v>
      </c>
      <c r="W54">
        <v>95000</v>
      </c>
      <c r="X54">
        <v>114500</v>
      </c>
      <c r="Y54">
        <v>49950</v>
      </c>
      <c r="Z54">
        <v>311000</v>
      </c>
      <c r="AA54">
        <v>139800</v>
      </c>
      <c r="AB54">
        <v>1390000</v>
      </c>
      <c r="AC54">
        <v>132900</v>
      </c>
      <c r="AD54">
        <v>430000</v>
      </c>
      <c r="AE54">
        <v>545000</v>
      </c>
      <c r="AF54">
        <v>13520750</v>
      </c>
    </row>
    <row r="55" spans="1:32">
      <c r="A55" s="2">
        <v>20260319</v>
      </c>
      <c r="B55">
        <v>413500</v>
      </c>
      <c r="C55">
        <v>958000</v>
      </c>
      <c r="D55">
        <v>567000</v>
      </c>
      <c r="E55">
        <v>155700</v>
      </c>
      <c r="F55">
        <v>371000</v>
      </c>
      <c r="G55">
        <v>220500</v>
      </c>
      <c r="H55">
        <v>338000</v>
      </c>
      <c r="I55">
        <v>611000</v>
      </c>
      <c r="J55">
        <v>1013000</v>
      </c>
      <c r="K55">
        <v>1612000</v>
      </c>
      <c r="L55">
        <v>170500</v>
      </c>
      <c r="M55">
        <v>106300</v>
      </c>
      <c r="N55">
        <v>66700</v>
      </c>
      <c r="O55">
        <v>402500</v>
      </c>
      <c r="P55">
        <v>291000</v>
      </c>
      <c r="Q55">
        <v>1585000</v>
      </c>
      <c r="R55">
        <v>230500</v>
      </c>
      <c r="S55">
        <v>479500</v>
      </c>
      <c r="T55">
        <v>200500</v>
      </c>
      <c r="U55">
        <v>28500</v>
      </c>
      <c r="V55">
        <v>202000</v>
      </c>
      <c r="W55">
        <v>96500</v>
      </c>
      <c r="X55">
        <v>113200</v>
      </c>
      <c r="Y55">
        <v>48300</v>
      </c>
      <c r="Z55">
        <v>307000</v>
      </c>
      <c r="AA55">
        <v>141000</v>
      </c>
      <c r="AB55">
        <v>1375000</v>
      </c>
      <c r="AC55">
        <v>130000</v>
      </c>
      <c r="AD55">
        <v>413000</v>
      </c>
      <c r="AE55">
        <v>522000</v>
      </c>
      <c r="AF55">
        <v>13168700</v>
      </c>
    </row>
    <row r="56" spans="1:32">
      <c r="A56" s="2">
        <v>20260320</v>
      </c>
      <c r="B56">
        <v>404500</v>
      </c>
      <c r="C56">
        <v>959000</v>
      </c>
      <c r="D56">
        <v>559000</v>
      </c>
      <c r="E56">
        <v>155200</v>
      </c>
      <c r="F56">
        <v>375500</v>
      </c>
      <c r="G56">
        <v>221500</v>
      </c>
      <c r="H56">
        <v>343500</v>
      </c>
      <c r="I56">
        <v>608000</v>
      </c>
      <c r="J56">
        <v>1007000</v>
      </c>
      <c r="K56">
        <v>1587000</v>
      </c>
      <c r="L56">
        <v>168500</v>
      </c>
      <c r="M56">
        <v>109600</v>
      </c>
      <c r="N56">
        <v>67700</v>
      </c>
      <c r="O56">
        <v>400500</v>
      </c>
      <c r="P56">
        <v>297500</v>
      </c>
      <c r="Q56">
        <v>1601000</v>
      </c>
      <c r="R56">
        <v>231500</v>
      </c>
      <c r="S56">
        <v>464500</v>
      </c>
      <c r="T56">
        <v>199400</v>
      </c>
      <c r="U56">
        <v>28550</v>
      </c>
      <c r="V56">
        <v>202000</v>
      </c>
      <c r="W56">
        <v>97900</v>
      </c>
      <c r="X56">
        <v>113200</v>
      </c>
      <c r="Y56">
        <v>49150</v>
      </c>
      <c r="Z56">
        <v>309500</v>
      </c>
      <c r="AA56">
        <v>136000</v>
      </c>
      <c r="AB56">
        <v>1320000</v>
      </c>
      <c r="AC56">
        <v>129100</v>
      </c>
      <c r="AD56">
        <v>400500</v>
      </c>
      <c r="AE56">
        <v>517000</v>
      </c>
      <c r="AF56">
        <v>13063300</v>
      </c>
    </row>
    <row r="57" spans="1:32">
      <c r="A57" s="2">
        <v>20260323</v>
      </c>
      <c r="B57">
        <v>366000</v>
      </c>
      <c r="C57">
        <v>913000</v>
      </c>
      <c r="D57">
        <v>502000</v>
      </c>
      <c r="E57">
        <v>145300</v>
      </c>
      <c r="F57">
        <v>356000</v>
      </c>
      <c r="G57">
        <v>209000</v>
      </c>
      <c r="H57">
        <v>325000</v>
      </c>
      <c r="I57">
        <v>557000</v>
      </c>
      <c r="J57">
        <v>933000</v>
      </c>
      <c r="K57">
        <v>1486000</v>
      </c>
      <c r="L57">
        <v>161700</v>
      </c>
      <c r="M57">
        <v>100700</v>
      </c>
      <c r="N57">
        <v>61900</v>
      </c>
      <c r="O57">
        <v>376500</v>
      </c>
      <c r="P57">
        <v>274500</v>
      </c>
      <c r="Q57">
        <v>1523000</v>
      </c>
      <c r="R57">
        <v>217500</v>
      </c>
      <c r="S57">
        <v>427500</v>
      </c>
      <c r="T57">
        <v>186300</v>
      </c>
      <c r="U57">
        <v>26000</v>
      </c>
      <c r="V57">
        <v>188300</v>
      </c>
      <c r="W57">
        <v>89900</v>
      </c>
      <c r="X57">
        <v>106000</v>
      </c>
      <c r="Y57">
        <v>45600</v>
      </c>
      <c r="Z57">
        <v>297000</v>
      </c>
      <c r="AA57">
        <v>124000</v>
      </c>
      <c r="AB57">
        <v>1278000</v>
      </c>
      <c r="AC57">
        <v>118900</v>
      </c>
      <c r="AD57">
        <v>381000</v>
      </c>
      <c r="AE57">
        <v>485000</v>
      </c>
      <c r="AF57">
        <v>12261600</v>
      </c>
    </row>
    <row r="58" spans="1:32">
      <c r="A58" s="2">
        <v>20260324</v>
      </c>
      <c r="B58">
        <v>379500</v>
      </c>
      <c r="C58">
        <v>925000</v>
      </c>
      <c r="D58">
        <v>516000</v>
      </c>
      <c r="E58">
        <v>146900</v>
      </c>
      <c r="F58">
        <v>392500</v>
      </c>
      <c r="G58">
        <v>213500</v>
      </c>
      <c r="H58">
        <v>339500</v>
      </c>
      <c r="I58">
        <v>595000</v>
      </c>
      <c r="J58">
        <v>986000</v>
      </c>
      <c r="K58">
        <v>1543000</v>
      </c>
      <c r="L58">
        <v>157900</v>
      </c>
      <c r="M58">
        <v>100100</v>
      </c>
      <c r="N58">
        <v>61100</v>
      </c>
      <c r="O58">
        <v>397500</v>
      </c>
      <c r="P58">
        <v>281500</v>
      </c>
      <c r="Q58">
        <v>1547000</v>
      </c>
      <c r="R58">
        <v>222000</v>
      </c>
      <c r="S58">
        <v>437000</v>
      </c>
      <c r="T58">
        <v>189700</v>
      </c>
      <c r="U58">
        <v>26400</v>
      </c>
      <c r="V58">
        <v>199600</v>
      </c>
      <c r="W58">
        <v>90000</v>
      </c>
      <c r="X58">
        <v>106500</v>
      </c>
      <c r="Y58">
        <v>46750</v>
      </c>
      <c r="Z58">
        <v>296500</v>
      </c>
      <c r="AA58">
        <v>127300</v>
      </c>
      <c r="AB58">
        <v>1335000</v>
      </c>
      <c r="AC58">
        <v>122300</v>
      </c>
      <c r="AD58">
        <v>392500</v>
      </c>
      <c r="AE58">
        <v>492000</v>
      </c>
      <c r="AF58">
        <v>12665550</v>
      </c>
    </row>
    <row r="59" spans="1:32">
      <c r="A59" s="2">
        <v>20260325</v>
      </c>
      <c r="B59">
        <v>385000</v>
      </c>
      <c r="C59">
        <v>992000</v>
      </c>
      <c r="D59">
        <v>523000</v>
      </c>
      <c r="E59">
        <v>149400</v>
      </c>
      <c r="F59">
        <v>394000</v>
      </c>
      <c r="G59">
        <v>215500</v>
      </c>
      <c r="H59">
        <v>342000</v>
      </c>
      <c r="I59">
        <v>605000</v>
      </c>
      <c r="J59">
        <v>995000</v>
      </c>
      <c r="K59">
        <v>1593000</v>
      </c>
      <c r="L59">
        <v>157900</v>
      </c>
      <c r="M59">
        <v>102600</v>
      </c>
      <c r="N59">
        <v>67300</v>
      </c>
      <c r="O59">
        <v>404000</v>
      </c>
      <c r="P59">
        <v>289000</v>
      </c>
      <c r="Q59">
        <v>1585000</v>
      </c>
      <c r="R59">
        <v>227500</v>
      </c>
      <c r="S59">
        <v>454500</v>
      </c>
      <c r="T59">
        <v>189000</v>
      </c>
      <c r="U59">
        <v>26850</v>
      </c>
      <c r="V59">
        <v>203500</v>
      </c>
      <c r="W59">
        <v>92100</v>
      </c>
      <c r="X59">
        <v>108700</v>
      </c>
      <c r="Y59">
        <v>46450</v>
      </c>
      <c r="Z59">
        <v>300000</v>
      </c>
      <c r="AA59">
        <v>136600</v>
      </c>
      <c r="AB59">
        <v>1400000</v>
      </c>
      <c r="AC59">
        <v>124700</v>
      </c>
      <c r="AD59">
        <v>402000</v>
      </c>
      <c r="AE59">
        <v>501000</v>
      </c>
      <c r="AF59">
        <v>13012600</v>
      </c>
    </row>
    <row r="60" spans="1:32">
      <c r="A60" s="2">
        <v>20260326</v>
      </c>
      <c r="B60">
        <v>375000</v>
      </c>
      <c r="C60">
        <v>965000</v>
      </c>
      <c r="D60">
        <v>511000</v>
      </c>
      <c r="E60">
        <v>152200</v>
      </c>
      <c r="F60">
        <v>384500</v>
      </c>
      <c r="G60">
        <v>211500</v>
      </c>
      <c r="H60">
        <v>342500</v>
      </c>
      <c r="I60">
        <v>558000</v>
      </c>
      <c r="J60">
        <v>933000</v>
      </c>
      <c r="K60">
        <v>1546000</v>
      </c>
      <c r="L60">
        <v>154700</v>
      </c>
      <c r="M60">
        <v>100900</v>
      </c>
      <c r="N60">
        <v>65300</v>
      </c>
      <c r="O60">
        <v>396500</v>
      </c>
      <c r="P60">
        <v>278000</v>
      </c>
      <c r="Q60">
        <v>1585000</v>
      </c>
      <c r="R60">
        <v>222000</v>
      </c>
      <c r="S60">
        <v>457000</v>
      </c>
      <c r="T60">
        <v>180100</v>
      </c>
      <c r="U60">
        <v>26350</v>
      </c>
      <c r="V60">
        <v>203000</v>
      </c>
      <c r="W60">
        <v>93400</v>
      </c>
      <c r="X60">
        <v>108800</v>
      </c>
      <c r="Y60">
        <v>46000</v>
      </c>
      <c r="Z60">
        <v>278000</v>
      </c>
      <c r="AA60">
        <v>129700</v>
      </c>
      <c r="AB60">
        <v>1369000</v>
      </c>
      <c r="AC60">
        <v>125700</v>
      </c>
      <c r="AD60">
        <v>398500</v>
      </c>
      <c r="AE60">
        <v>490000</v>
      </c>
      <c r="AF60">
        <v>12686650</v>
      </c>
    </row>
    <row r="61" spans="1:32">
      <c r="A61" s="2">
        <v>20260327</v>
      </c>
      <c r="B61">
        <v>367000</v>
      </c>
      <c r="C61">
        <v>915000</v>
      </c>
      <c r="D61">
        <v>498500</v>
      </c>
      <c r="E61">
        <v>152200</v>
      </c>
      <c r="F61">
        <v>394500</v>
      </c>
      <c r="G61">
        <v>212500</v>
      </c>
      <c r="H61">
        <v>343000</v>
      </c>
      <c r="I61">
        <v>544000</v>
      </c>
      <c r="J61">
        <v>922000</v>
      </c>
      <c r="K61">
        <v>1483000</v>
      </c>
      <c r="L61">
        <v>155800</v>
      </c>
      <c r="M61">
        <v>98100</v>
      </c>
      <c r="N61">
        <v>67100</v>
      </c>
      <c r="O61">
        <v>405500</v>
      </c>
      <c r="P61">
        <v>269000</v>
      </c>
      <c r="Q61">
        <v>1606000</v>
      </c>
      <c r="R61">
        <v>223000</v>
      </c>
      <c r="S61">
        <v>434000</v>
      </c>
      <c r="T61">
        <v>179700</v>
      </c>
      <c r="U61">
        <v>26000</v>
      </c>
      <c r="V61">
        <v>206000</v>
      </c>
      <c r="W61">
        <v>93500</v>
      </c>
      <c r="X61">
        <v>110400</v>
      </c>
      <c r="Y61">
        <v>43900</v>
      </c>
      <c r="Z61">
        <v>275500</v>
      </c>
      <c r="AA61">
        <v>124100</v>
      </c>
      <c r="AB61">
        <v>1335000</v>
      </c>
      <c r="AC61">
        <v>123200</v>
      </c>
      <c r="AD61">
        <v>408500</v>
      </c>
      <c r="AE61">
        <v>495000</v>
      </c>
      <c r="AF61">
        <v>12511000</v>
      </c>
    </row>
    <row r="62" spans="1:32">
      <c r="A62" s="2">
        <v>20260330</v>
      </c>
      <c r="B62">
        <v>347000</v>
      </c>
      <c r="C62">
        <v>872000</v>
      </c>
      <c r="D62">
        <v>480000</v>
      </c>
      <c r="E62">
        <v>145900</v>
      </c>
      <c r="F62">
        <v>410000</v>
      </c>
      <c r="G62">
        <v>207000</v>
      </c>
      <c r="H62">
        <v>343000</v>
      </c>
      <c r="I62">
        <v>510000</v>
      </c>
      <c r="J62">
        <v>873000</v>
      </c>
      <c r="K62">
        <v>1478000</v>
      </c>
      <c r="L62">
        <v>151500</v>
      </c>
      <c r="M62">
        <v>94200</v>
      </c>
      <c r="N62">
        <v>62700</v>
      </c>
      <c r="O62">
        <v>412500</v>
      </c>
      <c r="P62">
        <v>259500</v>
      </c>
      <c r="Q62">
        <v>1530000</v>
      </c>
      <c r="R62">
        <v>219500</v>
      </c>
      <c r="S62">
        <v>429000</v>
      </c>
      <c r="T62">
        <v>176300</v>
      </c>
      <c r="U62">
        <v>24500</v>
      </c>
      <c r="V62">
        <v>201500</v>
      </c>
      <c r="W62">
        <v>90500</v>
      </c>
      <c r="X62">
        <v>107200</v>
      </c>
      <c r="Y62">
        <v>42200</v>
      </c>
      <c r="Z62">
        <v>260500</v>
      </c>
      <c r="AA62">
        <v>120700</v>
      </c>
      <c r="AB62">
        <v>1308000</v>
      </c>
      <c r="AC62">
        <v>118200</v>
      </c>
      <c r="AD62">
        <v>398000</v>
      </c>
      <c r="AE62">
        <v>469500</v>
      </c>
      <c r="AF62">
        <v>12141900</v>
      </c>
    </row>
    <row r="63" spans="1:32">
      <c r="A63" s="2">
        <v>20260331</v>
      </c>
      <c r="B63">
        <v>344000</v>
      </c>
      <c r="C63">
        <v>832000</v>
      </c>
      <c r="D63">
        <v>465000</v>
      </c>
      <c r="E63">
        <v>141900</v>
      </c>
      <c r="F63">
        <v>394500</v>
      </c>
      <c r="G63">
        <v>201500</v>
      </c>
      <c r="H63">
        <v>332500</v>
      </c>
      <c r="I63">
        <v>466500</v>
      </c>
      <c r="J63">
        <v>807000</v>
      </c>
      <c r="K63">
        <v>1422000</v>
      </c>
      <c r="L63">
        <v>145200</v>
      </c>
      <c r="M63">
        <v>91800</v>
      </c>
      <c r="N63">
        <v>61600</v>
      </c>
      <c r="O63">
        <v>408000</v>
      </c>
      <c r="P63">
        <v>253500</v>
      </c>
      <c r="Q63">
        <v>1504000</v>
      </c>
      <c r="R63">
        <v>210500</v>
      </c>
      <c r="S63">
        <v>407500</v>
      </c>
      <c r="T63">
        <v>167200</v>
      </c>
      <c r="U63">
        <v>24450</v>
      </c>
      <c r="V63">
        <v>197200</v>
      </c>
      <c r="W63">
        <v>87700</v>
      </c>
      <c r="X63">
        <v>106600</v>
      </c>
      <c r="Y63">
        <v>41650</v>
      </c>
      <c r="Z63">
        <v>251000</v>
      </c>
      <c r="AA63">
        <v>114100</v>
      </c>
      <c r="AB63">
        <v>1249000</v>
      </c>
      <c r="AC63">
        <v>120200</v>
      </c>
      <c r="AD63">
        <v>378000</v>
      </c>
      <c r="AE63">
        <v>445500</v>
      </c>
      <c r="AF63">
        <v>11671600</v>
      </c>
    </row>
    <row r="64" spans="1:32">
      <c r="A64" s="2" t="s">
        <v>94</v>
      </c>
      <c r="B64">
        <v>24509500</v>
      </c>
      <c r="C64">
        <v>54590000</v>
      </c>
      <c r="D64">
        <v>33742500</v>
      </c>
      <c r="E64">
        <v>8554600</v>
      </c>
      <c r="F64">
        <v>23020500</v>
      </c>
      <c r="G64">
        <v>14348500</v>
      </c>
      <c r="H64">
        <v>20734500</v>
      </c>
      <c r="I64">
        <v>30904000</v>
      </c>
      <c r="J64">
        <v>51368000</v>
      </c>
      <c r="K64">
        <v>95633000</v>
      </c>
      <c r="L64">
        <v>9334000</v>
      </c>
      <c r="M64">
        <v>5619600</v>
      </c>
      <c r="N64">
        <v>3046200</v>
      </c>
      <c r="O64">
        <v>21807500</v>
      </c>
      <c r="P64">
        <v>17351000</v>
      </c>
      <c r="Q64">
        <v>101136000</v>
      </c>
      <c r="R64">
        <v>11723000</v>
      </c>
      <c r="S64">
        <v>20739000</v>
      </c>
      <c r="T64">
        <v>10082400</v>
      </c>
      <c r="U64">
        <v>1663950</v>
      </c>
      <c r="V64">
        <v>12673500</v>
      </c>
      <c r="W64">
        <v>5273600</v>
      </c>
      <c r="X64">
        <v>6425900</v>
      </c>
      <c r="Y64">
        <v>3208050</v>
      </c>
      <c r="Z64">
        <v>13568800</v>
      </c>
      <c r="AA64">
        <v>6467000</v>
      </c>
      <c r="AB64">
        <v>75072000</v>
      </c>
      <c r="AC64">
        <v>7893100</v>
      </c>
      <c r="AD64">
        <v>25369500</v>
      </c>
      <c r="AE64">
        <v>28649000</v>
      </c>
      <c r="AF64">
        <v>744508200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FC10-CAC7-4193-A259-CDE8F7C04192}">
  <dimension ref="A1:U63"/>
  <sheetViews>
    <sheetView workbookViewId="0">
      <selection activeCell="D51" sqref="D51"/>
    </sheetView>
  </sheetViews>
  <sheetFormatPr baseColWidth="10" defaultColWidth="8.83203125" defaultRowHeight="17"/>
  <cols>
    <col min="1" max="1" width="9.33203125" bestFit="1" customWidth="1"/>
    <col min="2" max="2" width="9.1640625" bestFit="1" customWidth="1"/>
    <col min="3" max="3" width="12" bestFit="1" customWidth="1"/>
    <col min="4" max="4" width="13.33203125" bestFit="1" customWidth="1"/>
    <col min="5" max="5" width="8.33203125" bestFit="1" customWidth="1"/>
    <col min="6" max="6" width="8.1640625" bestFit="1" customWidth="1"/>
    <col min="7" max="7" width="7.1640625" bestFit="1" customWidth="1"/>
    <col min="8" max="10" width="8.33203125" bestFit="1" customWidth="1"/>
    <col min="11" max="11" width="11.5" bestFit="1" customWidth="1"/>
    <col min="12" max="12" width="12.83203125" bestFit="1" customWidth="1"/>
    <col min="13" max="13" width="17.5" bestFit="1" customWidth="1"/>
    <col min="14" max="14" width="15.33203125" bestFit="1" customWidth="1"/>
    <col min="15" max="15" width="14.83203125" bestFit="1" customWidth="1"/>
    <col min="16" max="16" width="15" bestFit="1" customWidth="1"/>
    <col min="17" max="17" width="17.1640625" bestFit="1" customWidth="1"/>
    <col min="18" max="18" width="14.83203125" bestFit="1" customWidth="1"/>
    <col min="19" max="19" width="17" bestFit="1" customWidth="1"/>
    <col min="20" max="20" width="10.83203125" bestFit="1" customWidth="1"/>
    <col min="21" max="21" width="9" bestFit="1" customWidth="1"/>
  </cols>
  <sheetData>
    <row r="1" spans="1:21">
      <c r="A1" t="s">
        <v>0</v>
      </c>
      <c r="B1" t="s">
        <v>80</v>
      </c>
      <c r="C1" t="s">
        <v>81</v>
      </c>
      <c r="D1" t="s">
        <v>82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</row>
    <row r="2" spans="1:21">
      <c r="A2">
        <v>20260403</v>
      </c>
      <c r="B2" t="s">
        <v>92</v>
      </c>
      <c r="C2" t="s">
        <v>93</v>
      </c>
      <c r="D2">
        <v>836</v>
      </c>
      <c r="E2">
        <v>5377.3</v>
      </c>
      <c r="F2">
        <v>143.25</v>
      </c>
      <c r="G2">
        <v>2.74</v>
      </c>
      <c r="H2">
        <v>5375.5</v>
      </c>
      <c r="I2">
        <v>5419.45</v>
      </c>
      <c r="J2">
        <v>5316.42</v>
      </c>
      <c r="K2">
        <v>1185178392</v>
      </c>
      <c r="L2">
        <v>22234606978211</v>
      </c>
      <c r="M2">
        <v>4427756587456585</v>
      </c>
      <c r="N2">
        <v>1163</v>
      </c>
      <c r="O2">
        <v>27.6</v>
      </c>
      <c r="P2">
        <v>6307.27</v>
      </c>
      <c r="Q2">
        <v>20260226</v>
      </c>
      <c r="R2">
        <v>0</v>
      </c>
      <c r="S2">
        <v>20260406</v>
      </c>
      <c r="T2">
        <v>19800104</v>
      </c>
      <c r="U2">
        <v>100</v>
      </c>
    </row>
    <row r="3" spans="1:21">
      <c r="A3">
        <v>20260402</v>
      </c>
      <c r="B3" t="s">
        <v>92</v>
      </c>
      <c r="C3" t="s">
        <v>93</v>
      </c>
      <c r="D3">
        <v>836</v>
      </c>
      <c r="E3">
        <v>5234.05</v>
      </c>
      <c r="F3">
        <v>-244.65</v>
      </c>
      <c r="G3">
        <v>-4.47</v>
      </c>
      <c r="H3">
        <v>5551.69</v>
      </c>
      <c r="I3">
        <v>5574.62</v>
      </c>
      <c r="J3">
        <v>5170.2700000000004</v>
      </c>
      <c r="K3">
        <v>1428159621</v>
      </c>
      <c r="L3">
        <v>33290077738020</v>
      </c>
      <c r="M3">
        <v>4308380470893253</v>
      </c>
      <c r="N3">
        <v>1020</v>
      </c>
      <c r="O3">
        <v>24.2</v>
      </c>
      <c r="P3">
        <v>6307.27</v>
      </c>
      <c r="Q3">
        <v>20260226</v>
      </c>
      <c r="R3">
        <v>0</v>
      </c>
      <c r="S3">
        <v>20260403</v>
      </c>
      <c r="T3">
        <v>19800104</v>
      </c>
      <c r="U3">
        <v>100</v>
      </c>
    </row>
    <row r="4" spans="1:21">
      <c r="A4">
        <v>20260401</v>
      </c>
      <c r="B4" t="s">
        <v>92</v>
      </c>
      <c r="C4" t="s">
        <v>93</v>
      </c>
      <c r="D4">
        <v>836</v>
      </c>
      <c r="E4">
        <v>5478.7</v>
      </c>
      <c r="F4">
        <v>426.24</v>
      </c>
      <c r="G4">
        <v>8.44</v>
      </c>
      <c r="H4">
        <v>5330.04</v>
      </c>
      <c r="I4">
        <v>5512.33</v>
      </c>
      <c r="J4">
        <v>5272.45</v>
      </c>
      <c r="K4">
        <v>958953275</v>
      </c>
      <c r="L4">
        <v>28902428321499</v>
      </c>
      <c r="M4">
        <v>4512166156057644</v>
      </c>
      <c r="N4">
        <v>1265</v>
      </c>
      <c r="O4">
        <v>30.01</v>
      </c>
      <c r="P4">
        <v>6307.27</v>
      </c>
      <c r="Q4">
        <v>20260226</v>
      </c>
      <c r="R4">
        <v>0</v>
      </c>
      <c r="S4">
        <v>20260402</v>
      </c>
      <c r="T4">
        <v>19800104</v>
      </c>
      <c r="U4">
        <v>100</v>
      </c>
    </row>
    <row r="5" spans="1:21">
      <c r="A5">
        <v>20260331</v>
      </c>
      <c r="B5" t="s">
        <v>92</v>
      </c>
      <c r="C5" t="s">
        <v>93</v>
      </c>
      <c r="D5">
        <v>836</v>
      </c>
      <c r="E5">
        <v>5052.46</v>
      </c>
      <c r="F5">
        <v>-224.84</v>
      </c>
      <c r="G5">
        <v>-4.26</v>
      </c>
      <c r="H5">
        <v>5143.75</v>
      </c>
      <c r="I5">
        <v>5233.99</v>
      </c>
      <c r="J5">
        <v>5042.99</v>
      </c>
      <c r="K5">
        <v>1163312408</v>
      </c>
      <c r="L5">
        <v>29837663141391</v>
      </c>
      <c r="M5">
        <v>4159085895028021</v>
      </c>
      <c r="N5">
        <v>838</v>
      </c>
      <c r="O5">
        <v>19.89</v>
      </c>
      <c r="P5">
        <v>6307.27</v>
      </c>
      <c r="Q5">
        <v>20260226</v>
      </c>
      <c r="R5">
        <v>0</v>
      </c>
      <c r="S5">
        <v>20260401</v>
      </c>
      <c r="T5">
        <v>19800104</v>
      </c>
      <c r="U5">
        <v>100</v>
      </c>
    </row>
    <row r="6" spans="1:21">
      <c r="A6">
        <v>20260330</v>
      </c>
      <c r="B6" t="s">
        <v>92</v>
      </c>
      <c r="C6" t="s">
        <v>93</v>
      </c>
      <c r="D6">
        <v>836</v>
      </c>
      <c r="E6">
        <v>5277.3</v>
      </c>
      <c r="F6">
        <v>-161.57</v>
      </c>
      <c r="G6">
        <v>-2.97</v>
      </c>
      <c r="H6">
        <v>5181.8</v>
      </c>
      <c r="I6">
        <v>5297.35</v>
      </c>
      <c r="J6">
        <v>5151.22</v>
      </c>
      <c r="K6">
        <v>727391077</v>
      </c>
      <c r="L6">
        <v>20827490324014</v>
      </c>
      <c r="M6">
        <v>4347926048851371</v>
      </c>
      <c r="N6">
        <v>1063</v>
      </c>
      <c r="O6">
        <v>25.23</v>
      </c>
      <c r="P6">
        <v>6307.27</v>
      </c>
      <c r="Q6">
        <v>20260226</v>
      </c>
      <c r="R6">
        <v>0</v>
      </c>
      <c r="S6">
        <v>20260331</v>
      </c>
      <c r="T6">
        <v>19800104</v>
      </c>
      <c r="U6">
        <v>100</v>
      </c>
    </row>
    <row r="7" spans="1:21">
      <c r="A7">
        <v>20260327</v>
      </c>
      <c r="B7" t="s">
        <v>92</v>
      </c>
      <c r="C7" t="s">
        <v>93</v>
      </c>
      <c r="D7">
        <v>837</v>
      </c>
      <c r="E7">
        <v>5438.87</v>
      </c>
      <c r="F7">
        <v>-21.59</v>
      </c>
      <c r="G7">
        <v>-0.4</v>
      </c>
      <c r="H7">
        <v>5300.61</v>
      </c>
      <c r="I7">
        <v>5462.51</v>
      </c>
      <c r="J7">
        <v>5220.1000000000004</v>
      </c>
      <c r="K7">
        <v>900080937</v>
      </c>
      <c r="L7">
        <v>23659342023182</v>
      </c>
      <c r="M7">
        <v>4482729458029578</v>
      </c>
      <c r="N7">
        <v>1225</v>
      </c>
      <c r="O7">
        <v>29.06</v>
      </c>
      <c r="P7">
        <v>6307.27</v>
      </c>
      <c r="Q7">
        <v>20260226</v>
      </c>
      <c r="R7">
        <v>0</v>
      </c>
      <c r="S7">
        <v>20260330</v>
      </c>
      <c r="T7">
        <v>19800104</v>
      </c>
      <c r="U7">
        <v>100</v>
      </c>
    </row>
    <row r="8" spans="1:21">
      <c r="A8">
        <v>20260326</v>
      </c>
      <c r="B8" t="s">
        <v>92</v>
      </c>
      <c r="C8" t="s">
        <v>93</v>
      </c>
      <c r="D8">
        <v>837</v>
      </c>
      <c r="E8">
        <v>5460.46</v>
      </c>
      <c r="F8">
        <v>-181.75</v>
      </c>
      <c r="G8">
        <v>-3.22</v>
      </c>
      <c r="H8">
        <v>5594.06</v>
      </c>
      <c r="I8">
        <v>5598.37</v>
      </c>
      <c r="J8">
        <v>5448.12</v>
      </c>
      <c r="K8">
        <v>925092573</v>
      </c>
      <c r="L8">
        <v>25615327461870</v>
      </c>
      <c r="M8">
        <v>4499612828479672</v>
      </c>
      <c r="N8">
        <v>1246</v>
      </c>
      <c r="O8">
        <v>29.57</v>
      </c>
      <c r="P8">
        <v>6307.27</v>
      </c>
      <c r="Q8">
        <v>20260226</v>
      </c>
      <c r="R8">
        <v>0</v>
      </c>
      <c r="S8">
        <v>20260327</v>
      </c>
      <c r="T8">
        <v>19800104</v>
      </c>
      <c r="U8">
        <v>100</v>
      </c>
    </row>
    <row r="9" spans="1:21">
      <c r="A9">
        <v>20260325</v>
      </c>
      <c r="B9" t="s">
        <v>92</v>
      </c>
      <c r="C9" t="s">
        <v>93</v>
      </c>
      <c r="D9">
        <v>837</v>
      </c>
      <c r="E9">
        <v>5642.21</v>
      </c>
      <c r="F9">
        <v>88.29</v>
      </c>
      <c r="G9">
        <v>1.59</v>
      </c>
      <c r="H9">
        <v>5680.33</v>
      </c>
      <c r="I9">
        <v>5740.97</v>
      </c>
      <c r="J9">
        <v>5630.07</v>
      </c>
      <c r="K9">
        <v>763223598</v>
      </c>
      <c r="L9">
        <v>24642071803976</v>
      </c>
      <c r="M9">
        <v>4651600138064310</v>
      </c>
      <c r="N9">
        <v>1428</v>
      </c>
      <c r="O9">
        <v>33.89</v>
      </c>
      <c r="P9">
        <v>6307.27</v>
      </c>
      <c r="Q9">
        <v>20260226</v>
      </c>
      <c r="R9">
        <v>0</v>
      </c>
      <c r="S9">
        <v>20260326</v>
      </c>
      <c r="T9">
        <v>19800104</v>
      </c>
      <c r="U9">
        <v>100</v>
      </c>
    </row>
    <row r="10" spans="1:21">
      <c r="A10">
        <v>20260324</v>
      </c>
      <c r="B10" t="s">
        <v>92</v>
      </c>
      <c r="C10" t="s">
        <v>93</v>
      </c>
      <c r="D10">
        <v>837</v>
      </c>
      <c r="E10">
        <v>5553.92</v>
      </c>
      <c r="F10">
        <v>148.16999999999999</v>
      </c>
      <c r="G10">
        <v>2.74</v>
      </c>
      <c r="H10">
        <v>5638.2</v>
      </c>
      <c r="I10">
        <v>5643</v>
      </c>
      <c r="J10">
        <v>5395.17</v>
      </c>
      <c r="K10">
        <v>1170517963</v>
      </c>
      <c r="L10">
        <v>24932387802374</v>
      </c>
      <c r="M10">
        <v>4580524886581023</v>
      </c>
      <c r="N10">
        <v>1340</v>
      </c>
      <c r="O10">
        <v>31.79</v>
      </c>
      <c r="P10">
        <v>6307.27</v>
      </c>
      <c r="Q10">
        <v>20260226</v>
      </c>
      <c r="R10">
        <v>0</v>
      </c>
      <c r="S10">
        <v>20260325</v>
      </c>
      <c r="T10">
        <v>19800104</v>
      </c>
      <c r="U10">
        <v>100</v>
      </c>
    </row>
    <row r="11" spans="1:21">
      <c r="A11">
        <v>20260323</v>
      </c>
      <c r="B11" t="s">
        <v>92</v>
      </c>
      <c r="C11" t="s">
        <v>93</v>
      </c>
      <c r="D11">
        <v>837</v>
      </c>
      <c r="E11">
        <v>5405.75</v>
      </c>
      <c r="F11">
        <v>-375.45</v>
      </c>
      <c r="G11">
        <v>-6.49</v>
      </c>
      <c r="H11">
        <v>5580.15</v>
      </c>
      <c r="I11">
        <v>5580.15</v>
      </c>
      <c r="J11">
        <v>5397.94</v>
      </c>
      <c r="K11">
        <v>1125619649</v>
      </c>
      <c r="L11">
        <v>27243225200168</v>
      </c>
      <c r="M11">
        <v>4459320431723521</v>
      </c>
      <c r="N11">
        <v>1192</v>
      </c>
      <c r="O11">
        <v>28.28</v>
      </c>
      <c r="P11">
        <v>6307.27</v>
      </c>
      <c r="Q11">
        <v>20260226</v>
      </c>
      <c r="R11">
        <v>0</v>
      </c>
      <c r="S11">
        <v>20260324</v>
      </c>
      <c r="T11">
        <v>19800104</v>
      </c>
      <c r="U11">
        <v>100</v>
      </c>
    </row>
    <row r="12" spans="1:21">
      <c r="A12">
        <v>20260320</v>
      </c>
      <c r="B12" t="s">
        <v>92</v>
      </c>
      <c r="C12" t="s">
        <v>93</v>
      </c>
      <c r="D12">
        <v>837</v>
      </c>
      <c r="E12">
        <v>5781.2</v>
      </c>
      <c r="F12">
        <v>17.98</v>
      </c>
      <c r="G12">
        <v>0.31</v>
      </c>
      <c r="H12">
        <v>5813.35</v>
      </c>
      <c r="I12">
        <v>5833.68</v>
      </c>
      <c r="J12">
        <v>5764.64</v>
      </c>
      <c r="K12">
        <v>1490805229</v>
      </c>
      <c r="L12">
        <v>34025853798776</v>
      </c>
      <c r="M12">
        <v>4768189155100582</v>
      </c>
      <c r="N12">
        <v>1567</v>
      </c>
      <c r="O12">
        <v>37.18</v>
      </c>
      <c r="P12">
        <v>6307.27</v>
      </c>
      <c r="Q12">
        <v>20260226</v>
      </c>
      <c r="R12">
        <v>0</v>
      </c>
      <c r="S12">
        <v>20260323</v>
      </c>
      <c r="T12">
        <v>19800104</v>
      </c>
      <c r="U12">
        <v>100</v>
      </c>
    </row>
    <row r="13" spans="1:21">
      <c r="A13">
        <v>20260319</v>
      </c>
      <c r="B13" t="s">
        <v>92</v>
      </c>
      <c r="C13" t="s">
        <v>93</v>
      </c>
      <c r="D13">
        <v>837</v>
      </c>
      <c r="E13">
        <v>5763.22</v>
      </c>
      <c r="F13">
        <v>-161.81</v>
      </c>
      <c r="G13">
        <v>-2.73</v>
      </c>
      <c r="H13">
        <v>5761.4</v>
      </c>
      <c r="I13">
        <v>5863.39</v>
      </c>
      <c r="J13">
        <v>5738.95</v>
      </c>
      <c r="K13">
        <v>1184170077</v>
      </c>
      <c r="L13">
        <v>22994678385098</v>
      </c>
      <c r="M13">
        <v>4757685123364079</v>
      </c>
      <c r="N13">
        <v>1549</v>
      </c>
      <c r="O13">
        <v>36.76</v>
      </c>
      <c r="P13">
        <v>6307.27</v>
      </c>
      <c r="Q13">
        <v>20260226</v>
      </c>
      <c r="R13">
        <v>0</v>
      </c>
      <c r="S13">
        <v>20260320</v>
      </c>
      <c r="T13">
        <v>19800104</v>
      </c>
      <c r="U13">
        <v>100</v>
      </c>
    </row>
    <row r="14" spans="1:21">
      <c r="A14">
        <v>20260318</v>
      </c>
      <c r="B14" t="s">
        <v>92</v>
      </c>
      <c r="C14" t="s">
        <v>93</v>
      </c>
      <c r="D14">
        <v>837</v>
      </c>
      <c r="E14">
        <v>5925.03</v>
      </c>
      <c r="F14">
        <v>284.55</v>
      </c>
      <c r="G14">
        <v>5.04</v>
      </c>
      <c r="H14">
        <v>5767.1</v>
      </c>
      <c r="I14">
        <v>5934.35</v>
      </c>
      <c r="J14">
        <v>5766.14</v>
      </c>
      <c r="K14">
        <v>1143771673</v>
      </c>
      <c r="L14">
        <v>26851759232736</v>
      </c>
      <c r="M14">
        <v>4892835711927923</v>
      </c>
      <c r="N14">
        <v>1711</v>
      </c>
      <c r="O14">
        <v>40.6</v>
      </c>
      <c r="P14">
        <v>6307.27</v>
      </c>
      <c r="Q14">
        <v>20260226</v>
      </c>
      <c r="R14">
        <v>0</v>
      </c>
      <c r="S14">
        <v>20260319</v>
      </c>
      <c r="T14">
        <v>19800104</v>
      </c>
      <c r="U14">
        <v>100</v>
      </c>
    </row>
    <row r="15" spans="1:21">
      <c r="A15">
        <v>20260317</v>
      </c>
      <c r="B15" t="s">
        <v>92</v>
      </c>
      <c r="C15" t="s">
        <v>93</v>
      </c>
      <c r="D15">
        <v>837</v>
      </c>
      <c r="E15">
        <v>5640.48</v>
      </c>
      <c r="F15">
        <v>90.63</v>
      </c>
      <c r="G15">
        <v>1.63</v>
      </c>
      <c r="H15">
        <v>5711.8</v>
      </c>
      <c r="I15">
        <v>5717.13</v>
      </c>
      <c r="J15">
        <v>5632.86</v>
      </c>
      <c r="K15">
        <v>1135071024</v>
      </c>
      <c r="L15">
        <v>22303803944214</v>
      </c>
      <c r="M15">
        <v>4657727421660004</v>
      </c>
      <c r="N15">
        <v>1426</v>
      </c>
      <c r="O15">
        <v>33.85</v>
      </c>
      <c r="P15">
        <v>6307.27</v>
      </c>
      <c r="Q15">
        <v>20260226</v>
      </c>
      <c r="R15">
        <v>0</v>
      </c>
      <c r="S15">
        <v>20260318</v>
      </c>
      <c r="T15">
        <v>19800104</v>
      </c>
      <c r="U15">
        <v>100</v>
      </c>
    </row>
    <row r="16" spans="1:21">
      <c r="A16">
        <v>20260316</v>
      </c>
      <c r="B16" t="s">
        <v>92</v>
      </c>
      <c r="C16" t="s">
        <v>93</v>
      </c>
      <c r="D16">
        <v>837</v>
      </c>
      <c r="E16">
        <v>5549.85</v>
      </c>
      <c r="F16">
        <v>62.61</v>
      </c>
      <c r="G16">
        <v>1.1399999999999999</v>
      </c>
      <c r="H16">
        <v>5510.82</v>
      </c>
      <c r="I16">
        <v>5561.42</v>
      </c>
      <c r="J16">
        <v>5448.75</v>
      </c>
      <c r="K16">
        <v>1073859802</v>
      </c>
      <c r="L16">
        <v>21760269884108</v>
      </c>
      <c r="M16">
        <v>4583556928432968</v>
      </c>
      <c r="N16">
        <v>1336</v>
      </c>
      <c r="O16">
        <v>31.69</v>
      </c>
      <c r="P16">
        <v>6307.27</v>
      </c>
      <c r="Q16">
        <v>20260226</v>
      </c>
      <c r="R16">
        <v>0</v>
      </c>
      <c r="S16">
        <v>20260317</v>
      </c>
      <c r="T16">
        <v>19800104</v>
      </c>
      <c r="U16">
        <v>100</v>
      </c>
    </row>
    <row r="17" spans="1:21">
      <c r="A17">
        <v>20260313</v>
      </c>
      <c r="B17" t="s">
        <v>92</v>
      </c>
      <c r="C17" t="s">
        <v>93</v>
      </c>
      <c r="D17">
        <v>837</v>
      </c>
      <c r="E17">
        <v>5487.24</v>
      </c>
      <c r="F17">
        <v>-96.01</v>
      </c>
      <c r="G17">
        <v>-1.72</v>
      </c>
      <c r="H17">
        <v>5412.39</v>
      </c>
      <c r="I17">
        <v>5537.59</v>
      </c>
      <c r="J17">
        <v>5392.52</v>
      </c>
      <c r="K17">
        <v>907655536</v>
      </c>
      <c r="L17">
        <v>23719675922031</v>
      </c>
      <c r="M17">
        <v>4530330570592410</v>
      </c>
      <c r="N17">
        <v>1273</v>
      </c>
      <c r="O17">
        <v>30.21</v>
      </c>
      <c r="P17">
        <v>6307.27</v>
      </c>
      <c r="Q17">
        <v>20260226</v>
      </c>
      <c r="R17">
        <v>0</v>
      </c>
      <c r="S17">
        <v>20260316</v>
      </c>
      <c r="T17">
        <v>19800104</v>
      </c>
      <c r="U17">
        <v>100</v>
      </c>
    </row>
    <row r="18" spans="1:21">
      <c r="A18">
        <v>20260312</v>
      </c>
      <c r="B18" t="s">
        <v>92</v>
      </c>
      <c r="C18" t="s">
        <v>93</v>
      </c>
      <c r="D18">
        <v>837</v>
      </c>
      <c r="E18">
        <v>5583.25</v>
      </c>
      <c r="F18">
        <v>-26.7</v>
      </c>
      <c r="G18">
        <v>-0.48</v>
      </c>
      <c r="H18">
        <v>5567.65</v>
      </c>
      <c r="I18">
        <v>5629.07</v>
      </c>
      <c r="J18">
        <v>5527.47</v>
      </c>
      <c r="K18">
        <v>801306208</v>
      </c>
      <c r="L18">
        <v>23698184161863</v>
      </c>
      <c r="M18">
        <v>4608099993232712</v>
      </c>
      <c r="N18">
        <v>1369</v>
      </c>
      <c r="O18">
        <v>32.49</v>
      </c>
      <c r="P18">
        <v>6307.27</v>
      </c>
      <c r="Q18">
        <v>20260226</v>
      </c>
      <c r="R18">
        <v>0</v>
      </c>
      <c r="S18">
        <v>20260313</v>
      </c>
      <c r="T18">
        <v>19800104</v>
      </c>
      <c r="U18">
        <v>100</v>
      </c>
    </row>
    <row r="19" spans="1:21">
      <c r="A19">
        <v>20260311</v>
      </c>
      <c r="B19" t="s">
        <v>92</v>
      </c>
      <c r="C19" t="s">
        <v>93</v>
      </c>
      <c r="D19">
        <v>837</v>
      </c>
      <c r="E19">
        <v>5609.95</v>
      </c>
      <c r="F19">
        <v>77.36</v>
      </c>
      <c r="G19">
        <v>1.4</v>
      </c>
      <c r="H19">
        <v>5658.72</v>
      </c>
      <c r="I19">
        <v>5746.36</v>
      </c>
      <c r="J19">
        <v>5559.69</v>
      </c>
      <c r="K19">
        <v>1050946314</v>
      </c>
      <c r="L19">
        <v>26619233612152</v>
      </c>
      <c r="M19">
        <v>4633384475718061</v>
      </c>
      <c r="N19">
        <v>1396</v>
      </c>
      <c r="O19">
        <v>33.119999999999997</v>
      </c>
      <c r="P19">
        <v>6307.27</v>
      </c>
      <c r="Q19">
        <v>20260226</v>
      </c>
      <c r="R19">
        <v>0</v>
      </c>
      <c r="S19">
        <v>20260312</v>
      </c>
      <c r="T19">
        <v>19800104</v>
      </c>
      <c r="U19">
        <v>100</v>
      </c>
    </row>
    <row r="20" spans="1:21">
      <c r="A20">
        <v>20260310</v>
      </c>
      <c r="B20" t="s">
        <v>92</v>
      </c>
      <c r="C20" t="s">
        <v>93</v>
      </c>
      <c r="D20">
        <v>837</v>
      </c>
      <c r="E20">
        <v>5532.59</v>
      </c>
      <c r="F20">
        <v>280.72000000000003</v>
      </c>
      <c r="G20">
        <v>5.35</v>
      </c>
      <c r="H20">
        <v>5523.21</v>
      </c>
      <c r="I20">
        <v>5595.88</v>
      </c>
      <c r="J20">
        <v>5427.88</v>
      </c>
      <c r="K20">
        <v>923209866</v>
      </c>
      <c r="L20">
        <v>28713302920559</v>
      </c>
      <c r="M20">
        <v>4567316826262150</v>
      </c>
      <c r="N20">
        <v>1318</v>
      </c>
      <c r="O20">
        <v>31.29</v>
      </c>
      <c r="P20">
        <v>6307.27</v>
      </c>
      <c r="Q20">
        <v>20260226</v>
      </c>
      <c r="R20">
        <v>0</v>
      </c>
      <c r="S20">
        <v>20260311</v>
      </c>
      <c r="T20">
        <v>19800104</v>
      </c>
      <c r="U20">
        <v>100</v>
      </c>
    </row>
    <row r="21" spans="1:21">
      <c r="A21">
        <v>20260309</v>
      </c>
      <c r="B21" t="s">
        <v>92</v>
      </c>
      <c r="C21" t="s">
        <v>93</v>
      </c>
      <c r="D21">
        <v>837</v>
      </c>
      <c r="E21">
        <v>5251.87</v>
      </c>
      <c r="F21">
        <v>-333</v>
      </c>
      <c r="G21">
        <v>-5.96</v>
      </c>
      <c r="H21">
        <v>5265.37</v>
      </c>
      <c r="I21">
        <v>5327.42</v>
      </c>
      <c r="J21">
        <v>5096.16</v>
      </c>
      <c r="K21">
        <v>1026237730</v>
      </c>
      <c r="L21">
        <v>33163873061508</v>
      </c>
      <c r="M21">
        <v>4331264221607092</v>
      </c>
      <c r="N21">
        <v>1038</v>
      </c>
      <c r="O21">
        <v>24.62</v>
      </c>
      <c r="P21">
        <v>6307.27</v>
      </c>
      <c r="Q21">
        <v>20260226</v>
      </c>
      <c r="R21">
        <v>0</v>
      </c>
      <c r="S21">
        <v>20260310</v>
      </c>
      <c r="T21">
        <v>19800104</v>
      </c>
      <c r="U21">
        <v>100</v>
      </c>
    </row>
    <row r="22" spans="1:21">
      <c r="A22">
        <v>20260306</v>
      </c>
      <c r="B22" t="s">
        <v>92</v>
      </c>
      <c r="C22" t="s">
        <v>93</v>
      </c>
      <c r="D22">
        <v>837</v>
      </c>
      <c r="E22">
        <v>5584.87</v>
      </c>
      <c r="F22">
        <v>0.97</v>
      </c>
      <c r="G22">
        <v>0.02</v>
      </c>
      <c r="H22">
        <v>5491.02</v>
      </c>
      <c r="I22">
        <v>5609.98</v>
      </c>
      <c r="J22">
        <v>5381.27</v>
      </c>
      <c r="K22">
        <v>1223019737</v>
      </c>
      <c r="L22">
        <v>31402462335366</v>
      </c>
      <c r="M22">
        <v>4605057307856441</v>
      </c>
      <c r="N22">
        <v>1371</v>
      </c>
      <c r="O22">
        <v>32.53</v>
      </c>
      <c r="P22">
        <v>6307.27</v>
      </c>
      <c r="Q22">
        <v>20260226</v>
      </c>
      <c r="R22">
        <v>0</v>
      </c>
      <c r="S22">
        <v>20260309</v>
      </c>
      <c r="T22">
        <v>19800104</v>
      </c>
      <c r="U22">
        <v>100</v>
      </c>
    </row>
    <row r="23" spans="1:21">
      <c r="A23">
        <v>20260305</v>
      </c>
      <c r="B23" t="s">
        <v>92</v>
      </c>
      <c r="C23" t="s">
        <v>93</v>
      </c>
      <c r="D23">
        <v>836</v>
      </c>
      <c r="E23">
        <v>5583.9</v>
      </c>
      <c r="F23">
        <v>490.36</v>
      </c>
      <c r="G23">
        <v>9.6300000000000008</v>
      </c>
      <c r="H23">
        <v>5250.92</v>
      </c>
      <c r="I23">
        <v>5715.3</v>
      </c>
      <c r="J23">
        <v>5248.13</v>
      </c>
      <c r="K23">
        <v>1660710447</v>
      </c>
      <c r="L23">
        <v>45308989750851</v>
      </c>
      <c r="M23">
        <v>4604357689057424</v>
      </c>
      <c r="N23">
        <v>1370</v>
      </c>
      <c r="O23">
        <v>32.5</v>
      </c>
      <c r="P23">
        <v>6307.27</v>
      </c>
      <c r="Q23">
        <v>20260226</v>
      </c>
      <c r="R23">
        <v>0</v>
      </c>
      <c r="S23">
        <v>20260306</v>
      </c>
      <c r="T23">
        <v>19800104</v>
      </c>
      <c r="U23">
        <v>100</v>
      </c>
    </row>
    <row r="24" spans="1:21">
      <c r="A24">
        <v>20260304</v>
      </c>
      <c r="B24" t="s">
        <v>92</v>
      </c>
      <c r="C24" t="s">
        <v>93</v>
      </c>
      <c r="D24">
        <v>836</v>
      </c>
      <c r="E24">
        <v>5093.54</v>
      </c>
      <c r="F24">
        <v>-698.37</v>
      </c>
      <c r="G24">
        <v>-12.06</v>
      </c>
      <c r="H24">
        <v>5592.59</v>
      </c>
      <c r="I24">
        <v>5672.12</v>
      </c>
      <c r="J24">
        <v>5059.45</v>
      </c>
      <c r="K24">
        <v>1637605952</v>
      </c>
      <c r="L24">
        <v>62882735183204</v>
      </c>
      <c r="M24">
        <v>4194946818672921</v>
      </c>
      <c r="N24">
        <v>879</v>
      </c>
      <c r="O24">
        <v>20.87</v>
      </c>
      <c r="P24">
        <v>6307.27</v>
      </c>
      <c r="Q24">
        <v>20260226</v>
      </c>
      <c r="R24">
        <v>0</v>
      </c>
      <c r="S24">
        <v>20260305</v>
      </c>
      <c r="T24">
        <v>19800104</v>
      </c>
      <c r="U24">
        <v>100</v>
      </c>
    </row>
    <row r="25" spans="1:21">
      <c r="A25">
        <v>20260303</v>
      </c>
      <c r="B25" t="s">
        <v>92</v>
      </c>
      <c r="C25" t="s">
        <v>93</v>
      </c>
      <c r="D25">
        <v>836</v>
      </c>
      <c r="E25">
        <v>5791.91</v>
      </c>
      <c r="F25">
        <v>-452.22</v>
      </c>
      <c r="G25">
        <v>-7.24</v>
      </c>
      <c r="H25">
        <v>6165.15</v>
      </c>
      <c r="I25">
        <v>6180.45</v>
      </c>
      <c r="J25">
        <v>5791.65</v>
      </c>
      <c r="K25">
        <v>1227193147</v>
      </c>
      <c r="L25">
        <v>52800572976931</v>
      </c>
      <c r="M25">
        <v>4769433446422237</v>
      </c>
      <c r="N25">
        <v>1578</v>
      </c>
      <c r="O25">
        <v>37.44</v>
      </c>
      <c r="P25">
        <v>6307.27</v>
      </c>
      <c r="Q25">
        <v>20260226</v>
      </c>
      <c r="R25">
        <v>0</v>
      </c>
      <c r="S25">
        <v>20260304</v>
      </c>
      <c r="T25">
        <v>19800104</v>
      </c>
      <c r="U25">
        <v>100</v>
      </c>
    </row>
    <row r="26" spans="1:21">
      <c r="A26">
        <v>20260227</v>
      </c>
      <c r="B26" t="s">
        <v>92</v>
      </c>
      <c r="C26" t="s">
        <v>93</v>
      </c>
      <c r="D26">
        <v>836</v>
      </c>
      <c r="E26">
        <v>6244.13</v>
      </c>
      <c r="F26">
        <v>-63.14</v>
      </c>
      <c r="G26">
        <v>-1</v>
      </c>
      <c r="H26">
        <v>6197.49</v>
      </c>
      <c r="I26">
        <v>6347.41</v>
      </c>
      <c r="J26">
        <v>6153.87</v>
      </c>
      <c r="K26">
        <v>1166057975</v>
      </c>
      <c r="L26">
        <v>54939339254580</v>
      </c>
      <c r="M26">
        <v>5146373107791624</v>
      </c>
      <c r="N26">
        <v>2030</v>
      </c>
      <c r="O26">
        <v>48.17</v>
      </c>
      <c r="P26">
        <v>6307.27</v>
      </c>
      <c r="Q26">
        <v>20260226</v>
      </c>
      <c r="R26">
        <v>0</v>
      </c>
      <c r="S26">
        <v>20260303</v>
      </c>
      <c r="T26">
        <v>19800104</v>
      </c>
      <c r="U26">
        <v>100</v>
      </c>
    </row>
    <row r="27" spans="1:21">
      <c r="A27">
        <v>20260226</v>
      </c>
      <c r="B27" t="s">
        <v>92</v>
      </c>
      <c r="C27" t="s">
        <v>93</v>
      </c>
      <c r="D27">
        <v>836</v>
      </c>
      <c r="E27">
        <v>6307.27</v>
      </c>
      <c r="F27">
        <v>223.41</v>
      </c>
      <c r="G27">
        <v>3.67</v>
      </c>
      <c r="H27">
        <v>6121.03</v>
      </c>
      <c r="I27">
        <v>6313.27</v>
      </c>
      <c r="J27">
        <v>6107.41</v>
      </c>
      <c r="K27">
        <v>1409623229</v>
      </c>
      <c r="L27">
        <v>38930015318333</v>
      </c>
      <c r="M27">
        <v>5199961588788373</v>
      </c>
      <c r="N27">
        <v>2093</v>
      </c>
      <c r="O27">
        <v>49.67</v>
      </c>
      <c r="P27">
        <v>6307.27</v>
      </c>
      <c r="Q27">
        <v>20260226</v>
      </c>
      <c r="R27">
        <v>0</v>
      </c>
      <c r="S27">
        <v>20260227</v>
      </c>
      <c r="T27">
        <v>19800104</v>
      </c>
      <c r="U27">
        <v>100</v>
      </c>
    </row>
    <row r="28" spans="1:21">
      <c r="A28">
        <v>20260225</v>
      </c>
      <c r="B28" t="s">
        <v>92</v>
      </c>
      <c r="C28" t="s">
        <v>93</v>
      </c>
      <c r="D28">
        <v>836</v>
      </c>
      <c r="E28">
        <v>6083.86</v>
      </c>
      <c r="F28">
        <v>114.22</v>
      </c>
      <c r="G28">
        <v>1.91</v>
      </c>
      <c r="H28">
        <v>6022.7</v>
      </c>
      <c r="I28">
        <v>6144.71</v>
      </c>
      <c r="J28">
        <v>5984.28</v>
      </c>
      <c r="K28">
        <v>1415254864</v>
      </c>
      <c r="L28">
        <v>35284562768622</v>
      </c>
      <c r="M28">
        <v>5016888866747315</v>
      </c>
      <c r="N28">
        <v>1870</v>
      </c>
      <c r="O28">
        <v>44.37</v>
      </c>
      <c r="P28">
        <v>6083.86</v>
      </c>
      <c r="Q28">
        <v>20260225</v>
      </c>
      <c r="R28">
        <v>0</v>
      </c>
      <c r="S28">
        <v>20260226</v>
      </c>
      <c r="T28">
        <v>19800104</v>
      </c>
      <c r="U28">
        <v>100</v>
      </c>
    </row>
    <row r="29" spans="1:21">
      <c r="A29">
        <v>20260224</v>
      </c>
      <c r="B29" t="s">
        <v>92</v>
      </c>
      <c r="C29" t="s">
        <v>93</v>
      </c>
      <c r="D29">
        <v>836</v>
      </c>
      <c r="E29">
        <v>5969.64</v>
      </c>
      <c r="F29">
        <v>123.55</v>
      </c>
      <c r="G29">
        <v>2.11</v>
      </c>
      <c r="H29">
        <v>5853.48</v>
      </c>
      <c r="I29">
        <v>5969.64</v>
      </c>
      <c r="J29">
        <v>5775.61</v>
      </c>
      <c r="K29">
        <v>1602004836</v>
      </c>
      <c r="L29">
        <v>31372730942186</v>
      </c>
      <c r="M29">
        <v>4922736641351075</v>
      </c>
      <c r="N29">
        <v>1755</v>
      </c>
      <c r="O29">
        <v>41.66</v>
      </c>
      <c r="P29">
        <v>5969.64</v>
      </c>
      <c r="Q29">
        <v>20260224</v>
      </c>
      <c r="R29">
        <v>0</v>
      </c>
      <c r="S29">
        <v>20260225</v>
      </c>
      <c r="T29">
        <v>19800104</v>
      </c>
      <c r="U29">
        <v>100</v>
      </c>
    </row>
    <row r="30" spans="1:21">
      <c r="A30">
        <v>20260223</v>
      </c>
      <c r="B30" t="s">
        <v>92</v>
      </c>
      <c r="C30" t="s">
        <v>93</v>
      </c>
      <c r="D30">
        <v>836</v>
      </c>
      <c r="E30">
        <v>5846.09</v>
      </c>
      <c r="F30">
        <v>37.56</v>
      </c>
      <c r="G30">
        <v>0.65</v>
      </c>
      <c r="H30">
        <v>5903.11</v>
      </c>
      <c r="I30">
        <v>5931.86</v>
      </c>
      <c r="J30">
        <v>5792.57</v>
      </c>
      <c r="K30">
        <v>1477788942</v>
      </c>
      <c r="L30">
        <v>32044129428372</v>
      </c>
      <c r="M30">
        <v>4820058734017212</v>
      </c>
      <c r="N30">
        <v>1632</v>
      </c>
      <c r="O30">
        <v>38.72</v>
      </c>
      <c r="P30">
        <v>5846.09</v>
      </c>
      <c r="Q30">
        <v>20260223</v>
      </c>
      <c r="R30">
        <v>0</v>
      </c>
      <c r="S30">
        <v>20260224</v>
      </c>
      <c r="T30">
        <v>19800104</v>
      </c>
      <c r="U30">
        <v>100</v>
      </c>
    </row>
    <row r="31" spans="1:21">
      <c r="A31">
        <v>20260220</v>
      </c>
      <c r="B31" t="s">
        <v>92</v>
      </c>
      <c r="C31" t="s">
        <v>93</v>
      </c>
      <c r="D31">
        <v>836</v>
      </c>
      <c r="E31">
        <v>5808.53</v>
      </c>
      <c r="F31">
        <v>131.28</v>
      </c>
      <c r="G31">
        <v>2.31</v>
      </c>
      <c r="H31">
        <v>5696.89</v>
      </c>
      <c r="I31">
        <v>5809.91</v>
      </c>
      <c r="J31">
        <v>5684.58</v>
      </c>
      <c r="K31">
        <v>1749302679</v>
      </c>
      <c r="L31">
        <v>33119679281825</v>
      </c>
      <c r="M31">
        <v>4803601345750885</v>
      </c>
      <c r="N31">
        <v>1594</v>
      </c>
      <c r="O31">
        <v>37.83</v>
      </c>
      <c r="P31">
        <v>5808.53</v>
      </c>
      <c r="Q31">
        <v>20260220</v>
      </c>
      <c r="R31">
        <v>0</v>
      </c>
      <c r="S31">
        <v>20260223</v>
      </c>
      <c r="T31">
        <v>19800104</v>
      </c>
      <c r="U31">
        <v>100</v>
      </c>
    </row>
    <row r="32" spans="1:21">
      <c r="A32">
        <v>20260219</v>
      </c>
      <c r="B32" t="s">
        <v>92</v>
      </c>
      <c r="C32" t="s">
        <v>93</v>
      </c>
      <c r="D32">
        <v>836</v>
      </c>
      <c r="E32">
        <v>5677.25</v>
      </c>
      <c r="F32">
        <v>170.24</v>
      </c>
      <c r="G32">
        <v>3.09</v>
      </c>
      <c r="H32">
        <v>5642.09</v>
      </c>
      <c r="I32">
        <v>5681.65</v>
      </c>
      <c r="J32">
        <v>5614.97</v>
      </c>
      <c r="K32">
        <v>1185838197</v>
      </c>
      <c r="L32">
        <v>28945961371804</v>
      </c>
      <c r="M32">
        <v>4696588119553641</v>
      </c>
      <c r="N32">
        <v>1463</v>
      </c>
      <c r="O32">
        <v>34.72</v>
      </c>
      <c r="P32">
        <v>5677.25</v>
      </c>
      <c r="Q32">
        <v>20260219</v>
      </c>
      <c r="R32">
        <v>0</v>
      </c>
      <c r="S32">
        <v>20260220</v>
      </c>
      <c r="T32">
        <v>19800104</v>
      </c>
      <c r="U32">
        <v>100</v>
      </c>
    </row>
    <row r="33" spans="1:21">
      <c r="A33">
        <v>20260213</v>
      </c>
      <c r="B33" t="s">
        <v>92</v>
      </c>
      <c r="C33" t="s">
        <v>93</v>
      </c>
      <c r="D33">
        <v>836</v>
      </c>
      <c r="E33">
        <v>5507.01</v>
      </c>
      <c r="F33">
        <v>-15.26</v>
      </c>
      <c r="G33">
        <v>-0.28000000000000003</v>
      </c>
      <c r="H33">
        <v>5513.71</v>
      </c>
      <c r="I33">
        <v>5583.74</v>
      </c>
      <c r="J33">
        <v>5480.92</v>
      </c>
      <c r="K33">
        <v>1290658558</v>
      </c>
      <c r="L33">
        <v>30820998931626</v>
      </c>
      <c r="M33">
        <v>4553532159039352</v>
      </c>
      <c r="N33">
        <v>1293</v>
      </c>
      <c r="O33">
        <v>30.68</v>
      </c>
      <c r="P33">
        <v>5522.27</v>
      </c>
      <c r="Q33">
        <v>20260212</v>
      </c>
      <c r="R33">
        <v>0</v>
      </c>
      <c r="S33">
        <v>20260219</v>
      </c>
      <c r="T33">
        <v>19800104</v>
      </c>
      <c r="U33">
        <v>100</v>
      </c>
    </row>
    <row r="34" spans="1:21">
      <c r="A34">
        <v>20260212</v>
      </c>
      <c r="B34" t="s">
        <v>92</v>
      </c>
      <c r="C34" t="s">
        <v>93</v>
      </c>
      <c r="D34">
        <v>836</v>
      </c>
      <c r="E34">
        <v>5522.27</v>
      </c>
      <c r="F34">
        <v>167.78</v>
      </c>
      <c r="G34">
        <v>3.13</v>
      </c>
      <c r="H34">
        <v>5425.39</v>
      </c>
      <c r="I34">
        <v>5522.27</v>
      </c>
      <c r="J34">
        <v>5399.52</v>
      </c>
      <c r="K34">
        <v>750614562</v>
      </c>
      <c r="L34">
        <v>32322625268341</v>
      </c>
      <c r="M34">
        <v>4560825989035452</v>
      </c>
      <c r="N34">
        <v>1308</v>
      </c>
      <c r="O34">
        <v>31.04</v>
      </c>
      <c r="P34">
        <v>5522.27</v>
      </c>
      <c r="Q34">
        <v>20260212</v>
      </c>
      <c r="R34">
        <v>0</v>
      </c>
      <c r="S34">
        <v>20260213</v>
      </c>
      <c r="T34">
        <v>19800104</v>
      </c>
      <c r="U34">
        <v>100</v>
      </c>
    </row>
    <row r="35" spans="1:21">
      <c r="A35">
        <v>20260211</v>
      </c>
      <c r="B35" t="s">
        <v>92</v>
      </c>
      <c r="C35" t="s">
        <v>93</v>
      </c>
      <c r="D35">
        <v>837</v>
      </c>
      <c r="E35">
        <v>5354.49</v>
      </c>
      <c r="F35">
        <v>52.8</v>
      </c>
      <c r="G35">
        <v>1</v>
      </c>
      <c r="H35">
        <v>5293.75</v>
      </c>
      <c r="I35">
        <v>5374.23</v>
      </c>
      <c r="J35">
        <v>5257.53</v>
      </c>
      <c r="K35">
        <v>753767377</v>
      </c>
      <c r="L35">
        <v>25625896916781</v>
      </c>
      <c r="M35">
        <v>4421255293234541</v>
      </c>
      <c r="N35">
        <v>1140</v>
      </c>
      <c r="O35">
        <v>27.06</v>
      </c>
      <c r="P35">
        <v>5371.1</v>
      </c>
      <c r="Q35">
        <v>20260204</v>
      </c>
      <c r="R35">
        <v>0</v>
      </c>
      <c r="S35">
        <v>20260212</v>
      </c>
      <c r="T35">
        <v>19800104</v>
      </c>
      <c r="U35">
        <v>100</v>
      </c>
    </row>
    <row r="36" spans="1:21">
      <c r="A36">
        <v>20260210</v>
      </c>
      <c r="B36" t="s">
        <v>92</v>
      </c>
      <c r="C36" t="s">
        <v>93</v>
      </c>
      <c r="D36">
        <v>837</v>
      </c>
      <c r="E36">
        <v>5301.69</v>
      </c>
      <c r="F36">
        <v>3.65</v>
      </c>
      <c r="G36">
        <v>7.0000000000000007E-2</v>
      </c>
      <c r="H36">
        <v>5350.21</v>
      </c>
      <c r="I36">
        <v>5363.62</v>
      </c>
      <c r="J36">
        <v>5286.67</v>
      </c>
      <c r="K36">
        <v>712267871</v>
      </c>
      <c r="L36">
        <v>23275929869547</v>
      </c>
      <c r="M36">
        <v>4376615585478883</v>
      </c>
      <c r="N36">
        <v>1088</v>
      </c>
      <c r="O36">
        <v>25.81</v>
      </c>
      <c r="P36">
        <v>5371.1</v>
      </c>
      <c r="Q36">
        <v>20260204</v>
      </c>
      <c r="R36">
        <v>0</v>
      </c>
      <c r="S36">
        <v>20260211</v>
      </c>
      <c r="T36">
        <v>19800104</v>
      </c>
      <c r="U36">
        <v>100</v>
      </c>
    </row>
    <row r="37" spans="1:21">
      <c r="A37">
        <v>20260209</v>
      </c>
      <c r="B37" t="s">
        <v>92</v>
      </c>
      <c r="C37" t="s">
        <v>93</v>
      </c>
      <c r="D37">
        <v>837</v>
      </c>
      <c r="E37">
        <v>5298.04</v>
      </c>
      <c r="F37">
        <v>208.9</v>
      </c>
      <c r="G37">
        <v>4.0999999999999996</v>
      </c>
      <c r="H37">
        <v>5299.1</v>
      </c>
      <c r="I37">
        <v>5322.35</v>
      </c>
      <c r="J37">
        <v>5265.08</v>
      </c>
      <c r="K37">
        <v>617657784</v>
      </c>
      <c r="L37">
        <v>26454138847440</v>
      </c>
      <c r="M37">
        <v>4374057800206435</v>
      </c>
      <c r="N37">
        <v>1084</v>
      </c>
      <c r="O37">
        <v>25.72</v>
      </c>
      <c r="P37">
        <v>5371.1</v>
      </c>
      <c r="Q37">
        <v>20260204</v>
      </c>
      <c r="R37">
        <v>0</v>
      </c>
      <c r="S37">
        <v>20260210</v>
      </c>
      <c r="T37">
        <v>19800104</v>
      </c>
      <c r="U37">
        <v>100</v>
      </c>
    </row>
    <row r="38" spans="1:21">
      <c r="A38">
        <v>20260206</v>
      </c>
      <c r="B38" t="s">
        <v>92</v>
      </c>
      <c r="C38" t="s">
        <v>93</v>
      </c>
      <c r="D38">
        <v>837</v>
      </c>
      <c r="E38">
        <v>5089.1400000000003</v>
      </c>
      <c r="F38">
        <v>-74.430000000000007</v>
      </c>
      <c r="G38">
        <v>-1.44</v>
      </c>
      <c r="H38">
        <v>5013.1499999999996</v>
      </c>
      <c r="I38">
        <v>5120.7700000000004</v>
      </c>
      <c r="J38">
        <v>4899.3</v>
      </c>
      <c r="K38">
        <v>745763942</v>
      </c>
      <c r="L38">
        <v>29912342148788</v>
      </c>
      <c r="M38">
        <v>4203477721125180</v>
      </c>
      <c r="N38">
        <v>875</v>
      </c>
      <c r="O38">
        <v>20.76</v>
      </c>
      <c r="P38">
        <v>5371.1</v>
      </c>
      <c r="Q38">
        <v>20260204</v>
      </c>
      <c r="R38">
        <v>0</v>
      </c>
      <c r="S38">
        <v>20260209</v>
      </c>
      <c r="T38">
        <v>19800104</v>
      </c>
      <c r="U38">
        <v>100</v>
      </c>
    </row>
    <row r="39" spans="1:21">
      <c r="A39">
        <v>20260205</v>
      </c>
      <c r="B39" t="s">
        <v>92</v>
      </c>
      <c r="C39" t="s">
        <v>93</v>
      </c>
      <c r="D39">
        <v>837</v>
      </c>
      <c r="E39">
        <v>5163.57</v>
      </c>
      <c r="F39">
        <v>-207.53</v>
      </c>
      <c r="G39">
        <v>-3.86</v>
      </c>
      <c r="H39">
        <v>5251.03</v>
      </c>
      <c r="I39">
        <v>5304.4</v>
      </c>
      <c r="J39">
        <v>5142.2</v>
      </c>
      <c r="K39">
        <v>911910087</v>
      </c>
      <c r="L39">
        <v>32385641184187</v>
      </c>
      <c r="M39">
        <v>4264766371309451</v>
      </c>
      <c r="N39">
        <v>949</v>
      </c>
      <c r="O39">
        <v>22.53</v>
      </c>
      <c r="P39">
        <v>5371.1</v>
      </c>
      <c r="Q39">
        <v>20260204</v>
      </c>
      <c r="R39">
        <v>0</v>
      </c>
      <c r="S39">
        <v>20260206</v>
      </c>
      <c r="T39">
        <v>19800104</v>
      </c>
      <c r="U39">
        <v>100</v>
      </c>
    </row>
    <row r="40" spans="1:21">
      <c r="A40">
        <v>20260204</v>
      </c>
      <c r="B40" t="s">
        <v>92</v>
      </c>
      <c r="C40" t="s">
        <v>93</v>
      </c>
      <c r="D40">
        <v>837</v>
      </c>
      <c r="E40">
        <v>5371.1</v>
      </c>
      <c r="F40">
        <v>83.02</v>
      </c>
      <c r="G40">
        <v>1.57</v>
      </c>
      <c r="H40">
        <v>5260.71</v>
      </c>
      <c r="I40">
        <v>5376.92</v>
      </c>
      <c r="J40">
        <v>5243.11</v>
      </c>
      <c r="K40">
        <v>789920328</v>
      </c>
      <c r="L40">
        <v>30433498214654</v>
      </c>
      <c r="M40">
        <v>4438841137256351</v>
      </c>
      <c r="N40">
        <v>1157</v>
      </c>
      <c r="O40">
        <v>27.45</v>
      </c>
      <c r="P40">
        <v>5371.1</v>
      </c>
      <c r="Q40">
        <v>20260204</v>
      </c>
      <c r="R40">
        <v>0</v>
      </c>
      <c r="S40">
        <v>20260205</v>
      </c>
      <c r="T40">
        <v>19800104</v>
      </c>
      <c r="U40">
        <v>100</v>
      </c>
    </row>
    <row r="41" spans="1:21">
      <c r="A41">
        <v>20260203</v>
      </c>
      <c r="B41" t="s">
        <v>92</v>
      </c>
      <c r="C41" t="s">
        <v>93</v>
      </c>
      <c r="D41">
        <v>837</v>
      </c>
      <c r="E41">
        <v>5288.08</v>
      </c>
      <c r="F41">
        <v>338.41</v>
      </c>
      <c r="G41">
        <v>6.84</v>
      </c>
      <c r="H41">
        <v>5114.8100000000004</v>
      </c>
      <c r="I41">
        <v>5288.08</v>
      </c>
      <c r="J41">
        <v>5101.3100000000004</v>
      </c>
      <c r="K41">
        <v>672610151</v>
      </c>
      <c r="L41">
        <v>30015961619294</v>
      </c>
      <c r="M41">
        <v>4372100336340858</v>
      </c>
      <c r="N41">
        <v>1074</v>
      </c>
      <c r="O41">
        <v>25.48</v>
      </c>
      <c r="P41">
        <v>5288.08</v>
      </c>
      <c r="Q41">
        <v>20260203</v>
      </c>
      <c r="R41">
        <v>0</v>
      </c>
      <c r="S41">
        <v>20260204</v>
      </c>
      <c r="T41">
        <v>19800104</v>
      </c>
      <c r="U41">
        <v>100</v>
      </c>
    </row>
    <row r="42" spans="1:21">
      <c r="A42">
        <v>20260202</v>
      </c>
      <c r="B42" t="s">
        <v>92</v>
      </c>
      <c r="C42" t="s">
        <v>93</v>
      </c>
      <c r="D42">
        <v>837</v>
      </c>
      <c r="E42">
        <v>4949.67</v>
      </c>
      <c r="F42">
        <v>-274.69</v>
      </c>
      <c r="G42">
        <v>-5.26</v>
      </c>
      <c r="H42">
        <v>5122.62</v>
      </c>
      <c r="I42">
        <v>5196.71</v>
      </c>
      <c r="J42">
        <v>4933.58</v>
      </c>
      <c r="K42">
        <v>572544402</v>
      </c>
      <c r="L42">
        <v>32090618217805</v>
      </c>
      <c r="M42">
        <v>4091111654386489</v>
      </c>
      <c r="N42">
        <v>736</v>
      </c>
      <c r="O42">
        <v>17.45</v>
      </c>
      <c r="P42">
        <v>5224.3599999999997</v>
      </c>
      <c r="Q42">
        <v>20260130</v>
      </c>
      <c r="R42">
        <v>0</v>
      </c>
      <c r="S42">
        <v>20260203</v>
      </c>
      <c r="T42">
        <v>19800104</v>
      </c>
      <c r="U42">
        <v>100</v>
      </c>
    </row>
    <row r="43" spans="1:21">
      <c r="A43">
        <v>20260130</v>
      </c>
      <c r="B43" t="s">
        <v>92</v>
      </c>
      <c r="C43" t="s">
        <v>93</v>
      </c>
      <c r="D43">
        <v>837</v>
      </c>
      <c r="E43">
        <v>5224.3599999999997</v>
      </c>
      <c r="F43">
        <v>3.11</v>
      </c>
      <c r="G43">
        <v>0.06</v>
      </c>
      <c r="H43">
        <v>5210.3500000000004</v>
      </c>
      <c r="I43">
        <v>5321.68</v>
      </c>
      <c r="J43">
        <v>5199.78</v>
      </c>
      <c r="K43">
        <v>862540604</v>
      </c>
      <c r="L43">
        <v>35493399111211</v>
      </c>
      <c r="M43">
        <v>4318647135951042</v>
      </c>
      <c r="N43">
        <v>1010</v>
      </c>
      <c r="O43">
        <v>23.97</v>
      </c>
      <c r="P43">
        <v>5224.3599999999997</v>
      </c>
      <c r="Q43">
        <v>20260130</v>
      </c>
      <c r="R43">
        <v>0</v>
      </c>
      <c r="S43">
        <v>20260202</v>
      </c>
      <c r="T43">
        <v>19800104</v>
      </c>
      <c r="U43">
        <v>100</v>
      </c>
    </row>
    <row r="44" spans="1:21">
      <c r="A44">
        <v>20260129</v>
      </c>
      <c r="B44" t="s">
        <v>92</v>
      </c>
      <c r="C44" t="s">
        <v>93</v>
      </c>
      <c r="D44">
        <v>837</v>
      </c>
      <c r="E44">
        <v>5221.25</v>
      </c>
      <c r="F44">
        <v>50.44</v>
      </c>
      <c r="G44">
        <v>0.98</v>
      </c>
      <c r="H44">
        <v>5243.42</v>
      </c>
      <c r="I44">
        <v>5252.61</v>
      </c>
      <c r="J44">
        <v>5073.12</v>
      </c>
      <c r="K44">
        <v>699659390</v>
      </c>
      <c r="L44">
        <v>35870200939592</v>
      </c>
      <c r="M44">
        <v>4315677778298127</v>
      </c>
      <c r="N44">
        <v>1007</v>
      </c>
      <c r="O44">
        <v>23.9</v>
      </c>
      <c r="P44">
        <v>5221.25</v>
      </c>
      <c r="Q44">
        <v>20260129</v>
      </c>
      <c r="R44">
        <v>0</v>
      </c>
      <c r="S44">
        <v>20260130</v>
      </c>
      <c r="T44">
        <v>19800104</v>
      </c>
      <c r="U44">
        <v>100</v>
      </c>
    </row>
    <row r="45" spans="1:21">
      <c r="A45">
        <v>20260128</v>
      </c>
      <c r="B45" t="s">
        <v>92</v>
      </c>
      <c r="C45" t="s">
        <v>93</v>
      </c>
      <c r="D45">
        <v>837</v>
      </c>
      <c r="E45">
        <v>5170.8100000000004</v>
      </c>
      <c r="F45">
        <v>85.96</v>
      </c>
      <c r="G45">
        <v>1.69</v>
      </c>
      <c r="H45">
        <v>5145.3900000000003</v>
      </c>
      <c r="I45">
        <v>5183.4399999999996</v>
      </c>
      <c r="J45">
        <v>5124.8</v>
      </c>
      <c r="K45">
        <v>593108778</v>
      </c>
      <c r="L45">
        <v>30856467311072</v>
      </c>
      <c r="M45">
        <v>4276044578125425</v>
      </c>
      <c r="N45">
        <v>957</v>
      </c>
      <c r="O45">
        <v>22.7</v>
      </c>
      <c r="P45">
        <v>5170.8100000000004</v>
      </c>
      <c r="Q45">
        <v>20260128</v>
      </c>
      <c r="R45">
        <v>0</v>
      </c>
      <c r="S45">
        <v>20260129</v>
      </c>
      <c r="T45">
        <v>19800104</v>
      </c>
      <c r="U45">
        <v>100</v>
      </c>
    </row>
    <row r="46" spans="1:21">
      <c r="A46">
        <v>20260127</v>
      </c>
      <c r="B46" t="s">
        <v>92</v>
      </c>
      <c r="C46" t="s">
        <v>93</v>
      </c>
      <c r="D46">
        <v>837</v>
      </c>
      <c r="E46">
        <v>5084.8500000000004</v>
      </c>
      <c r="F46">
        <v>135.26</v>
      </c>
      <c r="G46">
        <v>2.73</v>
      </c>
      <c r="H46">
        <v>4932.8900000000003</v>
      </c>
      <c r="I46">
        <v>5084.8500000000004</v>
      </c>
      <c r="J46">
        <v>4890.72</v>
      </c>
      <c r="K46">
        <v>476155582</v>
      </c>
      <c r="L46">
        <v>28496381114727</v>
      </c>
      <c r="M46">
        <v>4203734778009835</v>
      </c>
      <c r="N46">
        <v>871</v>
      </c>
      <c r="O46">
        <v>20.66</v>
      </c>
      <c r="P46">
        <v>5084.8500000000004</v>
      </c>
      <c r="Q46">
        <v>20260127</v>
      </c>
      <c r="R46">
        <v>0</v>
      </c>
      <c r="S46">
        <v>20260128</v>
      </c>
      <c r="T46">
        <v>19800104</v>
      </c>
      <c r="U46">
        <v>100</v>
      </c>
    </row>
    <row r="47" spans="1:21">
      <c r="A47">
        <v>20260126</v>
      </c>
      <c r="B47" t="s">
        <v>92</v>
      </c>
      <c r="C47" t="s">
        <v>93</v>
      </c>
      <c r="D47">
        <v>838</v>
      </c>
      <c r="E47">
        <v>4949.59</v>
      </c>
      <c r="F47">
        <v>-40.479999999999997</v>
      </c>
      <c r="G47">
        <v>-0.81</v>
      </c>
      <c r="H47">
        <v>4997.54</v>
      </c>
      <c r="I47">
        <v>5023.76</v>
      </c>
      <c r="J47">
        <v>4940.78</v>
      </c>
      <c r="K47">
        <v>446903055</v>
      </c>
      <c r="L47">
        <v>22842956876465</v>
      </c>
      <c r="M47">
        <v>4093032390767832</v>
      </c>
      <c r="N47">
        <v>735</v>
      </c>
      <c r="O47">
        <v>17.45</v>
      </c>
      <c r="P47">
        <v>4990.07</v>
      </c>
      <c r="Q47">
        <v>20260123</v>
      </c>
      <c r="R47">
        <v>0</v>
      </c>
      <c r="S47">
        <v>20260127</v>
      </c>
      <c r="T47">
        <v>19800104</v>
      </c>
      <c r="U47">
        <v>100</v>
      </c>
    </row>
    <row r="48" spans="1:21">
      <c r="A48">
        <v>20260123</v>
      </c>
      <c r="B48" t="s">
        <v>92</v>
      </c>
      <c r="C48" t="s">
        <v>93</v>
      </c>
      <c r="D48">
        <v>839</v>
      </c>
      <c r="E48">
        <v>4990.07</v>
      </c>
      <c r="F48">
        <v>37.54</v>
      </c>
      <c r="G48">
        <v>0.76</v>
      </c>
      <c r="H48">
        <v>4984.08</v>
      </c>
      <c r="I48">
        <v>5021.13</v>
      </c>
      <c r="J48">
        <v>4926.22</v>
      </c>
      <c r="K48">
        <v>612601752</v>
      </c>
      <c r="L48">
        <v>30017138130375</v>
      </c>
      <c r="M48">
        <v>4125555096685080</v>
      </c>
      <c r="N48">
        <v>776</v>
      </c>
      <c r="O48">
        <v>18.41</v>
      </c>
      <c r="P48">
        <v>4990.07</v>
      </c>
      <c r="Q48">
        <v>20260123</v>
      </c>
      <c r="R48">
        <v>0</v>
      </c>
      <c r="S48">
        <v>20260126</v>
      </c>
      <c r="T48">
        <v>19800104</v>
      </c>
      <c r="U48">
        <v>100</v>
      </c>
    </row>
    <row r="49" spans="1:21">
      <c r="A49">
        <v>20260122</v>
      </c>
      <c r="B49" t="s">
        <v>92</v>
      </c>
      <c r="C49" t="s">
        <v>93</v>
      </c>
      <c r="D49">
        <v>839</v>
      </c>
      <c r="E49">
        <v>4952.53</v>
      </c>
      <c r="F49">
        <v>42.6</v>
      </c>
      <c r="G49">
        <v>0.87</v>
      </c>
      <c r="H49">
        <v>4987.0600000000004</v>
      </c>
      <c r="I49">
        <v>5019.54</v>
      </c>
      <c r="J49">
        <v>4934.17</v>
      </c>
      <c r="K49">
        <v>568624077</v>
      </c>
      <c r="L49">
        <v>32919611108208</v>
      </c>
      <c r="M49">
        <v>4095874148435200</v>
      </c>
      <c r="N49">
        <v>738</v>
      </c>
      <c r="O49">
        <v>17.52</v>
      </c>
      <c r="P49">
        <v>4952.53</v>
      </c>
      <c r="Q49">
        <v>20260122</v>
      </c>
      <c r="R49">
        <v>0</v>
      </c>
      <c r="S49">
        <v>20260123</v>
      </c>
      <c r="T49">
        <v>19800104</v>
      </c>
      <c r="U49">
        <v>100</v>
      </c>
    </row>
    <row r="50" spans="1:21">
      <c r="A50">
        <v>20260121</v>
      </c>
      <c r="B50" t="s">
        <v>92</v>
      </c>
      <c r="C50" t="s">
        <v>93</v>
      </c>
      <c r="D50">
        <v>839</v>
      </c>
      <c r="E50">
        <v>4909.93</v>
      </c>
      <c r="F50">
        <v>24.18</v>
      </c>
      <c r="G50">
        <v>0.49</v>
      </c>
      <c r="H50">
        <v>4808.9399999999996</v>
      </c>
      <c r="I50">
        <v>4910.54</v>
      </c>
      <c r="J50">
        <v>4807.13</v>
      </c>
      <c r="K50">
        <v>600101467</v>
      </c>
      <c r="L50">
        <v>30093031855585</v>
      </c>
      <c r="M50">
        <v>4061917379318616</v>
      </c>
      <c r="N50">
        <v>696</v>
      </c>
      <c r="O50">
        <v>16.510000000000002</v>
      </c>
      <c r="P50">
        <v>4909.93</v>
      </c>
      <c r="Q50">
        <v>20260121</v>
      </c>
      <c r="R50">
        <v>0</v>
      </c>
      <c r="S50">
        <v>20260122</v>
      </c>
      <c r="T50">
        <v>19800104</v>
      </c>
      <c r="U50">
        <v>100</v>
      </c>
    </row>
    <row r="51" spans="1:21">
      <c r="A51">
        <v>20260120</v>
      </c>
      <c r="B51" t="s">
        <v>92</v>
      </c>
      <c r="C51" t="s">
        <v>93</v>
      </c>
      <c r="D51">
        <v>839</v>
      </c>
      <c r="E51">
        <v>4885.75</v>
      </c>
      <c r="F51">
        <v>-18.91</v>
      </c>
      <c r="G51">
        <v>-0.39</v>
      </c>
      <c r="H51">
        <v>4900.28</v>
      </c>
      <c r="I51">
        <v>4935.4799999999996</v>
      </c>
      <c r="J51">
        <v>4823.88</v>
      </c>
      <c r="K51">
        <v>667709207</v>
      </c>
      <c r="L51">
        <v>27148846770961</v>
      </c>
      <c r="M51">
        <v>4038612917321370</v>
      </c>
      <c r="N51">
        <v>672</v>
      </c>
      <c r="O51">
        <v>15.94</v>
      </c>
      <c r="P51">
        <v>4904.66</v>
      </c>
      <c r="Q51">
        <v>20260119</v>
      </c>
      <c r="R51">
        <v>0</v>
      </c>
      <c r="S51">
        <v>20260121</v>
      </c>
      <c r="T51">
        <v>19800104</v>
      </c>
      <c r="U51">
        <v>100</v>
      </c>
    </row>
    <row r="52" spans="1:21">
      <c r="A52">
        <v>20260119</v>
      </c>
      <c r="B52" t="s">
        <v>92</v>
      </c>
      <c r="C52" t="s">
        <v>93</v>
      </c>
      <c r="D52">
        <v>839</v>
      </c>
      <c r="E52">
        <v>4904.66</v>
      </c>
      <c r="F52">
        <v>63.92</v>
      </c>
      <c r="G52">
        <v>1.32</v>
      </c>
      <c r="H52">
        <v>4829.3999999999996</v>
      </c>
      <c r="I52">
        <v>4917.37</v>
      </c>
      <c r="J52">
        <v>4827.95</v>
      </c>
      <c r="K52">
        <v>570841030</v>
      </c>
      <c r="L52">
        <v>25214738198401</v>
      </c>
      <c r="M52">
        <v>4056832202296880</v>
      </c>
      <c r="N52">
        <v>690</v>
      </c>
      <c r="O52">
        <v>16.38</v>
      </c>
      <c r="P52">
        <v>4904.66</v>
      </c>
      <c r="Q52">
        <v>20260119</v>
      </c>
      <c r="R52">
        <v>0</v>
      </c>
      <c r="S52">
        <v>20260120</v>
      </c>
      <c r="T52">
        <v>19800104</v>
      </c>
      <c r="U52">
        <v>100</v>
      </c>
    </row>
    <row r="53" spans="1:21">
      <c r="A53">
        <v>20260116</v>
      </c>
      <c r="B53" t="s">
        <v>92</v>
      </c>
      <c r="C53" t="s">
        <v>93</v>
      </c>
      <c r="D53">
        <v>839</v>
      </c>
      <c r="E53">
        <v>4840.74</v>
      </c>
      <c r="F53">
        <v>43.19</v>
      </c>
      <c r="G53">
        <v>0.9</v>
      </c>
      <c r="H53">
        <v>4820.66</v>
      </c>
      <c r="I53">
        <v>4855.6099999999997</v>
      </c>
      <c r="J53">
        <v>4797.75</v>
      </c>
      <c r="K53">
        <v>720905827</v>
      </c>
      <c r="L53">
        <v>26948188036284</v>
      </c>
      <c r="M53">
        <v>4004879773934139</v>
      </c>
      <c r="N53">
        <v>627</v>
      </c>
      <c r="O53">
        <v>14.87</v>
      </c>
      <c r="P53">
        <v>4840.74</v>
      </c>
      <c r="Q53">
        <v>20260116</v>
      </c>
      <c r="R53">
        <v>0</v>
      </c>
      <c r="S53">
        <v>20260119</v>
      </c>
      <c r="T53">
        <v>19800104</v>
      </c>
      <c r="U53">
        <v>100</v>
      </c>
    </row>
    <row r="54" spans="1:21">
      <c r="A54">
        <v>20260115</v>
      </c>
      <c r="B54" t="s">
        <v>92</v>
      </c>
      <c r="C54" t="s">
        <v>93</v>
      </c>
      <c r="D54">
        <v>839</v>
      </c>
      <c r="E54">
        <v>4797.55</v>
      </c>
      <c r="F54">
        <v>74.45</v>
      </c>
      <c r="G54">
        <v>1.58</v>
      </c>
      <c r="H54">
        <v>4710.28</v>
      </c>
      <c r="I54">
        <v>4797.55</v>
      </c>
      <c r="J54">
        <v>4705.4399999999996</v>
      </c>
      <c r="K54">
        <v>545175207</v>
      </c>
      <c r="L54">
        <v>23826144317448</v>
      </c>
      <c r="M54">
        <v>3966237189276504</v>
      </c>
      <c r="N54">
        <v>583</v>
      </c>
      <c r="O54">
        <v>13.84</v>
      </c>
      <c r="P54">
        <v>4797.55</v>
      </c>
      <c r="Q54">
        <v>20260115</v>
      </c>
      <c r="R54">
        <v>0</v>
      </c>
      <c r="S54">
        <v>20260116</v>
      </c>
      <c r="T54">
        <v>19800104</v>
      </c>
      <c r="U54">
        <v>100</v>
      </c>
    </row>
    <row r="55" spans="1:21">
      <c r="A55">
        <v>20260114</v>
      </c>
      <c r="B55" t="s">
        <v>92</v>
      </c>
      <c r="C55" t="s">
        <v>93</v>
      </c>
      <c r="D55">
        <v>841</v>
      </c>
      <c r="E55">
        <v>4723.1000000000004</v>
      </c>
      <c r="F55">
        <v>30.46</v>
      </c>
      <c r="G55">
        <v>0.65</v>
      </c>
      <c r="H55">
        <v>4685.1099999999997</v>
      </c>
      <c r="I55">
        <v>4723.1000000000004</v>
      </c>
      <c r="J55">
        <v>4669.32</v>
      </c>
      <c r="K55">
        <v>550416487</v>
      </c>
      <c r="L55">
        <v>24217478031620</v>
      </c>
      <c r="M55">
        <v>3903166781496608</v>
      </c>
      <c r="N55">
        <v>509</v>
      </c>
      <c r="O55">
        <v>12.08</v>
      </c>
      <c r="P55">
        <v>4723.1000000000004</v>
      </c>
      <c r="Q55">
        <v>20260114</v>
      </c>
      <c r="R55">
        <v>0</v>
      </c>
      <c r="S55">
        <v>20260115</v>
      </c>
      <c r="T55">
        <v>19800104</v>
      </c>
      <c r="U55">
        <v>100</v>
      </c>
    </row>
    <row r="56" spans="1:21">
      <c r="A56">
        <v>20260113</v>
      </c>
      <c r="B56" t="s">
        <v>92</v>
      </c>
      <c r="C56" t="s">
        <v>93</v>
      </c>
      <c r="D56">
        <v>841</v>
      </c>
      <c r="E56">
        <v>4692.6400000000003</v>
      </c>
      <c r="F56">
        <v>67.849999999999994</v>
      </c>
      <c r="G56">
        <v>1.47</v>
      </c>
      <c r="H56">
        <v>4662.4399999999996</v>
      </c>
      <c r="I56">
        <v>4693.07</v>
      </c>
      <c r="J56">
        <v>4641.58</v>
      </c>
      <c r="K56">
        <v>429151090</v>
      </c>
      <c r="L56">
        <v>25240608214513</v>
      </c>
      <c r="M56">
        <v>3877443681591208</v>
      </c>
      <c r="N56">
        <v>478</v>
      </c>
      <c r="O56">
        <v>11.35</v>
      </c>
      <c r="P56">
        <v>4692.6400000000003</v>
      </c>
      <c r="Q56">
        <v>20260113</v>
      </c>
      <c r="R56">
        <v>0</v>
      </c>
      <c r="S56">
        <v>20260114</v>
      </c>
      <c r="T56">
        <v>19800104</v>
      </c>
      <c r="U56">
        <v>100</v>
      </c>
    </row>
    <row r="57" spans="1:21">
      <c r="A57">
        <v>20260112</v>
      </c>
      <c r="B57" t="s">
        <v>92</v>
      </c>
      <c r="C57" t="s">
        <v>93</v>
      </c>
      <c r="D57">
        <v>841</v>
      </c>
      <c r="E57">
        <v>4624.79</v>
      </c>
      <c r="F57">
        <v>38.47</v>
      </c>
      <c r="G57">
        <v>0.84</v>
      </c>
      <c r="H57">
        <v>4639.8900000000003</v>
      </c>
      <c r="I57">
        <v>4652.54</v>
      </c>
      <c r="J57">
        <v>4567.55</v>
      </c>
      <c r="K57">
        <v>394752880</v>
      </c>
      <c r="L57">
        <v>23073767861614</v>
      </c>
      <c r="M57">
        <v>3822227585757325</v>
      </c>
      <c r="N57">
        <v>411</v>
      </c>
      <c r="O57">
        <v>9.74</v>
      </c>
      <c r="P57">
        <v>4624.79</v>
      </c>
      <c r="Q57">
        <v>20260112</v>
      </c>
      <c r="R57">
        <v>0</v>
      </c>
      <c r="S57">
        <v>20260113</v>
      </c>
      <c r="T57">
        <v>19800104</v>
      </c>
      <c r="U57">
        <v>100</v>
      </c>
    </row>
    <row r="58" spans="1:21">
      <c r="A58">
        <v>20260109</v>
      </c>
      <c r="B58" t="s">
        <v>92</v>
      </c>
      <c r="C58" t="s">
        <v>93</v>
      </c>
      <c r="D58">
        <v>841</v>
      </c>
      <c r="E58">
        <v>4586.32</v>
      </c>
      <c r="F58">
        <v>33.950000000000003</v>
      </c>
      <c r="G58">
        <v>0.75</v>
      </c>
      <c r="H58">
        <v>4530.03</v>
      </c>
      <c r="I58">
        <v>4590.03</v>
      </c>
      <c r="J58">
        <v>4500.4799999999996</v>
      </c>
      <c r="K58">
        <v>399219985</v>
      </c>
      <c r="L58">
        <v>23478838394919</v>
      </c>
      <c r="M58">
        <v>3790229810382982</v>
      </c>
      <c r="N58">
        <v>372</v>
      </c>
      <c r="O58">
        <v>8.83</v>
      </c>
      <c r="P58">
        <v>4586.32</v>
      </c>
      <c r="Q58">
        <v>20260109</v>
      </c>
      <c r="R58">
        <v>0</v>
      </c>
      <c r="S58">
        <v>20260112</v>
      </c>
      <c r="T58">
        <v>19800104</v>
      </c>
      <c r="U58">
        <v>100</v>
      </c>
    </row>
    <row r="59" spans="1:21">
      <c r="A59">
        <v>20260108</v>
      </c>
      <c r="B59" t="s">
        <v>92</v>
      </c>
      <c r="C59" t="s">
        <v>93</v>
      </c>
      <c r="D59">
        <v>841</v>
      </c>
      <c r="E59">
        <v>4552.37</v>
      </c>
      <c r="F59">
        <v>1.31</v>
      </c>
      <c r="G59">
        <v>0.03</v>
      </c>
      <c r="H59">
        <v>4531.46</v>
      </c>
      <c r="I59">
        <v>4622.32</v>
      </c>
      <c r="J59">
        <v>4527.5</v>
      </c>
      <c r="K59">
        <v>440086040</v>
      </c>
      <c r="L59">
        <v>27476981855641</v>
      </c>
      <c r="M59">
        <v>3759062721637169</v>
      </c>
      <c r="N59">
        <v>338</v>
      </c>
      <c r="O59">
        <v>8.0299999999999994</v>
      </c>
      <c r="P59">
        <v>4552.37</v>
      </c>
      <c r="Q59">
        <v>20260108</v>
      </c>
      <c r="R59">
        <v>0</v>
      </c>
      <c r="S59">
        <v>20260109</v>
      </c>
      <c r="T59">
        <v>19800104</v>
      </c>
      <c r="U59">
        <v>100</v>
      </c>
    </row>
    <row r="60" spans="1:21">
      <c r="A60">
        <v>20260107</v>
      </c>
      <c r="B60" t="s">
        <v>92</v>
      </c>
      <c r="C60" t="s">
        <v>93</v>
      </c>
      <c r="D60">
        <v>841</v>
      </c>
      <c r="E60">
        <v>4551.0600000000004</v>
      </c>
      <c r="F60">
        <v>25.58</v>
      </c>
      <c r="G60">
        <v>0.56999999999999995</v>
      </c>
      <c r="H60">
        <v>4566.34</v>
      </c>
      <c r="I60">
        <v>4611.72</v>
      </c>
      <c r="J60">
        <v>4488.2</v>
      </c>
      <c r="K60">
        <v>553653981</v>
      </c>
      <c r="L60">
        <v>29139900200735</v>
      </c>
      <c r="M60">
        <v>3759722548753830</v>
      </c>
      <c r="N60">
        <v>337</v>
      </c>
      <c r="O60">
        <v>7.99</v>
      </c>
      <c r="P60">
        <v>4551.0600000000004</v>
      </c>
      <c r="Q60">
        <v>20260107</v>
      </c>
      <c r="R60">
        <v>0</v>
      </c>
      <c r="S60">
        <v>20260108</v>
      </c>
      <c r="T60">
        <v>19800104</v>
      </c>
      <c r="U60">
        <v>100</v>
      </c>
    </row>
    <row r="61" spans="1:21">
      <c r="A61">
        <v>20260106</v>
      </c>
      <c r="B61" t="s">
        <v>92</v>
      </c>
      <c r="C61" t="s">
        <v>93</v>
      </c>
      <c r="D61">
        <v>842</v>
      </c>
      <c r="E61">
        <v>4525.4799999999996</v>
      </c>
      <c r="F61">
        <v>67.959999999999994</v>
      </c>
      <c r="G61">
        <v>1.52</v>
      </c>
      <c r="H61">
        <v>4446.08</v>
      </c>
      <c r="I61">
        <v>4525.4799999999996</v>
      </c>
      <c r="J61">
        <v>4395</v>
      </c>
      <c r="K61">
        <v>498391270</v>
      </c>
      <c r="L61">
        <v>25518237182834</v>
      </c>
      <c r="M61">
        <v>3738188652369778</v>
      </c>
      <c r="N61">
        <v>311</v>
      </c>
      <c r="O61">
        <v>7.39</v>
      </c>
      <c r="P61">
        <v>4525.4799999999996</v>
      </c>
      <c r="Q61">
        <v>20260106</v>
      </c>
      <c r="R61">
        <v>0</v>
      </c>
      <c r="S61">
        <v>20260107</v>
      </c>
      <c r="T61">
        <v>19800104</v>
      </c>
      <c r="U61">
        <v>100</v>
      </c>
    </row>
    <row r="62" spans="1:21">
      <c r="A62">
        <v>20260105</v>
      </c>
      <c r="B62" t="s">
        <v>92</v>
      </c>
      <c r="C62" t="s">
        <v>93</v>
      </c>
      <c r="D62">
        <v>842</v>
      </c>
      <c r="E62">
        <v>4457.5200000000004</v>
      </c>
      <c r="F62">
        <v>147.88999999999999</v>
      </c>
      <c r="G62">
        <v>3.43</v>
      </c>
      <c r="H62">
        <v>4385.92</v>
      </c>
      <c r="I62">
        <v>4457.5200000000004</v>
      </c>
      <c r="J62">
        <v>4381.93</v>
      </c>
      <c r="K62">
        <v>513869696</v>
      </c>
      <c r="L62">
        <v>22783803354664</v>
      </c>
      <c r="M62">
        <v>3683501014645836</v>
      </c>
      <c r="N62">
        <v>243</v>
      </c>
      <c r="O62">
        <v>5.77</v>
      </c>
      <c r="P62">
        <v>4457.5200000000004</v>
      </c>
      <c r="Q62">
        <v>20260105</v>
      </c>
      <c r="R62">
        <v>0</v>
      </c>
      <c r="S62">
        <v>20260106</v>
      </c>
      <c r="T62">
        <v>19800104</v>
      </c>
      <c r="U62">
        <v>100</v>
      </c>
    </row>
    <row r="63" spans="1:21">
      <c r="A63">
        <v>20260102</v>
      </c>
      <c r="B63" t="s">
        <v>92</v>
      </c>
      <c r="C63" t="s">
        <v>93</v>
      </c>
      <c r="D63">
        <v>842</v>
      </c>
      <c r="E63">
        <v>4309.63</v>
      </c>
      <c r="F63">
        <v>95.46</v>
      </c>
      <c r="G63">
        <v>2.27</v>
      </c>
      <c r="H63">
        <v>4224.53</v>
      </c>
      <c r="I63">
        <v>4313.55</v>
      </c>
      <c r="J63">
        <v>4216.68</v>
      </c>
      <c r="K63">
        <v>406339246</v>
      </c>
      <c r="L63">
        <v>17521809108064</v>
      </c>
      <c r="M63">
        <v>3558736495078057</v>
      </c>
      <c r="N63">
        <v>95</v>
      </c>
      <c r="O63">
        <v>2.27</v>
      </c>
      <c r="P63">
        <v>4309.63</v>
      </c>
      <c r="Q63">
        <v>20260102</v>
      </c>
      <c r="R63">
        <v>0</v>
      </c>
      <c r="S63">
        <v>20260105</v>
      </c>
      <c r="T63">
        <v>19800104</v>
      </c>
      <c r="U63">
        <v>100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C579-AB28-4CFC-BD7B-DF82FEEC5058}">
  <dimension ref="A1:AF61"/>
  <sheetViews>
    <sheetView tabSelected="1" workbookViewId="0">
      <pane ySplit="1" topLeftCell="A2" activePane="bottomLeft" state="frozen"/>
      <selection pane="bottomLeft" activeCell="E6" sqref="E6"/>
    </sheetView>
  </sheetViews>
  <sheetFormatPr baseColWidth="10" defaultColWidth="8.83203125" defaultRowHeight="17"/>
  <cols>
    <col min="1" max="1" width="9.33203125" bestFit="1" customWidth="1"/>
    <col min="2" max="2" width="8.6640625" bestFit="1" customWidth="1"/>
    <col min="3" max="4" width="15.33203125" bestFit="1" customWidth="1"/>
    <col min="5" max="5" width="13.33203125" bestFit="1" customWidth="1"/>
    <col min="6" max="6" width="10.6640625" bestFit="1" customWidth="1"/>
    <col min="7" max="7" width="14.83203125" bestFit="1" customWidth="1"/>
    <col min="8" max="8" width="10.6640625" bestFit="1" customWidth="1"/>
    <col min="9" max="9" width="13" bestFit="1" customWidth="1"/>
    <col min="10" max="10" width="10.6640625" bestFit="1" customWidth="1"/>
    <col min="11" max="12" width="12.1640625" bestFit="1" customWidth="1"/>
    <col min="13" max="13" width="10.6640625" bestFit="1" customWidth="1"/>
    <col min="14" max="14" width="14.33203125" bestFit="1" customWidth="1"/>
    <col min="15" max="15" width="12.33203125" bestFit="1" customWidth="1"/>
    <col min="16" max="17" width="10.6640625" bestFit="1" customWidth="1"/>
    <col min="18" max="18" width="16.33203125" bestFit="1" customWidth="1"/>
    <col min="19" max="21" width="10.6640625" bestFit="1" customWidth="1"/>
    <col min="22" max="22" width="10.33203125" bestFit="1" customWidth="1"/>
    <col min="23" max="24" width="10.6640625" bestFit="1" customWidth="1"/>
    <col min="25" max="25" width="12.33203125" bestFit="1" customWidth="1"/>
    <col min="26" max="26" width="9.6640625" bestFit="1" customWidth="1"/>
    <col min="27" max="28" width="10.6640625" bestFit="1" customWidth="1"/>
    <col min="29" max="29" width="18.33203125" bestFit="1" customWidth="1"/>
    <col min="30" max="32" width="10.6640625" bestFit="1" customWidth="1"/>
  </cols>
  <sheetData>
    <row r="1" spans="1:32">
      <c r="A1" s="4" t="s">
        <v>95</v>
      </c>
      <c r="B1" s="5" t="s">
        <v>96</v>
      </c>
      <c r="C1" s="4" t="s">
        <v>67</v>
      </c>
      <c r="D1" s="4" t="s">
        <v>57</v>
      </c>
      <c r="E1" s="4" t="s">
        <v>37</v>
      </c>
      <c r="F1" s="4" t="s">
        <v>35</v>
      </c>
      <c r="G1" s="4" t="s">
        <v>23</v>
      </c>
      <c r="H1" s="4" t="s">
        <v>59</v>
      </c>
      <c r="I1" s="4" t="s">
        <v>65</v>
      </c>
      <c r="J1" s="4" t="s">
        <v>29</v>
      </c>
      <c r="K1" s="4" t="s">
        <v>19</v>
      </c>
      <c r="L1" s="4" t="s">
        <v>61</v>
      </c>
      <c r="M1" s="4" t="s">
        <v>33</v>
      </c>
      <c r="N1" s="4" t="s">
        <v>31</v>
      </c>
      <c r="O1" s="4" t="s">
        <v>53</v>
      </c>
      <c r="P1" s="4" t="s">
        <v>49</v>
      </c>
      <c r="Q1" s="4" t="s">
        <v>45</v>
      </c>
      <c r="R1" s="4" t="s">
        <v>27</v>
      </c>
      <c r="S1" s="4" t="s">
        <v>41</v>
      </c>
      <c r="T1" s="4" t="s">
        <v>55</v>
      </c>
      <c r="U1" s="4" t="s">
        <v>16</v>
      </c>
      <c r="V1" s="4" t="s">
        <v>75</v>
      </c>
      <c r="W1" s="4" t="s">
        <v>39</v>
      </c>
      <c r="X1" s="4" t="s">
        <v>43</v>
      </c>
      <c r="Y1" s="4" t="s">
        <v>63</v>
      </c>
      <c r="Z1" s="4" t="s">
        <v>69</v>
      </c>
      <c r="AA1" s="4" t="s">
        <v>73</v>
      </c>
      <c r="AB1" s="4" t="s">
        <v>71</v>
      </c>
      <c r="AC1" s="4" t="s">
        <v>25</v>
      </c>
      <c r="AD1" s="4" t="s">
        <v>47</v>
      </c>
      <c r="AE1" s="4" t="s">
        <v>51</v>
      </c>
      <c r="AF1" s="4" t="s">
        <v>21</v>
      </c>
    </row>
    <row r="2" spans="1:32">
      <c r="A2" s="2">
        <v>20260331</v>
      </c>
      <c r="B2" s="6">
        <v>5052.46</v>
      </c>
      <c r="C2" s="3">
        <v>393500</v>
      </c>
      <c r="D2" s="3">
        <v>819000</v>
      </c>
      <c r="E2" s="3">
        <v>504000</v>
      </c>
      <c r="F2" s="3">
        <v>123300</v>
      </c>
      <c r="G2" s="3">
        <v>361000</v>
      </c>
      <c r="H2" s="3">
        <v>247000</v>
      </c>
      <c r="I2" s="3">
        <v>297500</v>
      </c>
      <c r="J2" s="3">
        <v>392000</v>
      </c>
      <c r="K2" s="3">
        <v>677000</v>
      </c>
      <c r="L2" s="3">
        <v>1287000</v>
      </c>
      <c r="M2" s="3">
        <v>120600</v>
      </c>
      <c r="N2" s="3">
        <v>75200</v>
      </c>
      <c r="O2" s="3">
        <v>24650</v>
      </c>
      <c r="P2" s="3">
        <v>262500</v>
      </c>
      <c r="Q2" s="3">
        <v>245000</v>
      </c>
      <c r="R2" s="3">
        <v>1683000</v>
      </c>
      <c r="S2" s="3">
        <v>156300</v>
      </c>
      <c r="T2" s="3">
        <v>270000</v>
      </c>
      <c r="U2" s="3">
        <v>128500</v>
      </c>
      <c r="V2" s="3">
        <v>24150</v>
      </c>
      <c r="W2" s="3">
        <v>202500</v>
      </c>
      <c r="X2" s="3">
        <v>76600</v>
      </c>
      <c r="Y2" s="3">
        <v>93400</v>
      </c>
      <c r="Z2" s="3">
        <v>46500</v>
      </c>
      <c r="AA2" s="3">
        <v>144500</v>
      </c>
      <c r="AB2" s="3">
        <v>55300</v>
      </c>
      <c r="AC2" s="3">
        <v>946000</v>
      </c>
      <c r="AD2" s="3">
        <v>114700</v>
      </c>
      <c r="AE2" s="3">
        <v>369000</v>
      </c>
      <c r="AF2" s="3">
        <v>298500</v>
      </c>
    </row>
    <row r="3" spans="1:32">
      <c r="A3" s="2">
        <v>20260330</v>
      </c>
      <c r="B3" s="6">
        <v>5277.3</v>
      </c>
      <c r="C3" s="3">
        <v>401000</v>
      </c>
      <c r="D3" s="3">
        <v>868000</v>
      </c>
      <c r="E3" s="3">
        <v>513000</v>
      </c>
      <c r="F3" s="3">
        <v>126800</v>
      </c>
      <c r="G3" s="3">
        <v>371500</v>
      </c>
      <c r="H3" s="3">
        <v>249500</v>
      </c>
      <c r="I3" s="3">
        <v>302500</v>
      </c>
      <c r="J3" s="3">
        <v>416000</v>
      </c>
      <c r="K3" s="3">
        <v>696000</v>
      </c>
      <c r="L3" s="3">
        <v>1307000</v>
      </c>
      <c r="M3" s="3">
        <v>122600</v>
      </c>
      <c r="N3" s="3">
        <v>83200</v>
      </c>
      <c r="O3" s="3">
        <v>25500</v>
      </c>
      <c r="P3" s="3">
        <v>275000</v>
      </c>
      <c r="Q3" s="3">
        <v>254500</v>
      </c>
      <c r="R3" s="3">
        <v>1713000</v>
      </c>
      <c r="S3" s="3">
        <v>164100</v>
      </c>
      <c r="T3" s="3">
        <v>270000</v>
      </c>
      <c r="U3" s="3">
        <v>138100</v>
      </c>
      <c r="V3" s="3">
        <v>24450</v>
      </c>
      <c r="W3" s="3">
        <v>209500</v>
      </c>
      <c r="X3" s="3">
        <v>79100</v>
      </c>
      <c r="Y3" s="3">
        <v>94100</v>
      </c>
      <c r="Z3" s="3">
        <v>49850</v>
      </c>
      <c r="AA3" s="3">
        <v>167300</v>
      </c>
      <c r="AB3" s="3">
        <v>58000</v>
      </c>
      <c r="AC3" s="3">
        <v>1012000</v>
      </c>
      <c r="AD3" s="3">
        <v>117900</v>
      </c>
      <c r="AE3" s="3">
        <v>372000</v>
      </c>
      <c r="AF3" s="3">
        <v>304500</v>
      </c>
    </row>
    <row r="4" spans="1:32">
      <c r="A4" s="2">
        <v>20260327</v>
      </c>
      <c r="B4" s="6">
        <v>5438.87</v>
      </c>
      <c r="C4" s="3">
        <v>414000</v>
      </c>
      <c r="D4" s="3">
        <v>834000</v>
      </c>
      <c r="E4" s="3">
        <v>550000</v>
      </c>
      <c r="F4" s="3">
        <v>126400</v>
      </c>
      <c r="G4" s="3">
        <v>378000</v>
      </c>
      <c r="H4" s="3">
        <v>260000</v>
      </c>
      <c r="I4" s="3">
        <v>304000</v>
      </c>
      <c r="J4" s="3">
        <v>432000</v>
      </c>
      <c r="K4" s="3">
        <v>726000</v>
      </c>
      <c r="L4" s="3">
        <v>1192000</v>
      </c>
      <c r="M4" s="3">
        <v>122500</v>
      </c>
      <c r="N4" s="3">
        <v>85900</v>
      </c>
      <c r="O4" s="3">
        <v>28700</v>
      </c>
      <c r="P4" s="3">
        <v>277000</v>
      </c>
      <c r="Q4" s="3">
        <v>260000</v>
      </c>
      <c r="R4" s="3">
        <v>1721000</v>
      </c>
      <c r="S4" s="3">
        <v>165400</v>
      </c>
      <c r="T4" s="3">
        <v>268000</v>
      </c>
      <c r="U4" s="3">
        <v>138900</v>
      </c>
      <c r="V4" s="3">
        <v>24800</v>
      </c>
      <c r="W4" s="3">
        <v>213000</v>
      </c>
      <c r="X4" s="3">
        <v>80500</v>
      </c>
      <c r="Y4" s="3">
        <v>94900</v>
      </c>
      <c r="Z4" s="3">
        <v>50500</v>
      </c>
      <c r="AA4" s="3">
        <v>183700</v>
      </c>
      <c r="AB4" s="3">
        <v>60300</v>
      </c>
      <c r="AC4" s="3">
        <v>1022000</v>
      </c>
      <c r="AD4" s="3">
        <v>119800</v>
      </c>
      <c r="AE4" s="3">
        <v>366000</v>
      </c>
      <c r="AF4" s="3">
        <v>308000</v>
      </c>
    </row>
    <row r="5" spans="1:32">
      <c r="A5" s="2">
        <v>20260326</v>
      </c>
      <c r="B5" s="6">
        <v>5460.46</v>
      </c>
      <c r="C5" s="3">
        <v>418000</v>
      </c>
      <c r="D5" s="3">
        <v>821000</v>
      </c>
      <c r="E5" s="3">
        <v>557000</v>
      </c>
      <c r="F5" s="3">
        <v>124700</v>
      </c>
      <c r="G5" s="3">
        <v>370500</v>
      </c>
      <c r="H5" s="3">
        <v>252500</v>
      </c>
      <c r="I5" s="3">
        <v>308000</v>
      </c>
      <c r="J5" s="3">
        <v>429500</v>
      </c>
      <c r="K5" s="3">
        <v>742000</v>
      </c>
      <c r="L5" s="3">
        <v>1239000</v>
      </c>
      <c r="M5" s="3">
        <v>129300</v>
      </c>
      <c r="N5" s="3">
        <v>84000</v>
      </c>
      <c r="O5" s="3">
        <v>28000</v>
      </c>
      <c r="P5" s="3">
        <v>270500</v>
      </c>
      <c r="Q5" s="3">
        <v>265000</v>
      </c>
      <c r="R5" s="3">
        <v>1767000</v>
      </c>
      <c r="S5" s="3">
        <v>162000</v>
      </c>
      <c r="T5" s="3">
        <v>267500</v>
      </c>
      <c r="U5" s="3">
        <v>141000</v>
      </c>
      <c r="V5" s="3">
        <v>25350</v>
      </c>
      <c r="W5" s="3">
        <v>211000</v>
      </c>
      <c r="X5" s="3">
        <v>79000</v>
      </c>
      <c r="Y5" s="3">
        <v>93500</v>
      </c>
      <c r="Z5" s="3">
        <v>49600</v>
      </c>
      <c r="AA5" s="3">
        <v>186500</v>
      </c>
      <c r="AB5" s="3">
        <v>58500</v>
      </c>
      <c r="AC5" s="3">
        <v>1010000</v>
      </c>
      <c r="AD5" s="3">
        <v>121200</v>
      </c>
      <c r="AE5" s="3">
        <v>392500</v>
      </c>
      <c r="AF5" s="3">
        <v>350500</v>
      </c>
    </row>
    <row r="6" spans="1:32">
      <c r="A6" s="2">
        <v>20260325</v>
      </c>
      <c r="B6" s="6">
        <v>5642.21</v>
      </c>
      <c r="C6" s="3">
        <v>424500</v>
      </c>
      <c r="D6" s="3">
        <v>862000</v>
      </c>
      <c r="E6" s="3">
        <v>582000</v>
      </c>
      <c r="F6" s="3">
        <v>123500</v>
      </c>
      <c r="G6" s="3">
        <v>366000</v>
      </c>
      <c r="H6" s="3">
        <v>251000</v>
      </c>
      <c r="I6" s="3">
        <v>300500</v>
      </c>
      <c r="J6" s="3">
        <v>430500</v>
      </c>
      <c r="K6" s="3">
        <v>756000</v>
      </c>
      <c r="L6" s="3">
        <v>1203000</v>
      </c>
      <c r="M6" s="3">
        <v>124900</v>
      </c>
      <c r="N6" s="3">
        <v>83700</v>
      </c>
      <c r="O6" s="3">
        <v>27650</v>
      </c>
      <c r="P6" s="3">
        <v>271000</v>
      </c>
      <c r="Q6" s="3">
        <v>270500</v>
      </c>
      <c r="R6" s="3">
        <v>1885000</v>
      </c>
      <c r="S6" s="3">
        <v>159200</v>
      </c>
      <c r="T6" s="3">
        <v>272000</v>
      </c>
      <c r="U6" s="3">
        <v>138800</v>
      </c>
      <c r="V6" s="3">
        <v>26350</v>
      </c>
      <c r="W6" s="3">
        <v>213000</v>
      </c>
      <c r="X6" s="3">
        <v>77500</v>
      </c>
      <c r="Y6" s="3">
        <v>91900</v>
      </c>
      <c r="Z6" s="3">
        <v>49150</v>
      </c>
      <c r="AA6" s="3">
        <v>185700</v>
      </c>
      <c r="AB6" s="3">
        <v>60300</v>
      </c>
      <c r="AC6" s="3">
        <v>1090000</v>
      </c>
      <c r="AD6" s="3">
        <v>129700</v>
      </c>
      <c r="AE6" s="3">
        <v>391000</v>
      </c>
      <c r="AF6" s="3">
        <v>340500</v>
      </c>
    </row>
    <row r="7" spans="1:32">
      <c r="A7" s="2">
        <v>20260324</v>
      </c>
      <c r="B7" s="6">
        <v>5553.92</v>
      </c>
      <c r="C7" s="3">
        <v>447000</v>
      </c>
      <c r="D7" s="3">
        <v>848000</v>
      </c>
      <c r="E7" s="3">
        <v>609000</v>
      </c>
      <c r="F7" s="3">
        <v>126600</v>
      </c>
      <c r="G7" s="3">
        <v>363000</v>
      </c>
      <c r="H7" s="3">
        <v>254000</v>
      </c>
      <c r="I7" s="3">
        <v>304000</v>
      </c>
      <c r="J7" s="3">
        <v>430500</v>
      </c>
      <c r="K7" s="3">
        <v>744000</v>
      </c>
      <c r="L7" s="3">
        <v>1142000</v>
      </c>
      <c r="M7" s="3">
        <v>133200</v>
      </c>
      <c r="N7" s="3">
        <v>84200</v>
      </c>
      <c r="O7" s="3">
        <v>27100</v>
      </c>
      <c r="P7" s="3">
        <v>267500</v>
      </c>
      <c r="Q7" s="3">
        <v>268500</v>
      </c>
      <c r="R7" s="3">
        <v>1878000</v>
      </c>
      <c r="S7" s="3">
        <v>159500</v>
      </c>
      <c r="T7" s="3">
        <v>266000</v>
      </c>
      <c r="U7" s="3">
        <v>139000</v>
      </c>
      <c r="V7" s="3">
        <v>28650</v>
      </c>
      <c r="W7" s="3">
        <v>217000</v>
      </c>
      <c r="X7" s="3">
        <v>77800</v>
      </c>
      <c r="Y7" s="3">
        <v>92900</v>
      </c>
      <c r="Z7" s="3">
        <v>49400</v>
      </c>
      <c r="AA7" s="3">
        <v>176300</v>
      </c>
      <c r="AB7" s="3">
        <v>76900</v>
      </c>
      <c r="AC7" s="3">
        <v>1214000</v>
      </c>
      <c r="AD7" s="3">
        <v>134400</v>
      </c>
      <c r="AE7" s="3">
        <v>399500</v>
      </c>
      <c r="AF7" s="3">
        <v>366000</v>
      </c>
    </row>
    <row r="8" spans="1:32">
      <c r="A8" s="2">
        <v>20260323</v>
      </c>
      <c r="B8" s="6">
        <v>5405.75</v>
      </c>
      <c r="C8" s="3">
        <v>450500</v>
      </c>
      <c r="D8" s="3">
        <v>876000</v>
      </c>
      <c r="E8" s="3">
        <v>604000</v>
      </c>
      <c r="F8" s="3">
        <v>125500</v>
      </c>
      <c r="G8" s="3">
        <v>379000</v>
      </c>
      <c r="H8" s="3">
        <v>255500</v>
      </c>
      <c r="I8" s="3">
        <v>309500</v>
      </c>
      <c r="J8" s="3">
        <v>427500</v>
      </c>
      <c r="K8" s="3">
        <v>749000</v>
      </c>
      <c r="L8" s="3">
        <v>1208000</v>
      </c>
      <c r="M8" s="3">
        <v>129300</v>
      </c>
      <c r="N8" s="3">
        <v>88100</v>
      </c>
      <c r="O8" s="3">
        <v>28650</v>
      </c>
      <c r="P8" s="3">
        <v>278000</v>
      </c>
      <c r="Q8" s="3">
        <v>267500</v>
      </c>
      <c r="R8" s="3">
        <v>1859000</v>
      </c>
      <c r="S8" s="3">
        <v>158100</v>
      </c>
      <c r="T8" s="3">
        <v>279000</v>
      </c>
      <c r="U8" s="3">
        <v>138800</v>
      </c>
      <c r="V8" s="3">
        <v>28150</v>
      </c>
      <c r="W8" s="3">
        <v>214000</v>
      </c>
      <c r="X8" s="3">
        <v>78200</v>
      </c>
      <c r="Y8" s="3">
        <v>94000</v>
      </c>
      <c r="Z8" s="3">
        <v>51000</v>
      </c>
      <c r="AA8" s="3">
        <v>167600</v>
      </c>
      <c r="AB8" s="3">
        <v>77700</v>
      </c>
      <c r="AC8" s="3">
        <v>1212000</v>
      </c>
      <c r="AD8" s="3">
        <v>145700</v>
      </c>
      <c r="AE8" s="3">
        <v>394000</v>
      </c>
      <c r="AF8" s="3">
        <v>367000</v>
      </c>
    </row>
    <row r="9" spans="1:32">
      <c r="A9" s="2">
        <v>20260320</v>
      </c>
      <c r="B9" s="6">
        <v>5781.2</v>
      </c>
      <c r="C9" s="3">
        <v>462500</v>
      </c>
      <c r="D9" s="3">
        <v>886000</v>
      </c>
      <c r="E9" s="3">
        <v>645000</v>
      </c>
      <c r="F9" s="3">
        <v>128500</v>
      </c>
      <c r="G9" s="3">
        <v>394000</v>
      </c>
      <c r="H9" s="3">
        <v>264500</v>
      </c>
      <c r="I9" s="3">
        <v>352500</v>
      </c>
      <c r="J9" s="3">
        <v>426500</v>
      </c>
      <c r="K9" s="3">
        <v>738000</v>
      </c>
      <c r="L9" s="3">
        <v>1330000</v>
      </c>
      <c r="M9" s="3">
        <v>136000</v>
      </c>
      <c r="N9" s="3">
        <v>87000</v>
      </c>
      <c r="O9" s="3">
        <v>28450</v>
      </c>
      <c r="P9" s="3">
        <v>300000</v>
      </c>
      <c r="Q9" s="3">
        <v>273500</v>
      </c>
      <c r="R9" s="3">
        <v>1908000</v>
      </c>
      <c r="S9" s="3">
        <v>159100</v>
      </c>
      <c r="T9" s="3">
        <v>289000</v>
      </c>
      <c r="U9" s="3">
        <v>137600</v>
      </c>
      <c r="V9" s="3">
        <v>28950</v>
      </c>
      <c r="W9" s="3">
        <v>221000</v>
      </c>
      <c r="X9" s="3">
        <v>78400</v>
      </c>
      <c r="Y9" s="3">
        <v>94300</v>
      </c>
      <c r="Z9" s="3">
        <v>55700</v>
      </c>
      <c r="AA9" s="3">
        <v>173200</v>
      </c>
      <c r="AB9" s="3">
        <v>88700</v>
      </c>
      <c r="AC9" s="3">
        <v>1282000</v>
      </c>
      <c r="AD9" s="3">
        <v>149900</v>
      </c>
      <c r="AE9" s="3">
        <v>451000</v>
      </c>
      <c r="AF9" s="3">
        <v>406000</v>
      </c>
    </row>
    <row r="10" spans="1:32">
      <c r="A10" s="2">
        <v>20260319</v>
      </c>
      <c r="B10" s="6">
        <v>5763.22</v>
      </c>
      <c r="C10" s="3">
        <v>427500</v>
      </c>
      <c r="D10" s="3">
        <v>922000</v>
      </c>
      <c r="E10" s="3">
        <v>615000</v>
      </c>
      <c r="F10" s="3">
        <v>128900</v>
      </c>
      <c r="G10" s="3">
        <v>389500</v>
      </c>
      <c r="H10" s="3">
        <v>259500</v>
      </c>
      <c r="I10" s="3">
        <v>345000</v>
      </c>
      <c r="J10" s="3">
        <v>435500</v>
      </c>
      <c r="K10" s="3">
        <v>742000</v>
      </c>
      <c r="L10" s="3">
        <v>1290000</v>
      </c>
      <c r="M10" s="3">
        <v>143000</v>
      </c>
      <c r="N10" s="3">
        <v>89600</v>
      </c>
      <c r="O10" s="3">
        <v>29500</v>
      </c>
      <c r="P10" s="3">
        <v>285500</v>
      </c>
      <c r="Q10" s="3">
        <v>283500</v>
      </c>
      <c r="R10" s="3">
        <v>1927000</v>
      </c>
      <c r="S10" s="3">
        <v>161900</v>
      </c>
      <c r="T10" s="3">
        <v>284500</v>
      </c>
      <c r="U10" s="3">
        <v>140300</v>
      </c>
      <c r="V10" s="3">
        <v>28350</v>
      </c>
      <c r="W10" s="3">
        <v>211500</v>
      </c>
      <c r="X10" s="3">
        <v>79900</v>
      </c>
      <c r="Y10" s="3">
        <v>96100</v>
      </c>
      <c r="Z10" s="3">
        <v>53600</v>
      </c>
      <c r="AA10" s="3">
        <v>177800</v>
      </c>
      <c r="AB10" s="3">
        <v>88200</v>
      </c>
      <c r="AC10" s="3">
        <v>1269000</v>
      </c>
      <c r="AD10" s="3">
        <v>142000</v>
      </c>
      <c r="AE10" s="3">
        <v>450000</v>
      </c>
      <c r="AF10" s="3">
        <v>411500</v>
      </c>
    </row>
    <row r="11" spans="1:32">
      <c r="A11" s="2">
        <v>20260318</v>
      </c>
      <c r="B11" s="6">
        <v>5925.03</v>
      </c>
      <c r="C11" s="3">
        <v>440000</v>
      </c>
      <c r="D11" s="3">
        <v>892000</v>
      </c>
      <c r="E11" s="3">
        <v>631000</v>
      </c>
      <c r="F11" s="3">
        <v>130100</v>
      </c>
      <c r="G11" s="3">
        <v>392000</v>
      </c>
      <c r="H11" s="3">
        <v>247500</v>
      </c>
      <c r="I11" s="3">
        <v>351500</v>
      </c>
      <c r="J11" s="3">
        <v>429500</v>
      </c>
      <c r="K11" s="3">
        <v>749000</v>
      </c>
      <c r="L11" s="3">
        <v>1438000</v>
      </c>
      <c r="M11" s="3">
        <v>152500</v>
      </c>
      <c r="N11" s="3">
        <v>89500</v>
      </c>
      <c r="O11" s="3">
        <v>30750</v>
      </c>
      <c r="P11" s="3">
        <v>291500</v>
      </c>
      <c r="Q11" s="3">
        <v>286000</v>
      </c>
      <c r="R11" s="3">
        <v>1965000</v>
      </c>
      <c r="S11" s="3">
        <v>161200</v>
      </c>
      <c r="T11" s="3">
        <v>289500</v>
      </c>
      <c r="U11" s="3">
        <v>143900</v>
      </c>
      <c r="V11" s="3">
        <v>30150</v>
      </c>
      <c r="W11" s="3">
        <v>210500</v>
      </c>
      <c r="X11" s="3">
        <v>79400</v>
      </c>
      <c r="Y11" s="3">
        <v>96200</v>
      </c>
      <c r="Z11" s="3">
        <v>53800</v>
      </c>
      <c r="AA11" s="3">
        <v>180000</v>
      </c>
      <c r="AB11" s="3">
        <v>96500</v>
      </c>
      <c r="AC11" s="3">
        <v>1294000</v>
      </c>
      <c r="AD11" s="3">
        <v>148900</v>
      </c>
      <c r="AE11" s="3">
        <v>450500</v>
      </c>
      <c r="AF11" s="3">
        <v>422000</v>
      </c>
    </row>
    <row r="12" spans="1:32">
      <c r="A12" s="2">
        <v>20260317</v>
      </c>
      <c r="B12" s="6">
        <v>5640.48</v>
      </c>
      <c r="C12" s="3">
        <v>438500</v>
      </c>
      <c r="D12" s="3">
        <v>906000</v>
      </c>
      <c r="E12" s="3">
        <v>622000</v>
      </c>
      <c r="F12" s="3">
        <v>130900</v>
      </c>
      <c r="G12" s="3">
        <v>391000</v>
      </c>
      <c r="H12" s="3">
        <v>245500</v>
      </c>
      <c r="I12" s="3">
        <v>331500</v>
      </c>
      <c r="J12" s="3">
        <v>446500</v>
      </c>
      <c r="K12" s="3">
        <v>756000</v>
      </c>
      <c r="L12" s="3">
        <v>1585000</v>
      </c>
      <c r="M12" s="3">
        <v>151100</v>
      </c>
      <c r="N12" s="3">
        <v>95300</v>
      </c>
      <c r="O12" s="3">
        <v>31200</v>
      </c>
      <c r="P12" s="3">
        <v>289000</v>
      </c>
      <c r="Q12" s="3">
        <v>290000</v>
      </c>
      <c r="R12" s="3">
        <v>1947000</v>
      </c>
      <c r="S12" s="3">
        <v>170600</v>
      </c>
      <c r="T12" s="3">
        <v>289500</v>
      </c>
      <c r="U12" s="3">
        <v>148900</v>
      </c>
      <c r="V12" s="3">
        <v>29750</v>
      </c>
      <c r="W12" s="3">
        <v>209000</v>
      </c>
      <c r="X12" s="3">
        <v>79200</v>
      </c>
      <c r="Y12" s="3">
        <v>96400</v>
      </c>
      <c r="Z12" s="3">
        <v>54700</v>
      </c>
      <c r="AA12" s="3">
        <v>178500</v>
      </c>
      <c r="AB12" s="3">
        <v>90900</v>
      </c>
      <c r="AC12" s="3">
        <v>1299000</v>
      </c>
      <c r="AD12" s="3">
        <v>147000</v>
      </c>
      <c r="AE12" s="3">
        <v>431000</v>
      </c>
      <c r="AF12" s="3">
        <v>413000</v>
      </c>
    </row>
    <row r="13" spans="1:32">
      <c r="A13" s="2">
        <v>20260316</v>
      </c>
      <c r="B13" s="6">
        <v>5549.85</v>
      </c>
      <c r="C13" s="3">
        <v>444500</v>
      </c>
      <c r="D13" s="3">
        <v>918000</v>
      </c>
      <c r="E13" s="3">
        <v>648000</v>
      </c>
      <c r="F13" s="3">
        <v>129500</v>
      </c>
      <c r="G13" s="3">
        <v>398500</v>
      </c>
      <c r="H13" s="3">
        <v>238000</v>
      </c>
      <c r="I13" s="3">
        <v>347500</v>
      </c>
      <c r="J13" s="3">
        <v>435500</v>
      </c>
      <c r="K13" s="3">
        <v>764000</v>
      </c>
      <c r="L13" s="3">
        <v>1584000</v>
      </c>
      <c r="M13" s="3">
        <v>169500</v>
      </c>
      <c r="N13" s="3">
        <v>95400</v>
      </c>
      <c r="O13" s="3">
        <v>31950</v>
      </c>
      <c r="P13" s="3">
        <v>314000</v>
      </c>
      <c r="Q13" s="3">
        <v>289000</v>
      </c>
      <c r="R13" s="3">
        <v>1921000</v>
      </c>
      <c r="S13" s="3">
        <v>167000</v>
      </c>
      <c r="T13" s="3">
        <v>292000</v>
      </c>
      <c r="U13" s="3">
        <v>149300</v>
      </c>
      <c r="V13" s="3">
        <v>31850</v>
      </c>
      <c r="W13" s="3">
        <v>206500</v>
      </c>
      <c r="X13" s="3">
        <v>79700</v>
      </c>
      <c r="Y13" s="3">
        <v>96200</v>
      </c>
      <c r="Z13" s="3">
        <v>56300</v>
      </c>
      <c r="AA13" s="3">
        <v>177500</v>
      </c>
      <c r="AB13" s="3">
        <v>90800</v>
      </c>
      <c r="AC13" s="3">
        <v>1330000</v>
      </c>
      <c r="AD13" s="3">
        <v>148800</v>
      </c>
      <c r="AE13" s="3">
        <v>457500</v>
      </c>
      <c r="AF13" s="3">
        <v>480000</v>
      </c>
    </row>
    <row r="14" spans="1:32">
      <c r="A14" s="2">
        <v>20260313</v>
      </c>
      <c r="B14" s="6">
        <v>5487.24</v>
      </c>
      <c r="C14" s="3">
        <v>443000</v>
      </c>
      <c r="D14" s="3">
        <v>915000</v>
      </c>
      <c r="E14" s="3">
        <v>641000</v>
      </c>
      <c r="F14" s="3">
        <v>133100</v>
      </c>
      <c r="G14" s="3">
        <v>403000</v>
      </c>
      <c r="H14" s="3">
        <v>244000</v>
      </c>
      <c r="I14" s="3">
        <v>357500</v>
      </c>
      <c r="J14" s="3">
        <v>427000</v>
      </c>
      <c r="K14" s="3">
        <v>743000</v>
      </c>
      <c r="L14" s="3">
        <v>1621000</v>
      </c>
      <c r="M14" s="3">
        <v>163900</v>
      </c>
      <c r="N14" s="3">
        <v>95300</v>
      </c>
      <c r="O14" s="3">
        <v>30700</v>
      </c>
      <c r="P14" s="3">
        <v>326000</v>
      </c>
      <c r="Q14" s="3">
        <v>296000</v>
      </c>
      <c r="R14" s="3">
        <v>1920000</v>
      </c>
      <c r="S14" s="3">
        <v>175200</v>
      </c>
      <c r="T14" s="3">
        <v>282000</v>
      </c>
      <c r="U14" s="3">
        <v>145200</v>
      </c>
      <c r="V14" s="3">
        <v>30850</v>
      </c>
      <c r="W14" s="3">
        <v>207000</v>
      </c>
      <c r="X14" s="3">
        <v>81900</v>
      </c>
      <c r="Y14" s="3">
        <v>100300</v>
      </c>
      <c r="Z14" s="3">
        <v>65400</v>
      </c>
      <c r="AA14" s="3">
        <v>172100</v>
      </c>
      <c r="AB14" s="3">
        <v>90500</v>
      </c>
      <c r="AC14" s="3">
        <v>1309000</v>
      </c>
      <c r="AD14" s="3">
        <v>147100</v>
      </c>
      <c r="AE14" s="3">
        <v>451000</v>
      </c>
      <c r="AF14" s="3">
        <v>479000</v>
      </c>
    </row>
    <row r="15" spans="1:32">
      <c r="A15" s="2">
        <v>20260312</v>
      </c>
      <c r="B15" s="6">
        <v>5583.25</v>
      </c>
      <c r="C15" s="3">
        <v>428500</v>
      </c>
      <c r="D15" s="3">
        <v>894000</v>
      </c>
      <c r="E15" s="3">
        <v>631000</v>
      </c>
      <c r="F15" s="3">
        <v>136800</v>
      </c>
      <c r="G15" s="3">
        <v>394500</v>
      </c>
      <c r="H15" s="3">
        <v>238500</v>
      </c>
      <c r="I15" s="3">
        <v>351000</v>
      </c>
      <c r="J15" s="3">
        <v>430000</v>
      </c>
      <c r="K15" s="3">
        <v>740000</v>
      </c>
      <c r="L15" s="3">
        <v>1657000</v>
      </c>
      <c r="M15" s="3">
        <v>172100</v>
      </c>
      <c r="N15" s="3">
        <v>91300</v>
      </c>
      <c r="O15" s="3">
        <v>29750</v>
      </c>
      <c r="P15" s="3">
        <v>324000</v>
      </c>
      <c r="Q15" s="3">
        <v>299000</v>
      </c>
      <c r="R15" s="3">
        <v>1873000</v>
      </c>
      <c r="S15" s="3">
        <v>174700</v>
      </c>
      <c r="T15" s="3">
        <v>280000</v>
      </c>
      <c r="U15" s="3">
        <v>149500</v>
      </c>
      <c r="V15" s="3">
        <v>30550</v>
      </c>
      <c r="W15" s="3">
        <v>204000</v>
      </c>
      <c r="X15" s="3">
        <v>81200</v>
      </c>
      <c r="Y15" s="3">
        <v>99800</v>
      </c>
      <c r="Z15" s="3">
        <v>67900</v>
      </c>
      <c r="AA15" s="3">
        <v>172200</v>
      </c>
      <c r="AB15" s="3">
        <v>88800</v>
      </c>
      <c r="AC15" s="3">
        <v>1315000</v>
      </c>
      <c r="AD15" s="3">
        <v>141500</v>
      </c>
      <c r="AE15" s="3">
        <v>487500</v>
      </c>
      <c r="AF15" s="3">
        <v>549000</v>
      </c>
    </row>
    <row r="16" spans="1:32">
      <c r="A16" s="2">
        <v>20260311</v>
      </c>
      <c r="B16" s="6">
        <v>5609.95</v>
      </c>
      <c r="C16" s="3">
        <v>424500</v>
      </c>
      <c r="D16" s="3">
        <v>888000</v>
      </c>
      <c r="E16" s="3">
        <v>613000</v>
      </c>
      <c r="F16" s="3">
        <v>134700</v>
      </c>
      <c r="G16" s="3">
        <v>417000</v>
      </c>
      <c r="H16" s="3">
        <v>245500</v>
      </c>
      <c r="I16" s="3">
        <v>359500</v>
      </c>
      <c r="J16" s="3">
        <v>446500</v>
      </c>
      <c r="K16" s="3">
        <v>755000</v>
      </c>
      <c r="L16" s="3">
        <v>1555000</v>
      </c>
      <c r="M16" s="3">
        <v>164600</v>
      </c>
      <c r="N16" s="3">
        <v>90000</v>
      </c>
      <c r="O16" s="3">
        <v>29850</v>
      </c>
      <c r="P16" s="3">
        <v>384500</v>
      </c>
      <c r="Q16" s="3">
        <v>297500</v>
      </c>
      <c r="R16" s="3">
        <v>1778000</v>
      </c>
      <c r="S16" s="3">
        <v>178800</v>
      </c>
      <c r="T16" s="3">
        <v>283000</v>
      </c>
      <c r="U16" s="3">
        <v>152300</v>
      </c>
      <c r="V16" s="3">
        <v>30100</v>
      </c>
      <c r="W16" s="3">
        <v>208000</v>
      </c>
      <c r="X16" s="3">
        <v>82900</v>
      </c>
      <c r="Y16" s="3">
        <v>100500</v>
      </c>
      <c r="Z16" s="3">
        <v>66000</v>
      </c>
      <c r="AA16" s="3">
        <v>170400</v>
      </c>
      <c r="AB16" s="3">
        <v>88300</v>
      </c>
      <c r="AC16" s="3">
        <v>1289000</v>
      </c>
      <c r="AD16" s="3">
        <v>137700</v>
      </c>
      <c r="AE16" s="3">
        <v>453500</v>
      </c>
      <c r="AF16" s="3">
        <v>529000</v>
      </c>
    </row>
    <row r="17" spans="1:32">
      <c r="A17" s="2">
        <v>20260310</v>
      </c>
      <c r="B17" s="6">
        <v>5532.59</v>
      </c>
      <c r="C17" s="3">
        <v>436000</v>
      </c>
      <c r="D17" s="3">
        <v>884000</v>
      </c>
      <c r="E17" s="3">
        <v>627000</v>
      </c>
      <c r="F17" s="3">
        <v>135600</v>
      </c>
      <c r="G17" s="3">
        <v>412000</v>
      </c>
      <c r="H17" s="3">
        <v>266000</v>
      </c>
      <c r="I17" s="3">
        <v>368000</v>
      </c>
      <c r="J17" s="3">
        <v>445500</v>
      </c>
      <c r="K17" s="3">
        <v>767000</v>
      </c>
      <c r="L17" s="3">
        <v>1580000</v>
      </c>
      <c r="M17" s="3">
        <v>159000</v>
      </c>
      <c r="N17" s="3">
        <v>93300</v>
      </c>
      <c r="O17" s="3">
        <v>34800</v>
      </c>
      <c r="P17" s="3">
        <v>373000</v>
      </c>
      <c r="Q17" s="3">
        <v>305500</v>
      </c>
      <c r="R17" s="3">
        <v>1802000</v>
      </c>
      <c r="S17" s="3">
        <v>185100</v>
      </c>
      <c r="T17" s="3">
        <v>272000</v>
      </c>
      <c r="U17" s="3">
        <v>152100</v>
      </c>
      <c r="V17" s="3">
        <v>30400</v>
      </c>
      <c r="W17" s="3">
        <v>212000</v>
      </c>
      <c r="X17" s="3">
        <v>83900</v>
      </c>
      <c r="Y17" s="3">
        <v>101100</v>
      </c>
      <c r="Z17" s="3">
        <v>61200</v>
      </c>
      <c r="AA17" s="3">
        <v>171100</v>
      </c>
      <c r="AB17" s="3">
        <v>90400</v>
      </c>
      <c r="AC17" s="3">
        <v>1255000</v>
      </c>
      <c r="AD17" s="3">
        <v>140300</v>
      </c>
      <c r="AE17" s="3">
        <v>457500</v>
      </c>
      <c r="AF17" s="3">
        <v>510000</v>
      </c>
    </row>
    <row r="18" spans="1:32">
      <c r="A18" s="2">
        <v>20260309</v>
      </c>
      <c r="B18" s="6">
        <v>5251.87</v>
      </c>
      <c r="C18" s="3">
        <v>424000</v>
      </c>
      <c r="D18" s="3">
        <v>872000</v>
      </c>
      <c r="E18" s="3">
        <v>605000</v>
      </c>
      <c r="F18" s="3">
        <v>135500</v>
      </c>
      <c r="G18" s="3">
        <v>416000</v>
      </c>
      <c r="H18" s="3">
        <v>272500</v>
      </c>
      <c r="I18" s="3">
        <v>365000</v>
      </c>
      <c r="J18" s="3">
        <v>441000</v>
      </c>
      <c r="K18" s="3">
        <v>736000</v>
      </c>
      <c r="L18" s="3">
        <v>1807000</v>
      </c>
      <c r="M18" s="3">
        <v>155200</v>
      </c>
      <c r="N18" s="3">
        <v>91800</v>
      </c>
      <c r="O18" s="3">
        <v>33300</v>
      </c>
      <c r="P18" s="3">
        <v>387000</v>
      </c>
      <c r="Q18" s="3">
        <v>297500</v>
      </c>
      <c r="R18" s="3">
        <v>1807000</v>
      </c>
      <c r="S18" s="3">
        <v>182200</v>
      </c>
      <c r="T18" s="3">
        <v>275000</v>
      </c>
      <c r="U18" s="3">
        <v>152100</v>
      </c>
      <c r="V18" s="3">
        <v>29900</v>
      </c>
      <c r="W18" s="3">
        <v>215000</v>
      </c>
      <c r="X18" s="3">
        <v>82400</v>
      </c>
      <c r="Y18" s="3">
        <v>101200</v>
      </c>
      <c r="Z18" s="3">
        <v>60400</v>
      </c>
      <c r="AA18" s="3">
        <v>169500</v>
      </c>
      <c r="AB18" s="3">
        <v>88800</v>
      </c>
      <c r="AC18" s="3">
        <v>1262000</v>
      </c>
      <c r="AD18" s="3">
        <v>139800</v>
      </c>
      <c r="AE18" s="3">
        <v>465500</v>
      </c>
      <c r="AF18" s="3">
        <v>492500</v>
      </c>
    </row>
    <row r="19" spans="1:32">
      <c r="A19" s="2">
        <v>20260306</v>
      </c>
      <c r="B19" s="6">
        <v>5584.87</v>
      </c>
      <c r="C19" s="3">
        <v>426500</v>
      </c>
      <c r="D19" s="3">
        <v>901000</v>
      </c>
      <c r="E19" s="3">
        <v>588000</v>
      </c>
      <c r="F19" s="3">
        <v>143000</v>
      </c>
      <c r="G19" s="3">
        <v>408500</v>
      </c>
      <c r="H19" s="3">
        <v>281500</v>
      </c>
      <c r="I19" s="3">
        <v>359500</v>
      </c>
      <c r="J19" s="3">
        <v>473000</v>
      </c>
      <c r="K19" s="3">
        <v>800000</v>
      </c>
      <c r="L19" s="3">
        <v>1831000</v>
      </c>
      <c r="M19" s="3">
        <v>153500</v>
      </c>
      <c r="N19" s="3">
        <v>93600</v>
      </c>
      <c r="O19" s="3">
        <v>34800</v>
      </c>
      <c r="P19" s="3">
        <v>387500</v>
      </c>
      <c r="Q19" s="3">
        <v>298000</v>
      </c>
      <c r="R19" s="3">
        <v>1790000</v>
      </c>
      <c r="S19" s="3">
        <v>187100</v>
      </c>
      <c r="T19" s="3">
        <v>277000</v>
      </c>
      <c r="U19" s="3">
        <v>159500</v>
      </c>
      <c r="V19" s="3">
        <v>30300</v>
      </c>
      <c r="W19" s="3">
        <v>211500</v>
      </c>
      <c r="X19" s="3">
        <v>86100</v>
      </c>
      <c r="Y19" s="3">
        <v>105000</v>
      </c>
      <c r="Z19" s="3">
        <v>60500</v>
      </c>
      <c r="AA19" s="3">
        <v>174800</v>
      </c>
      <c r="AB19" s="3">
        <v>87600</v>
      </c>
      <c r="AC19" s="3">
        <v>1230000</v>
      </c>
      <c r="AD19" s="3">
        <v>140500</v>
      </c>
      <c r="AE19" s="3">
        <v>460000</v>
      </c>
      <c r="AF19" s="3">
        <v>488500</v>
      </c>
    </row>
    <row r="20" spans="1:32">
      <c r="A20" s="2">
        <v>20260305</v>
      </c>
      <c r="B20" s="6">
        <v>5583.9</v>
      </c>
      <c r="C20" s="3">
        <v>422500</v>
      </c>
      <c r="D20" s="3">
        <v>902000</v>
      </c>
      <c r="E20" s="3">
        <v>586000</v>
      </c>
      <c r="F20" s="3">
        <v>137900</v>
      </c>
      <c r="G20" s="3">
        <v>431000</v>
      </c>
      <c r="H20" s="3">
        <v>277500</v>
      </c>
      <c r="I20" s="3">
        <v>378000</v>
      </c>
      <c r="J20" s="3">
        <v>504000</v>
      </c>
      <c r="K20" s="3">
        <v>841000</v>
      </c>
      <c r="L20" s="3">
        <v>1801000</v>
      </c>
      <c r="M20" s="3">
        <v>149700</v>
      </c>
      <c r="N20" s="3">
        <v>92000</v>
      </c>
      <c r="O20" s="3">
        <v>34800</v>
      </c>
      <c r="P20" s="3">
        <v>396500</v>
      </c>
      <c r="Q20" s="3">
        <v>302000</v>
      </c>
      <c r="R20" s="3">
        <v>1791000</v>
      </c>
      <c r="S20" s="3">
        <v>192200</v>
      </c>
      <c r="T20" s="3">
        <v>280000</v>
      </c>
      <c r="U20" s="3">
        <v>162400</v>
      </c>
      <c r="V20" s="3">
        <v>30200</v>
      </c>
      <c r="W20" s="3">
        <v>218500</v>
      </c>
      <c r="X20" s="3">
        <v>83800</v>
      </c>
      <c r="Y20" s="3">
        <v>102700</v>
      </c>
      <c r="Z20" s="3">
        <v>59400</v>
      </c>
      <c r="AA20" s="3">
        <v>182000</v>
      </c>
      <c r="AB20" s="3">
        <v>89000</v>
      </c>
      <c r="AC20" s="3">
        <v>1288000</v>
      </c>
      <c r="AD20" s="3">
        <v>143400</v>
      </c>
      <c r="AE20" s="3">
        <v>447000</v>
      </c>
      <c r="AF20" s="3">
        <v>492500</v>
      </c>
    </row>
    <row r="21" spans="1:32">
      <c r="A21" s="2">
        <v>20260304</v>
      </c>
      <c r="B21" s="6">
        <v>5093.54</v>
      </c>
      <c r="C21" s="3">
        <v>421000</v>
      </c>
      <c r="D21" s="3">
        <v>897000</v>
      </c>
      <c r="E21" s="3">
        <v>588000</v>
      </c>
      <c r="F21" s="3">
        <v>137800</v>
      </c>
      <c r="G21" s="3">
        <v>416500</v>
      </c>
      <c r="H21" s="3">
        <v>287000</v>
      </c>
      <c r="I21" s="3">
        <v>364000</v>
      </c>
      <c r="J21" s="3">
        <v>531000</v>
      </c>
      <c r="K21" s="3">
        <v>861000</v>
      </c>
      <c r="L21" s="3">
        <v>1959000</v>
      </c>
      <c r="M21" s="3">
        <v>154900</v>
      </c>
      <c r="N21" s="3">
        <v>94000</v>
      </c>
      <c r="O21" s="3">
        <v>40850</v>
      </c>
      <c r="P21" s="3">
        <v>388000</v>
      </c>
      <c r="Q21" s="3">
        <v>303000</v>
      </c>
      <c r="R21" s="3">
        <v>1776000</v>
      </c>
      <c r="S21" s="3">
        <v>192000</v>
      </c>
      <c r="T21" s="3">
        <v>279500</v>
      </c>
      <c r="U21" s="3">
        <v>160700</v>
      </c>
      <c r="V21" s="3">
        <v>29800</v>
      </c>
      <c r="W21" s="3">
        <v>214500</v>
      </c>
      <c r="X21" s="3">
        <v>85100</v>
      </c>
      <c r="Y21" s="3">
        <v>103600</v>
      </c>
      <c r="Z21" s="3">
        <v>61000</v>
      </c>
      <c r="AA21" s="3">
        <v>203500</v>
      </c>
      <c r="AB21" s="3">
        <v>92800</v>
      </c>
      <c r="AC21" s="3">
        <v>1300000</v>
      </c>
      <c r="AD21" s="3">
        <v>141900</v>
      </c>
      <c r="AE21" s="3">
        <v>457000</v>
      </c>
      <c r="AF21" s="3">
        <v>528000</v>
      </c>
    </row>
    <row r="22" spans="1:32">
      <c r="A22" s="2">
        <v>20260303</v>
      </c>
      <c r="B22" s="6">
        <v>5791.91</v>
      </c>
      <c r="C22" s="3">
        <v>413500</v>
      </c>
      <c r="D22" s="3">
        <v>889000</v>
      </c>
      <c r="E22" s="3">
        <v>575000</v>
      </c>
      <c r="F22" s="3">
        <v>135200</v>
      </c>
      <c r="G22" s="3">
        <v>398000</v>
      </c>
      <c r="H22" s="3">
        <v>275000</v>
      </c>
      <c r="I22" s="3">
        <v>347500</v>
      </c>
      <c r="J22" s="3">
        <v>570000</v>
      </c>
      <c r="K22" s="3">
        <v>909000</v>
      </c>
      <c r="L22" s="3">
        <v>1884000</v>
      </c>
      <c r="M22" s="3">
        <v>152600</v>
      </c>
      <c r="N22" s="3">
        <v>90600</v>
      </c>
      <c r="O22" s="3">
        <v>42750</v>
      </c>
      <c r="P22" s="3">
        <v>390000</v>
      </c>
      <c r="Q22" s="3">
        <v>301500</v>
      </c>
      <c r="R22" s="3">
        <v>1745000</v>
      </c>
      <c r="S22" s="3">
        <v>188300</v>
      </c>
      <c r="T22" s="3">
        <v>279000</v>
      </c>
      <c r="U22" s="3">
        <v>160500</v>
      </c>
      <c r="V22" s="3">
        <v>29450</v>
      </c>
      <c r="W22" s="3">
        <v>210000</v>
      </c>
      <c r="X22" s="3">
        <v>84300</v>
      </c>
      <c r="Y22" s="3">
        <v>100100</v>
      </c>
      <c r="Z22" s="3">
        <v>58300</v>
      </c>
      <c r="AA22" s="3">
        <v>211000</v>
      </c>
      <c r="AB22" s="3">
        <v>94200</v>
      </c>
      <c r="AC22" s="3">
        <v>1300000</v>
      </c>
      <c r="AD22" s="3">
        <v>138500</v>
      </c>
      <c r="AE22" s="3">
        <v>449000</v>
      </c>
      <c r="AF22" s="3">
        <v>500000</v>
      </c>
    </row>
    <row r="23" spans="1:32">
      <c r="A23" s="2">
        <v>20260227</v>
      </c>
      <c r="B23" s="6">
        <v>6244.13</v>
      </c>
      <c r="C23" s="3">
        <v>401500</v>
      </c>
      <c r="D23" s="3">
        <v>836000</v>
      </c>
      <c r="E23" s="3">
        <v>549000</v>
      </c>
      <c r="F23" s="3">
        <v>133700</v>
      </c>
      <c r="G23" s="3">
        <v>380000</v>
      </c>
      <c r="H23" s="3">
        <v>268000</v>
      </c>
      <c r="I23" s="3">
        <v>341500</v>
      </c>
      <c r="J23" s="3">
        <v>505000</v>
      </c>
      <c r="K23" s="3">
        <v>830000</v>
      </c>
      <c r="L23" s="3">
        <v>1650000</v>
      </c>
      <c r="M23" s="3">
        <v>150100</v>
      </c>
      <c r="N23" s="3">
        <v>86200</v>
      </c>
      <c r="O23" s="3">
        <v>40050</v>
      </c>
      <c r="P23" s="3">
        <v>356000</v>
      </c>
      <c r="Q23" s="3">
        <v>291000</v>
      </c>
      <c r="R23" s="3">
        <v>1711000</v>
      </c>
      <c r="S23" s="3">
        <v>179000</v>
      </c>
      <c r="T23" s="3">
        <v>283000</v>
      </c>
      <c r="U23" s="3">
        <v>150400</v>
      </c>
      <c r="V23" s="3">
        <v>27400</v>
      </c>
      <c r="W23" s="3">
        <v>203000</v>
      </c>
      <c r="X23" s="3">
        <v>82500</v>
      </c>
      <c r="Y23" s="3">
        <v>103300</v>
      </c>
      <c r="Z23" s="3">
        <v>57300</v>
      </c>
      <c r="AA23" s="3">
        <v>187100</v>
      </c>
      <c r="AB23" s="3">
        <v>92900</v>
      </c>
      <c r="AC23" s="3">
        <v>1239000</v>
      </c>
      <c r="AD23" s="3">
        <v>133600</v>
      </c>
      <c r="AE23" s="3">
        <v>436000</v>
      </c>
      <c r="AF23" s="3">
        <v>478000</v>
      </c>
    </row>
    <row r="24" spans="1:32">
      <c r="A24" s="2">
        <v>20260226</v>
      </c>
      <c r="B24" s="6">
        <v>6307.27</v>
      </c>
      <c r="C24" s="3">
        <v>417500</v>
      </c>
      <c r="D24" s="3">
        <v>889000</v>
      </c>
      <c r="E24" s="3">
        <v>582000</v>
      </c>
      <c r="F24" s="3">
        <v>138800</v>
      </c>
      <c r="G24" s="3">
        <v>391000</v>
      </c>
      <c r="H24" s="3">
        <v>269000</v>
      </c>
      <c r="I24" s="3">
        <v>357000</v>
      </c>
      <c r="J24" s="3">
        <v>546000</v>
      </c>
      <c r="K24" s="3">
        <v>907000</v>
      </c>
      <c r="L24" s="3">
        <v>1716000</v>
      </c>
      <c r="M24" s="3">
        <v>154000</v>
      </c>
      <c r="N24" s="3">
        <v>91200</v>
      </c>
      <c r="O24" s="3">
        <v>49950</v>
      </c>
      <c r="P24" s="3">
        <v>374500</v>
      </c>
      <c r="Q24" s="3">
        <v>315000</v>
      </c>
      <c r="R24" s="3">
        <v>1749000</v>
      </c>
      <c r="S24" s="3">
        <v>186300</v>
      </c>
      <c r="T24" s="3">
        <v>307500</v>
      </c>
      <c r="U24" s="3">
        <v>167500</v>
      </c>
      <c r="V24" s="3">
        <v>28650</v>
      </c>
      <c r="W24" s="3">
        <v>207500</v>
      </c>
      <c r="X24" s="3">
        <v>88000</v>
      </c>
      <c r="Y24" s="3">
        <v>110200</v>
      </c>
      <c r="Z24" s="3">
        <v>59500</v>
      </c>
      <c r="AA24" s="3">
        <v>199300</v>
      </c>
      <c r="AB24" s="3">
        <v>119500</v>
      </c>
      <c r="AC24" s="3">
        <v>1299000</v>
      </c>
      <c r="AD24" s="3">
        <v>141400</v>
      </c>
      <c r="AE24" s="3">
        <v>444500</v>
      </c>
      <c r="AF24" s="3">
        <v>491500</v>
      </c>
    </row>
    <row r="25" spans="1:32">
      <c r="A25" s="2">
        <v>20260225</v>
      </c>
      <c r="B25" s="6">
        <v>6083.86</v>
      </c>
      <c r="C25" s="3">
        <v>424500</v>
      </c>
      <c r="D25" s="3">
        <v>924000</v>
      </c>
      <c r="E25" s="3">
        <v>583000</v>
      </c>
      <c r="F25" s="3">
        <v>142100</v>
      </c>
      <c r="G25" s="3">
        <v>402500</v>
      </c>
      <c r="H25" s="3">
        <v>264500</v>
      </c>
      <c r="I25" s="3">
        <v>363500</v>
      </c>
      <c r="J25" s="3">
        <v>569000</v>
      </c>
      <c r="K25" s="3">
        <v>900000</v>
      </c>
      <c r="L25" s="3">
        <v>1829000</v>
      </c>
      <c r="M25" s="3">
        <v>156800</v>
      </c>
      <c r="N25" s="3">
        <v>96500</v>
      </c>
      <c r="O25" s="3">
        <v>51200</v>
      </c>
      <c r="P25" s="3">
        <v>391500</v>
      </c>
      <c r="Q25" s="3">
        <v>316500</v>
      </c>
      <c r="R25" s="3">
        <v>1759000</v>
      </c>
      <c r="S25" s="3">
        <v>197500</v>
      </c>
      <c r="T25" s="3">
        <v>305000</v>
      </c>
      <c r="U25" s="3">
        <v>169100</v>
      </c>
      <c r="V25" s="3">
        <v>29250</v>
      </c>
      <c r="W25" s="3">
        <v>214500</v>
      </c>
      <c r="X25" s="3">
        <v>90300</v>
      </c>
      <c r="Y25" s="3">
        <v>112500</v>
      </c>
      <c r="Z25" s="3">
        <v>62700</v>
      </c>
      <c r="AA25" s="3">
        <v>202500</v>
      </c>
      <c r="AB25" s="3">
        <v>123000</v>
      </c>
      <c r="AC25" s="3">
        <v>1324000</v>
      </c>
      <c r="AD25" s="3">
        <v>144000</v>
      </c>
      <c r="AE25" s="3">
        <v>448500</v>
      </c>
      <c r="AF25" s="3">
        <v>504000</v>
      </c>
    </row>
    <row r="26" spans="1:32">
      <c r="A26" s="2">
        <v>20260224</v>
      </c>
      <c r="B26" s="6">
        <v>5969.64</v>
      </c>
      <c r="C26" s="3">
        <v>409000</v>
      </c>
      <c r="D26" s="3">
        <v>873000</v>
      </c>
      <c r="E26" s="3">
        <v>550000</v>
      </c>
      <c r="F26" s="3">
        <v>139500</v>
      </c>
      <c r="G26" s="3">
        <v>395000</v>
      </c>
      <c r="H26" s="3">
        <v>257000</v>
      </c>
      <c r="I26" s="3">
        <v>367000</v>
      </c>
      <c r="J26" s="3">
        <v>534000</v>
      </c>
      <c r="K26" s="3">
        <v>842000</v>
      </c>
      <c r="L26" s="3">
        <v>1709000</v>
      </c>
      <c r="M26" s="3">
        <v>156200</v>
      </c>
      <c r="N26" s="3">
        <v>90600</v>
      </c>
      <c r="O26" s="3">
        <v>49600</v>
      </c>
      <c r="P26" s="3">
        <v>385500</v>
      </c>
      <c r="Q26" s="3">
        <v>306000</v>
      </c>
      <c r="R26" s="3">
        <v>1700000</v>
      </c>
      <c r="S26" s="3">
        <v>191700</v>
      </c>
      <c r="T26" s="3">
        <v>290000</v>
      </c>
      <c r="U26" s="3">
        <v>159300</v>
      </c>
      <c r="V26" s="3">
        <v>28100</v>
      </c>
      <c r="W26" s="3">
        <v>217500</v>
      </c>
      <c r="X26" s="3">
        <v>90900</v>
      </c>
      <c r="Y26" s="3">
        <v>114100</v>
      </c>
      <c r="Z26" s="3">
        <v>61900</v>
      </c>
      <c r="AA26" s="3">
        <v>193500</v>
      </c>
      <c r="AB26" s="3">
        <v>111300</v>
      </c>
      <c r="AC26" s="3">
        <v>1227000</v>
      </c>
      <c r="AD26" s="3">
        <v>135600</v>
      </c>
      <c r="AE26" s="3">
        <v>433500</v>
      </c>
      <c r="AF26" s="3">
        <v>488500</v>
      </c>
    </row>
    <row r="27" spans="1:32">
      <c r="A27" s="2">
        <v>20260223</v>
      </c>
      <c r="B27" s="6">
        <v>5846.09</v>
      </c>
      <c r="C27" s="3">
        <v>395500</v>
      </c>
      <c r="D27" s="3">
        <v>840000</v>
      </c>
      <c r="E27" s="3">
        <v>539000</v>
      </c>
      <c r="F27" s="3">
        <v>149300</v>
      </c>
      <c r="G27" s="3">
        <v>385000</v>
      </c>
      <c r="H27" s="3">
        <v>249000</v>
      </c>
      <c r="I27" s="3">
        <v>359500</v>
      </c>
      <c r="J27" s="3">
        <v>514000</v>
      </c>
      <c r="K27" s="3">
        <v>839000</v>
      </c>
      <c r="L27" s="3">
        <v>1641000</v>
      </c>
      <c r="M27" s="3">
        <v>151900</v>
      </c>
      <c r="N27" s="3">
        <v>89000</v>
      </c>
      <c r="O27" s="3">
        <v>48000</v>
      </c>
      <c r="P27" s="3">
        <v>370000</v>
      </c>
      <c r="Q27" s="3">
        <v>289500</v>
      </c>
      <c r="R27" s="3">
        <v>1668000</v>
      </c>
      <c r="S27" s="3">
        <v>184300</v>
      </c>
      <c r="T27" s="3">
        <v>284000</v>
      </c>
      <c r="U27" s="3">
        <v>158600</v>
      </c>
      <c r="V27" s="3">
        <v>27500</v>
      </c>
      <c r="W27" s="3">
        <v>220000</v>
      </c>
      <c r="X27" s="3">
        <v>93600</v>
      </c>
      <c r="Y27" s="3">
        <v>114600</v>
      </c>
      <c r="Z27" s="3">
        <v>60700</v>
      </c>
      <c r="AA27" s="3">
        <v>196000</v>
      </c>
      <c r="AB27" s="3">
        <v>103000</v>
      </c>
      <c r="AC27" s="3">
        <v>1181000</v>
      </c>
      <c r="AD27" s="3">
        <v>130600</v>
      </c>
      <c r="AE27" s="3">
        <v>426000</v>
      </c>
      <c r="AF27" s="3">
        <v>467500</v>
      </c>
    </row>
    <row r="28" spans="1:32">
      <c r="A28" s="2">
        <v>20260220</v>
      </c>
      <c r="B28" s="6">
        <v>5808.53</v>
      </c>
      <c r="C28" s="3">
        <v>390000</v>
      </c>
      <c r="D28" s="3">
        <v>933000</v>
      </c>
      <c r="E28" s="3">
        <v>540000</v>
      </c>
      <c r="F28" s="3">
        <v>151400</v>
      </c>
      <c r="G28" s="3">
        <v>394500</v>
      </c>
      <c r="H28" s="3">
        <v>250000</v>
      </c>
      <c r="I28" s="3">
        <v>363500</v>
      </c>
      <c r="J28" s="3">
        <v>563000</v>
      </c>
      <c r="K28" s="3">
        <v>887000</v>
      </c>
      <c r="L28" s="3">
        <v>1709000</v>
      </c>
      <c r="M28" s="3">
        <v>153800</v>
      </c>
      <c r="N28" s="3">
        <v>95400</v>
      </c>
      <c r="O28" s="3">
        <v>53400</v>
      </c>
      <c r="P28" s="3">
        <v>380000</v>
      </c>
      <c r="Q28" s="3">
        <v>312500</v>
      </c>
      <c r="R28" s="3">
        <v>1694000</v>
      </c>
      <c r="S28" s="3">
        <v>193000</v>
      </c>
      <c r="T28" s="3">
        <v>304000</v>
      </c>
      <c r="U28" s="3">
        <v>166400</v>
      </c>
      <c r="V28" s="3">
        <v>27950</v>
      </c>
      <c r="W28" s="3">
        <v>230000</v>
      </c>
      <c r="X28" s="3">
        <v>93400</v>
      </c>
      <c r="Y28" s="3">
        <v>118800</v>
      </c>
      <c r="Z28" s="3">
        <v>62600</v>
      </c>
      <c r="AA28" s="3">
        <v>197800</v>
      </c>
      <c r="AB28" s="3">
        <v>104400</v>
      </c>
      <c r="AC28" s="3">
        <v>1193000</v>
      </c>
      <c r="AD28" s="3">
        <v>133200</v>
      </c>
      <c r="AE28" s="3">
        <v>435000</v>
      </c>
      <c r="AF28" s="3">
        <v>478000</v>
      </c>
    </row>
    <row r="29" spans="1:32">
      <c r="A29" s="2">
        <v>20260219</v>
      </c>
      <c r="B29" s="6">
        <v>5677.25</v>
      </c>
      <c r="C29" s="3">
        <v>382000</v>
      </c>
      <c r="D29" s="3">
        <v>939000</v>
      </c>
      <c r="E29" s="3">
        <v>534000</v>
      </c>
      <c r="F29" s="3">
        <v>155500</v>
      </c>
      <c r="G29" s="3">
        <v>390500</v>
      </c>
      <c r="H29" s="3">
        <v>254000</v>
      </c>
      <c r="I29" s="3">
        <v>371000</v>
      </c>
      <c r="J29" s="3">
        <v>543000</v>
      </c>
      <c r="K29" s="3">
        <v>876000</v>
      </c>
      <c r="L29" s="3">
        <v>1701000</v>
      </c>
      <c r="M29" s="3">
        <v>154700</v>
      </c>
      <c r="N29" s="3">
        <v>94100</v>
      </c>
      <c r="O29" s="3">
        <v>51900</v>
      </c>
      <c r="P29" s="3">
        <v>381000</v>
      </c>
      <c r="Q29" s="3">
        <v>317000</v>
      </c>
      <c r="R29" s="3">
        <v>1710000</v>
      </c>
      <c r="S29" s="3">
        <v>197700</v>
      </c>
      <c r="T29" s="3">
        <v>313500</v>
      </c>
      <c r="U29" s="3">
        <v>165800</v>
      </c>
      <c r="V29" s="3">
        <v>27850</v>
      </c>
      <c r="W29" s="3">
        <v>227500</v>
      </c>
      <c r="X29" s="3">
        <v>97900</v>
      </c>
      <c r="Y29" s="3">
        <v>122200</v>
      </c>
      <c r="Z29" s="3">
        <v>60800</v>
      </c>
      <c r="AA29" s="3">
        <v>194900</v>
      </c>
      <c r="AB29" s="3">
        <v>101300</v>
      </c>
      <c r="AC29" s="3">
        <v>1146000</v>
      </c>
      <c r="AD29" s="3">
        <v>130900</v>
      </c>
      <c r="AE29" s="3">
        <v>437000</v>
      </c>
      <c r="AF29" s="3">
        <v>480500</v>
      </c>
    </row>
    <row r="30" spans="1:32">
      <c r="A30" s="2">
        <v>20260213</v>
      </c>
      <c r="B30" s="6">
        <v>5507.01</v>
      </c>
      <c r="C30" s="3">
        <v>390000</v>
      </c>
      <c r="D30" s="3">
        <v>995000</v>
      </c>
      <c r="E30" s="3">
        <v>537000</v>
      </c>
      <c r="F30" s="3">
        <v>164500</v>
      </c>
      <c r="G30" s="3">
        <v>392000</v>
      </c>
      <c r="H30" s="3">
        <v>257500</v>
      </c>
      <c r="I30" s="3">
        <v>372000</v>
      </c>
      <c r="J30" s="3">
        <v>532000</v>
      </c>
      <c r="K30" s="3">
        <v>860000</v>
      </c>
      <c r="L30" s="3">
        <v>1678000</v>
      </c>
      <c r="M30" s="3">
        <v>161800</v>
      </c>
      <c r="N30" s="3">
        <v>95500</v>
      </c>
      <c r="O30" s="3">
        <v>51300</v>
      </c>
      <c r="P30" s="3">
        <v>377000</v>
      </c>
      <c r="Q30" s="3">
        <v>316500</v>
      </c>
      <c r="R30" s="3">
        <v>1712000</v>
      </c>
      <c r="S30" s="3">
        <v>200000</v>
      </c>
      <c r="T30" s="3">
        <v>309500</v>
      </c>
      <c r="U30" s="3">
        <v>167800</v>
      </c>
      <c r="V30" s="3">
        <v>28000</v>
      </c>
      <c r="W30" s="3">
        <v>239500</v>
      </c>
      <c r="X30" s="3">
        <v>100900</v>
      </c>
      <c r="Y30" s="3">
        <v>125800</v>
      </c>
      <c r="Z30" s="3">
        <v>61000</v>
      </c>
      <c r="AA30" s="3">
        <v>190500</v>
      </c>
      <c r="AB30" s="3">
        <v>101400</v>
      </c>
      <c r="AC30" s="3">
        <v>1130000</v>
      </c>
      <c r="AD30" s="3">
        <v>129700</v>
      </c>
      <c r="AE30" s="3">
        <v>446000</v>
      </c>
      <c r="AF30" s="3">
        <v>509000</v>
      </c>
    </row>
    <row r="31" spans="1:32">
      <c r="A31" s="2">
        <v>20260212</v>
      </c>
      <c r="B31" s="6">
        <v>5522.27</v>
      </c>
      <c r="C31" s="3">
        <v>397000</v>
      </c>
      <c r="D31" s="3">
        <v>966000</v>
      </c>
      <c r="E31" s="3">
        <v>539000</v>
      </c>
      <c r="F31" s="3">
        <v>168500</v>
      </c>
      <c r="G31" s="3">
        <v>410000</v>
      </c>
      <c r="H31" s="3">
        <v>255500</v>
      </c>
      <c r="I31" s="3">
        <v>383000</v>
      </c>
      <c r="J31" s="3">
        <v>570000</v>
      </c>
      <c r="K31" s="3">
        <v>888000</v>
      </c>
      <c r="L31" s="3">
        <v>1732000</v>
      </c>
      <c r="M31" s="3">
        <v>166300</v>
      </c>
      <c r="N31" s="3">
        <v>95500</v>
      </c>
      <c r="O31" s="3">
        <v>53400</v>
      </c>
      <c r="P31" s="3">
        <v>385500</v>
      </c>
      <c r="Q31" s="3">
        <v>334000</v>
      </c>
      <c r="R31" s="3">
        <v>1719000</v>
      </c>
      <c r="S31" s="3">
        <v>205000</v>
      </c>
      <c r="T31" s="3">
        <v>319500</v>
      </c>
      <c r="U31" s="3">
        <v>178600</v>
      </c>
      <c r="V31" s="3">
        <v>28150</v>
      </c>
      <c r="W31" s="3">
        <v>238500</v>
      </c>
      <c r="X31" s="3">
        <v>106000</v>
      </c>
      <c r="Y31" s="3">
        <v>130000</v>
      </c>
      <c r="Z31" s="3">
        <v>60100</v>
      </c>
      <c r="AA31" s="3">
        <v>209500</v>
      </c>
      <c r="AB31" s="3">
        <v>105800</v>
      </c>
      <c r="AC31" s="3">
        <v>1131000</v>
      </c>
      <c r="AD31" s="3">
        <v>131800</v>
      </c>
      <c r="AE31" s="3">
        <v>446000</v>
      </c>
      <c r="AF31" s="3">
        <v>506000</v>
      </c>
    </row>
    <row r="32" spans="1:32">
      <c r="A32" s="2">
        <v>20260211</v>
      </c>
      <c r="B32" s="6">
        <v>5354.49</v>
      </c>
      <c r="C32" s="3">
        <v>397500</v>
      </c>
      <c r="D32" s="3">
        <v>949000</v>
      </c>
      <c r="E32" s="3">
        <v>543000</v>
      </c>
      <c r="F32" s="3">
        <v>167900</v>
      </c>
      <c r="G32" s="3">
        <v>395000</v>
      </c>
      <c r="H32" s="3">
        <v>252500</v>
      </c>
      <c r="I32" s="3">
        <v>375500</v>
      </c>
      <c r="J32" s="3">
        <v>558000</v>
      </c>
      <c r="K32" s="3">
        <v>880000</v>
      </c>
      <c r="L32" s="3">
        <v>1670000</v>
      </c>
      <c r="M32" s="3">
        <v>164100</v>
      </c>
      <c r="N32" s="3">
        <v>96700</v>
      </c>
      <c r="O32" s="3">
        <v>61600</v>
      </c>
      <c r="P32" s="3">
        <v>374500</v>
      </c>
      <c r="Q32" s="3">
        <v>318000</v>
      </c>
      <c r="R32" s="3">
        <v>1710000</v>
      </c>
      <c r="S32" s="3">
        <v>205500</v>
      </c>
      <c r="T32" s="3">
        <v>309500</v>
      </c>
      <c r="U32" s="3">
        <v>181200</v>
      </c>
      <c r="V32" s="3">
        <v>27700</v>
      </c>
      <c r="W32" s="3">
        <v>238000</v>
      </c>
      <c r="X32" s="3">
        <v>102500</v>
      </c>
      <c r="Y32" s="3">
        <v>127600</v>
      </c>
      <c r="Z32" s="3">
        <v>59800</v>
      </c>
      <c r="AA32" s="3">
        <v>202500</v>
      </c>
      <c r="AB32" s="3">
        <v>103400</v>
      </c>
      <c r="AC32" s="3">
        <v>1105000</v>
      </c>
      <c r="AD32" s="3">
        <v>129800</v>
      </c>
      <c r="AE32" s="3">
        <v>435000</v>
      </c>
      <c r="AF32" s="3">
        <v>499000</v>
      </c>
    </row>
    <row r="33" spans="1:32">
      <c r="A33" s="2">
        <v>20260210</v>
      </c>
      <c r="B33" s="6">
        <v>5301.69</v>
      </c>
      <c r="C33" s="3">
        <v>422500</v>
      </c>
      <c r="D33" s="3">
        <v>967000</v>
      </c>
      <c r="E33" s="3">
        <v>574000</v>
      </c>
      <c r="F33" s="3">
        <v>166500</v>
      </c>
      <c r="G33" s="3">
        <v>403500</v>
      </c>
      <c r="H33" s="3">
        <v>253000</v>
      </c>
      <c r="I33" s="3">
        <v>389000</v>
      </c>
      <c r="J33" s="3">
        <v>566000</v>
      </c>
      <c r="K33" s="3">
        <v>894000</v>
      </c>
      <c r="L33" s="3">
        <v>1669000</v>
      </c>
      <c r="M33" s="3">
        <v>170000</v>
      </c>
      <c r="N33" s="3">
        <v>98400</v>
      </c>
      <c r="O33" s="3">
        <v>70500</v>
      </c>
      <c r="P33" s="3">
        <v>408000</v>
      </c>
      <c r="Q33" s="3">
        <v>319500</v>
      </c>
      <c r="R33" s="3">
        <v>1720000</v>
      </c>
      <c r="S33" s="3">
        <v>209000</v>
      </c>
      <c r="T33" s="3">
        <v>358000</v>
      </c>
      <c r="U33" s="3">
        <v>190000</v>
      </c>
      <c r="V33" s="3">
        <v>28900</v>
      </c>
      <c r="W33" s="3">
        <v>244500</v>
      </c>
      <c r="X33" s="3">
        <v>100300</v>
      </c>
      <c r="Y33" s="3">
        <v>126300</v>
      </c>
      <c r="Z33" s="3">
        <v>62100</v>
      </c>
      <c r="AA33" s="3">
        <v>201500</v>
      </c>
      <c r="AB33" s="3">
        <v>106400</v>
      </c>
      <c r="AC33" s="3">
        <v>1149000</v>
      </c>
      <c r="AD33" s="3">
        <v>140600</v>
      </c>
      <c r="AE33" s="3">
        <v>440500</v>
      </c>
      <c r="AF33" s="3">
        <v>513000</v>
      </c>
    </row>
    <row r="34" spans="1:32">
      <c r="A34" s="2">
        <v>20260209</v>
      </c>
      <c r="B34" s="6">
        <v>5298.04</v>
      </c>
      <c r="C34" s="3">
        <v>452000</v>
      </c>
      <c r="D34" s="3">
        <v>1011000</v>
      </c>
      <c r="E34" s="3">
        <v>602000</v>
      </c>
      <c r="F34" s="3">
        <v>168800</v>
      </c>
      <c r="G34" s="3">
        <v>401500</v>
      </c>
      <c r="H34" s="3">
        <v>254500</v>
      </c>
      <c r="I34" s="3">
        <v>394000</v>
      </c>
      <c r="J34" s="3">
        <v>580000</v>
      </c>
      <c r="K34" s="3">
        <v>949000</v>
      </c>
      <c r="L34" s="3">
        <v>1663000</v>
      </c>
      <c r="M34" s="3">
        <v>171800</v>
      </c>
      <c r="N34" s="3">
        <v>103500</v>
      </c>
      <c r="O34" s="3">
        <v>70900</v>
      </c>
      <c r="P34" s="3">
        <v>402000</v>
      </c>
      <c r="Q34" s="3">
        <v>331000</v>
      </c>
      <c r="R34" s="3">
        <v>1736000</v>
      </c>
      <c r="S34" s="3">
        <v>219000</v>
      </c>
      <c r="T34" s="3">
        <v>377000</v>
      </c>
      <c r="U34" s="3">
        <v>190100</v>
      </c>
      <c r="V34" s="3">
        <v>29500</v>
      </c>
      <c r="W34" s="3">
        <v>242000</v>
      </c>
      <c r="X34" s="3">
        <v>102000</v>
      </c>
      <c r="Y34" s="3">
        <v>131300</v>
      </c>
      <c r="Z34" s="3">
        <v>63000</v>
      </c>
      <c r="AA34" s="3">
        <v>200500</v>
      </c>
      <c r="AB34" s="3">
        <v>116500</v>
      </c>
      <c r="AC34" s="3">
        <v>1242000</v>
      </c>
      <c r="AD34" s="3">
        <v>149900</v>
      </c>
      <c r="AE34" s="3">
        <v>443000</v>
      </c>
      <c r="AF34" s="3">
        <v>509000</v>
      </c>
    </row>
    <row r="35" spans="1:32">
      <c r="A35" s="2">
        <v>20260206</v>
      </c>
      <c r="B35" s="6">
        <v>5089.1400000000003</v>
      </c>
      <c r="C35" s="3">
        <v>472000</v>
      </c>
      <c r="D35" s="3">
        <v>1067000</v>
      </c>
      <c r="E35" s="3">
        <v>607000</v>
      </c>
      <c r="F35" s="3">
        <v>168700</v>
      </c>
      <c r="G35" s="3">
        <v>396000</v>
      </c>
      <c r="H35" s="3">
        <v>255500</v>
      </c>
      <c r="I35" s="3">
        <v>388000</v>
      </c>
      <c r="J35" s="3">
        <v>580000</v>
      </c>
      <c r="K35" s="3">
        <v>951000</v>
      </c>
      <c r="L35" s="3">
        <v>1723000</v>
      </c>
      <c r="M35" s="3">
        <v>172700</v>
      </c>
      <c r="N35" s="3">
        <v>102000</v>
      </c>
      <c r="O35" s="3">
        <v>68300</v>
      </c>
      <c r="P35" s="3">
        <v>391500</v>
      </c>
      <c r="Q35" s="3">
        <v>332000</v>
      </c>
      <c r="R35" s="3">
        <v>1717000</v>
      </c>
      <c r="S35" s="3">
        <v>232000</v>
      </c>
      <c r="T35" s="3">
        <v>426500</v>
      </c>
      <c r="U35" s="3">
        <v>193000</v>
      </c>
      <c r="V35" s="3">
        <v>29250</v>
      </c>
      <c r="W35" s="3">
        <v>243000</v>
      </c>
      <c r="X35" s="3">
        <v>101800</v>
      </c>
      <c r="Y35" s="3">
        <v>129100</v>
      </c>
      <c r="Z35" s="3">
        <v>62700</v>
      </c>
      <c r="AA35" s="3">
        <v>204000</v>
      </c>
      <c r="AB35" s="3">
        <v>111300</v>
      </c>
      <c r="AC35" s="3">
        <v>1236000</v>
      </c>
      <c r="AD35" s="3">
        <v>147200</v>
      </c>
      <c r="AE35" s="3">
        <v>445500</v>
      </c>
      <c r="AF35" s="3">
        <v>523000</v>
      </c>
    </row>
    <row r="36" spans="1:32">
      <c r="A36" s="2">
        <v>20260205</v>
      </c>
      <c r="B36" s="6">
        <v>5163.57</v>
      </c>
      <c r="C36" s="3">
        <v>457500</v>
      </c>
      <c r="D36" s="3">
        <v>1070000</v>
      </c>
      <c r="E36" s="3">
        <v>596000</v>
      </c>
      <c r="F36" s="3">
        <v>166700</v>
      </c>
      <c r="G36" s="3">
        <v>412500</v>
      </c>
      <c r="H36" s="3">
        <v>255000</v>
      </c>
      <c r="I36" s="3">
        <v>399500</v>
      </c>
      <c r="J36" s="3">
        <v>617000</v>
      </c>
      <c r="K36" s="3">
        <v>1005000</v>
      </c>
      <c r="L36" s="3">
        <v>1871000</v>
      </c>
      <c r="M36" s="3">
        <v>174000</v>
      </c>
      <c r="N36" s="3">
        <v>101300</v>
      </c>
      <c r="O36" s="3">
        <v>67100</v>
      </c>
      <c r="P36" s="3">
        <v>421500</v>
      </c>
      <c r="Q36" s="3">
        <v>338000</v>
      </c>
      <c r="R36" s="3">
        <v>1723000</v>
      </c>
      <c r="S36" s="3">
        <v>224000</v>
      </c>
      <c r="T36" s="3">
        <v>446000</v>
      </c>
      <c r="U36" s="3">
        <v>200000</v>
      </c>
      <c r="V36" s="3">
        <v>29000</v>
      </c>
      <c r="W36" s="3">
        <v>248500</v>
      </c>
      <c r="X36" s="3">
        <v>100900</v>
      </c>
      <c r="Y36" s="3">
        <v>126100</v>
      </c>
      <c r="Z36" s="3">
        <v>62800</v>
      </c>
      <c r="AA36" s="3">
        <v>210000</v>
      </c>
      <c r="AB36" s="3">
        <v>110800</v>
      </c>
      <c r="AC36" s="3">
        <v>1241000</v>
      </c>
      <c r="AD36" s="3">
        <v>143100</v>
      </c>
      <c r="AE36" s="3">
        <v>453000</v>
      </c>
      <c r="AF36" s="3">
        <v>524000</v>
      </c>
    </row>
    <row r="37" spans="1:32">
      <c r="A37" s="2">
        <v>20260204</v>
      </c>
      <c r="B37" s="6">
        <v>5371.1</v>
      </c>
      <c r="C37" s="3">
        <v>467500</v>
      </c>
      <c r="D37" s="3">
        <v>1065000</v>
      </c>
      <c r="E37" s="3">
        <v>594000</v>
      </c>
      <c r="F37" s="3">
        <v>167700</v>
      </c>
      <c r="G37" s="3">
        <v>426000</v>
      </c>
      <c r="H37" s="3">
        <v>253000</v>
      </c>
      <c r="I37" s="3">
        <v>406500</v>
      </c>
      <c r="J37" s="3">
        <v>647000</v>
      </c>
      <c r="K37" s="3">
        <v>1018000</v>
      </c>
      <c r="L37" s="3">
        <v>2115000</v>
      </c>
      <c r="M37" s="3">
        <v>196100</v>
      </c>
      <c r="N37" s="3">
        <v>103200</v>
      </c>
      <c r="O37" s="3">
        <v>72900</v>
      </c>
      <c r="P37" s="3">
        <v>433000</v>
      </c>
      <c r="Q37" s="3">
        <v>347000</v>
      </c>
      <c r="R37" s="3">
        <v>1728000</v>
      </c>
      <c r="S37" s="3">
        <v>246000</v>
      </c>
      <c r="T37" s="3">
        <v>465000</v>
      </c>
      <c r="U37" s="3">
        <v>203500</v>
      </c>
      <c r="V37" s="3">
        <v>28950</v>
      </c>
      <c r="W37" s="3">
        <v>244500</v>
      </c>
      <c r="X37" s="3">
        <v>99500</v>
      </c>
      <c r="Y37" s="3">
        <v>126000</v>
      </c>
      <c r="Z37" s="3">
        <v>64300</v>
      </c>
      <c r="AA37" s="3">
        <v>214500</v>
      </c>
      <c r="AB37" s="3">
        <v>111400</v>
      </c>
      <c r="AC37" s="3">
        <v>1212000</v>
      </c>
      <c r="AD37" s="3">
        <v>142000</v>
      </c>
      <c r="AE37" s="3">
        <v>469500</v>
      </c>
      <c r="AF37" s="3">
        <v>572000</v>
      </c>
    </row>
    <row r="38" spans="1:32">
      <c r="A38" s="2">
        <v>20260203</v>
      </c>
      <c r="B38" s="6">
        <v>5288.08</v>
      </c>
      <c r="C38" s="3">
        <v>452000</v>
      </c>
      <c r="D38" s="3">
        <v>1111000</v>
      </c>
      <c r="E38" s="3">
        <v>592000</v>
      </c>
      <c r="F38" s="3">
        <v>165300</v>
      </c>
      <c r="G38" s="3">
        <v>427000</v>
      </c>
      <c r="H38" s="3">
        <v>260500</v>
      </c>
      <c r="I38" s="3">
        <v>407500</v>
      </c>
      <c r="J38" s="3">
        <v>679000</v>
      </c>
      <c r="K38" s="3">
        <v>1099000</v>
      </c>
      <c r="L38" s="3">
        <v>2055000</v>
      </c>
      <c r="M38" s="3">
        <v>206000</v>
      </c>
      <c r="N38" s="3">
        <v>103800</v>
      </c>
      <c r="O38" s="3">
        <v>73600</v>
      </c>
      <c r="P38" s="3">
        <v>449000</v>
      </c>
      <c r="Q38" s="3">
        <v>360000</v>
      </c>
      <c r="R38" s="3">
        <v>1766000</v>
      </c>
      <c r="S38" s="3">
        <v>239000</v>
      </c>
      <c r="T38" s="3">
        <v>466500</v>
      </c>
      <c r="U38" s="3">
        <v>218000</v>
      </c>
      <c r="V38" s="3">
        <v>28700</v>
      </c>
      <c r="W38" s="3">
        <v>242000</v>
      </c>
      <c r="X38" s="3">
        <v>99900</v>
      </c>
      <c r="Y38" s="3">
        <v>124900</v>
      </c>
      <c r="Z38" s="3">
        <v>63300</v>
      </c>
      <c r="AA38" s="3">
        <v>275500</v>
      </c>
      <c r="AB38" s="3">
        <v>110600</v>
      </c>
      <c r="AC38" s="3">
        <v>1194000</v>
      </c>
      <c r="AD38" s="3">
        <v>140000</v>
      </c>
      <c r="AE38" s="3">
        <v>529000</v>
      </c>
      <c r="AF38" s="3">
        <v>609000</v>
      </c>
    </row>
    <row r="39" spans="1:32">
      <c r="A39" s="2">
        <v>20260202</v>
      </c>
      <c r="B39" s="6">
        <v>4949.67</v>
      </c>
      <c r="C39" s="3">
        <v>450000</v>
      </c>
      <c r="D39" s="3">
        <v>1050000</v>
      </c>
      <c r="E39" s="3">
        <v>603000</v>
      </c>
      <c r="F39" s="3">
        <v>159000</v>
      </c>
      <c r="G39" s="3">
        <v>427000</v>
      </c>
      <c r="H39" s="3">
        <v>254500</v>
      </c>
      <c r="I39" s="3">
        <v>413000</v>
      </c>
      <c r="J39" s="3">
        <v>645000</v>
      </c>
      <c r="K39" s="3">
        <v>1061000</v>
      </c>
      <c r="L39" s="3">
        <v>2030000</v>
      </c>
      <c r="M39" s="3">
        <v>205500</v>
      </c>
      <c r="N39" s="3">
        <v>106300</v>
      </c>
      <c r="O39" s="3">
        <v>72000</v>
      </c>
      <c r="P39" s="3">
        <v>466000</v>
      </c>
      <c r="Q39" s="3">
        <v>350500</v>
      </c>
      <c r="R39" s="3">
        <v>1778000</v>
      </c>
      <c r="S39" s="3">
        <v>230000</v>
      </c>
      <c r="T39" s="3">
        <v>448500</v>
      </c>
      <c r="U39" s="3">
        <v>216500</v>
      </c>
      <c r="V39" s="3">
        <v>28950</v>
      </c>
      <c r="W39" s="3">
        <v>238500</v>
      </c>
      <c r="X39" s="3">
        <v>96900</v>
      </c>
      <c r="Y39" s="3">
        <v>121800</v>
      </c>
      <c r="Z39" s="3">
        <v>58500</v>
      </c>
      <c r="AA39" s="3">
        <v>323500</v>
      </c>
      <c r="AB39" s="3">
        <v>113600</v>
      </c>
      <c r="AC39" s="3">
        <v>1195000</v>
      </c>
      <c r="AD39" s="3">
        <v>141200</v>
      </c>
      <c r="AE39" s="3">
        <v>517000</v>
      </c>
      <c r="AF39" s="3">
        <v>674000</v>
      </c>
    </row>
    <row r="40" spans="1:32">
      <c r="A40" s="2">
        <v>20260130</v>
      </c>
      <c r="B40" s="6">
        <v>5224.3599999999997</v>
      </c>
      <c r="C40" s="3">
        <v>441500</v>
      </c>
      <c r="D40" s="3">
        <v>987000</v>
      </c>
      <c r="E40" s="3">
        <v>590000</v>
      </c>
      <c r="F40" s="3">
        <v>153500</v>
      </c>
      <c r="G40" s="3">
        <v>393000</v>
      </c>
      <c r="H40" s="3">
        <v>236000</v>
      </c>
      <c r="I40" s="3">
        <v>374500</v>
      </c>
      <c r="J40" s="3">
        <v>581000</v>
      </c>
      <c r="K40" s="3">
        <v>939000</v>
      </c>
      <c r="L40" s="3">
        <v>1983000</v>
      </c>
      <c r="M40" s="3">
        <v>182300</v>
      </c>
      <c r="N40" s="3">
        <v>96900</v>
      </c>
      <c r="O40" s="3">
        <v>66600</v>
      </c>
      <c r="P40" s="3">
        <v>408000</v>
      </c>
      <c r="Q40" s="3">
        <v>317000</v>
      </c>
      <c r="R40" s="3">
        <v>1681000</v>
      </c>
      <c r="S40" s="3">
        <v>221500</v>
      </c>
      <c r="T40" s="3">
        <v>409000</v>
      </c>
      <c r="U40" s="3">
        <v>195100</v>
      </c>
      <c r="V40" s="3">
        <v>28000</v>
      </c>
      <c r="W40" s="3">
        <v>225000</v>
      </c>
      <c r="X40" s="3">
        <v>96700</v>
      </c>
      <c r="Y40" s="3">
        <v>120100</v>
      </c>
      <c r="Z40" s="3">
        <v>50900</v>
      </c>
      <c r="AA40" s="3">
        <v>282000</v>
      </c>
      <c r="AB40" s="3">
        <v>146700</v>
      </c>
      <c r="AC40" s="3">
        <v>1432000</v>
      </c>
      <c r="AD40" s="3">
        <v>135400</v>
      </c>
      <c r="AE40" s="3">
        <v>468500</v>
      </c>
      <c r="AF40" s="3">
        <v>595000</v>
      </c>
    </row>
    <row r="41" spans="1:32">
      <c r="A41" s="2">
        <v>20260129</v>
      </c>
      <c r="B41" s="6">
        <v>5221.25</v>
      </c>
      <c r="C41" s="3">
        <v>379000</v>
      </c>
      <c r="D41" s="3">
        <v>871000</v>
      </c>
      <c r="E41" s="3">
        <v>511000</v>
      </c>
      <c r="F41" s="3">
        <v>137700</v>
      </c>
      <c r="G41" s="3">
        <v>347500</v>
      </c>
      <c r="H41" s="3">
        <v>208000</v>
      </c>
      <c r="I41" s="3">
        <v>321500</v>
      </c>
      <c r="J41" s="3">
        <v>507000</v>
      </c>
      <c r="K41" s="3">
        <v>849000</v>
      </c>
      <c r="L41" s="3">
        <v>1632000</v>
      </c>
      <c r="M41" s="3">
        <v>156700</v>
      </c>
      <c r="N41" s="3">
        <v>80600</v>
      </c>
      <c r="O41" s="3">
        <v>56500</v>
      </c>
      <c r="P41" s="3">
        <v>351000</v>
      </c>
      <c r="Q41" s="3">
        <v>272000</v>
      </c>
      <c r="R41" s="3">
        <v>1516000</v>
      </c>
      <c r="S41" s="3">
        <v>197500</v>
      </c>
      <c r="T41" s="3">
        <v>362500</v>
      </c>
      <c r="U41" s="3">
        <v>172200</v>
      </c>
      <c r="V41" s="3">
        <v>23500</v>
      </c>
      <c r="W41" s="3">
        <v>197400</v>
      </c>
      <c r="X41" s="3">
        <v>88800</v>
      </c>
      <c r="Y41" s="3">
        <v>105500</v>
      </c>
      <c r="Z41" s="3">
        <v>45550</v>
      </c>
      <c r="AA41" s="3">
        <v>259000</v>
      </c>
      <c r="AB41" s="3">
        <v>116000</v>
      </c>
      <c r="AC41" s="3">
        <v>1323000</v>
      </c>
      <c r="AD41" s="3">
        <v>108500</v>
      </c>
      <c r="AE41" s="3">
        <v>399000</v>
      </c>
      <c r="AF41" s="3">
        <v>501000</v>
      </c>
    </row>
    <row r="42" spans="1:32">
      <c r="A42" s="2">
        <v>20260128</v>
      </c>
      <c r="B42" s="6">
        <v>5170.8100000000004</v>
      </c>
      <c r="C42" s="3">
        <v>407000</v>
      </c>
      <c r="D42" s="3">
        <v>984000</v>
      </c>
      <c r="E42" s="3">
        <v>559000</v>
      </c>
      <c r="F42" s="3">
        <v>149000</v>
      </c>
      <c r="G42" s="3">
        <v>371500</v>
      </c>
      <c r="H42" s="3">
        <v>220000</v>
      </c>
      <c r="I42" s="3">
        <v>346500</v>
      </c>
      <c r="J42" s="3">
        <v>566000</v>
      </c>
      <c r="K42" s="3">
        <v>941000</v>
      </c>
      <c r="L42" s="3">
        <v>1759000</v>
      </c>
      <c r="M42" s="3">
        <v>166400</v>
      </c>
      <c r="N42" s="3">
        <v>90500</v>
      </c>
      <c r="O42" s="3">
        <v>65200</v>
      </c>
      <c r="P42" s="3">
        <v>392500</v>
      </c>
      <c r="Q42" s="3">
        <v>293000</v>
      </c>
      <c r="R42" s="3">
        <v>1647000</v>
      </c>
      <c r="S42" s="3">
        <v>214000</v>
      </c>
      <c r="T42" s="3">
        <v>401500</v>
      </c>
      <c r="U42" s="3">
        <v>191600</v>
      </c>
      <c r="V42" s="3">
        <v>27200</v>
      </c>
      <c r="W42" s="3">
        <v>211500</v>
      </c>
      <c r="X42" s="3">
        <v>92900</v>
      </c>
      <c r="Y42" s="3">
        <v>111200</v>
      </c>
      <c r="Z42" s="3">
        <v>48200</v>
      </c>
      <c r="AA42" s="3">
        <v>315000</v>
      </c>
      <c r="AB42" s="3">
        <v>150800</v>
      </c>
      <c r="AC42" s="3">
        <v>1381000</v>
      </c>
      <c r="AD42" s="3">
        <v>122100</v>
      </c>
      <c r="AE42" s="3">
        <v>432000</v>
      </c>
      <c r="AF42" s="3">
        <v>548000</v>
      </c>
    </row>
    <row r="43" spans="1:32">
      <c r="A43" s="2">
        <v>20260127</v>
      </c>
      <c r="B43" s="6">
        <v>5084.8500000000004</v>
      </c>
      <c r="C43" s="3">
        <v>402000</v>
      </c>
      <c r="D43" s="3">
        <v>968000</v>
      </c>
      <c r="E43" s="3">
        <v>554000</v>
      </c>
      <c r="F43" s="3">
        <v>147400</v>
      </c>
      <c r="G43" s="3">
        <v>377500</v>
      </c>
      <c r="H43" s="3">
        <v>222500</v>
      </c>
      <c r="I43" s="3">
        <v>353500</v>
      </c>
      <c r="J43" s="3">
        <v>553000</v>
      </c>
      <c r="K43" s="3">
        <v>924000</v>
      </c>
      <c r="L43" s="3">
        <v>1752000</v>
      </c>
      <c r="M43" s="3">
        <v>167000</v>
      </c>
      <c r="N43" s="3">
        <v>98000</v>
      </c>
      <c r="O43" s="3">
        <v>67100</v>
      </c>
      <c r="P43" s="3">
        <v>410500</v>
      </c>
      <c r="Q43" s="3">
        <v>283500</v>
      </c>
      <c r="R43" s="3">
        <v>1644000</v>
      </c>
      <c r="S43" s="3">
        <v>210000</v>
      </c>
      <c r="T43" s="3">
        <v>404500</v>
      </c>
      <c r="U43" s="3">
        <v>188200</v>
      </c>
      <c r="V43" s="3">
        <v>27600</v>
      </c>
      <c r="W43" s="3">
        <v>212500</v>
      </c>
      <c r="X43" s="3">
        <v>91800</v>
      </c>
      <c r="Y43" s="3">
        <v>110300</v>
      </c>
      <c r="Z43" s="3">
        <v>48800</v>
      </c>
      <c r="AA43" s="3">
        <v>333500</v>
      </c>
      <c r="AB43" s="3">
        <v>158900</v>
      </c>
      <c r="AC43" s="3">
        <v>1481000</v>
      </c>
      <c r="AD43" s="3">
        <v>126700</v>
      </c>
      <c r="AE43" s="3">
        <v>444000</v>
      </c>
      <c r="AF43" s="3">
        <v>553000</v>
      </c>
    </row>
    <row r="44" spans="1:32">
      <c r="A44" s="2">
        <v>20260126</v>
      </c>
      <c r="B44" s="6">
        <v>4949.59</v>
      </c>
      <c r="C44" s="3">
        <v>400000</v>
      </c>
      <c r="D44" s="3">
        <v>907000</v>
      </c>
      <c r="E44" s="3">
        <v>576000</v>
      </c>
      <c r="F44" s="3">
        <v>142600</v>
      </c>
      <c r="G44" s="3">
        <v>359500</v>
      </c>
      <c r="H44" s="3">
        <v>218500</v>
      </c>
      <c r="I44" s="3">
        <v>336000</v>
      </c>
      <c r="J44" s="3">
        <v>509000</v>
      </c>
      <c r="K44" s="3">
        <v>836000</v>
      </c>
      <c r="L44" s="3">
        <v>1596000</v>
      </c>
      <c r="M44" s="3">
        <v>153400</v>
      </c>
      <c r="N44" s="3">
        <v>96200</v>
      </c>
      <c r="O44" s="3">
        <v>64200</v>
      </c>
      <c r="P44" s="3">
        <v>389000</v>
      </c>
      <c r="Q44" s="3">
        <v>270500</v>
      </c>
      <c r="R44" s="3">
        <v>1579000</v>
      </c>
      <c r="S44" s="3">
        <v>200500</v>
      </c>
      <c r="T44" s="3">
        <v>382000</v>
      </c>
      <c r="U44" s="3">
        <v>173500</v>
      </c>
      <c r="V44" s="3">
        <v>28550</v>
      </c>
      <c r="W44" s="3">
        <v>204000</v>
      </c>
      <c r="X44" s="3">
        <v>88500</v>
      </c>
      <c r="Y44" s="3">
        <v>107900</v>
      </c>
      <c r="Z44" s="3">
        <v>44800</v>
      </c>
      <c r="AA44" s="3">
        <v>305000</v>
      </c>
      <c r="AB44" s="3">
        <v>162700</v>
      </c>
      <c r="AC44" s="3">
        <v>1434000</v>
      </c>
      <c r="AD44" s="3">
        <v>123700</v>
      </c>
      <c r="AE44" s="3">
        <v>409000</v>
      </c>
      <c r="AF44" s="3">
        <v>507000</v>
      </c>
    </row>
    <row r="45" spans="1:32">
      <c r="A45" s="2">
        <v>20260123</v>
      </c>
      <c r="B45" s="6">
        <v>4990.07</v>
      </c>
      <c r="C45" s="3">
        <v>404000</v>
      </c>
      <c r="D45" s="3">
        <v>941000</v>
      </c>
      <c r="E45" s="3">
        <v>583000</v>
      </c>
      <c r="F45" s="3">
        <v>147400</v>
      </c>
      <c r="G45" s="3">
        <v>367000</v>
      </c>
      <c r="H45" s="3">
        <v>220500</v>
      </c>
      <c r="I45" s="3">
        <v>343500</v>
      </c>
      <c r="J45" s="3">
        <v>554000</v>
      </c>
      <c r="K45" s="3">
        <v>938000</v>
      </c>
      <c r="L45" s="3">
        <v>1625000</v>
      </c>
      <c r="M45" s="3">
        <v>161000</v>
      </c>
      <c r="N45" s="3">
        <v>102500</v>
      </c>
      <c r="O45" s="3">
        <v>64600</v>
      </c>
      <c r="P45" s="3">
        <v>403500</v>
      </c>
      <c r="Q45" s="3">
        <v>273000</v>
      </c>
      <c r="R45" s="3">
        <v>1592000</v>
      </c>
      <c r="S45" s="3">
        <v>211500</v>
      </c>
      <c r="T45" s="3">
        <v>402000</v>
      </c>
      <c r="U45" s="3">
        <v>187900</v>
      </c>
      <c r="V45" s="3">
        <v>27850</v>
      </c>
      <c r="W45" s="3">
        <v>206000</v>
      </c>
      <c r="X45" s="3">
        <v>89200</v>
      </c>
      <c r="Y45" s="3">
        <v>109900</v>
      </c>
      <c r="Z45" s="3">
        <v>47600</v>
      </c>
      <c r="AA45" s="3">
        <v>324000</v>
      </c>
      <c r="AB45" s="3">
        <v>156200</v>
      </c>
      <c r="AC45" s="3">
        <v>1455000</v>
      </c>
      <c r="AD45" s="3">
        <v>124400</v>
      </c>
      <c r="AE45" s="3">
        <v>423000</v>
      </c>
      <c r="AF45" s="3">
        <v>525000</v>
      </c>
    </row>
    <row r="46" spans="1:32">
      <c r="A46" s="2">
        <v>20260122</v>
      </c>
      <c r="B46" s="6">
        <v>4952.53</v>
      </c>
      <c r="C46" s="3">
        <v>420000</v>
      </c>
      <c r="D46" s="3">
        <v>939000</v>
      </c>
      <c r="E46" s="3">
        <v>590000</v>
      </c>
      <c r="F46" s="3">
        <v>151300</v>
      </c>
      <c r="G46" s="3">
        <v>369500</v>
      </c>
      <c r="H46" s="3">
        <v>222000</v>
      </c>
      <c r="I46" s="3">
        <v>345000</v>
      </c>
      <c r="J46" s="3">
        <v>565000</v>
      </c>
      <c r="K46" s="3">
        <v>955000</v>
      </c>
      <c r="L46" s="3">
        <v>1666000</v>
      </c>
      <c r="M46" s="3">
        <v>162000</v>
      </c>
      <c r="N46" s="3">
        <v>101000</v>
      </c>
      <c r="O46" s="3">
        <v>71400</v>
      </c>
      <c r="P46" s="3">
        <v>400000</v>
      </c>
      <c r="Q46" s="3">
        <v>283500</v>
      </c>
      <c r="R46" s="3">
        <v>1657000</v>
      </c>
      <c r="S46" s="3">
        <v>226500</v>
      </c>
      <c r="T46" s="3">
        <v>406000</v>
      </c>
      <c r="U46" s="3">
        <v>190000</v>
      </c>
      <c r="V46" s="3">
        <v>28800</v>
      </c>
      <c r="W46" s="3">
        <v>209000</v>
      </c>
      <c r="X46" s="3">
        <v>91100</v>
      </c>
      <c r="Y46" s="3">
        <v>113400</v>
      </c>
      <c r="Z46" s="3">
        <v>47950</v>
      </c>
      <c r="AA46" s="3">
        <v>312500</v>
      </c>
      <c r="AB46" s="3">
        <v>147700</v>
      </c>
      <c r="AC46" s="3">
        <v>1410000</v>
      </c>
      <c r="AD46" s="3">
        <v>133600</v>
      </c>
      <c r="AE46" s="3">
        <v>423000</v>
      </c>
      <c r="AF46" s="3">
        <v>530000</v>
      </c>
    </row>
    <row r="47" spans="1:32">
      <c r="A47" s="2">
        <v>20260121</v>
      </c>
      <c r="B47" s="6">
        <v>4909.93</v>
      </c>
      <c r="C47" s="3">
        <v>425000</v>
      </c>
      <c r="D47" s="3">
        <v>944000</v>
      </c>
      <c r="E47" s="3">
        <v>604000</v>
      </c>
      <c r="F47" s="3">
        <v>149200</v>
      </c>
      <c r="G47" s="3">
        <v>384000</v>
      </c>
      <c r="H47" s="3">
        <v>222000</v>
      </c>
      <c r="I47" s="3">
        <v>347500</v>
      </c>
      <c r="J47" s="3">
        <v>554000</v>
      </c>
      <c r="K47" s="3">
        <v>930000</v>
      </c>
      <c r="L47" s="3">
        <v>1674000</v>
      </c>
      <c r="M47" s="3">
        <v>167000</v>
      </c>
      <c r="N47" s="3">
        <v>103500</v>
      </c>
      <c r="O47" s="3">
        <v>70400</v>
      </c>
      <c r="P47" s="3">
        <v>400000</v>
      </c>
      <c r="Q47" s="3">
        <v>280500</v>
      </c>
      <c r="R47" s="3">
        <v>1625000</v>
      </c>
      <c r="S47" s="3">
        <v>218500</v>
      </c>
      <c r="T47" s="3">
        <v>399500</v>
      </c>
      <c r="U47" s="3">
        <v>187900</v>
      </c>
      <c r="V47" s="3">
        <v>30850</v>
      </c>
      <c r="W47" s="3">
        <v>206000</v>
      </c>
      <c r="X47" s="3">
        <v>91900</v>
      </c>
      <c r="Y47" s="3">
        <v>112500</v>
      </c>
      <c r="Z47" s="3">
        <v>47600</v>
      </c>
      <c r="AA47" s="3">
        <v>317000</v>
      </c>
      <c r="AB47" s="3">
        <v>152300</v>
      </c>
      <c r="AC47" s="3">
        <v>1465000</v>
      </c>
      <c r="AD47" s="3">
        <v>136700</v>
      </c>
      <c r="AE47" s="3">
        <v>414500</v>
      </c>
      <c r="AF47" s="3">
        <v>521000</v>
      </c>
    </row>
    <row r="48" spans="1:32">
      <c r="A48" s="2">
        <v>20260120</v>
      </c>
      <c r="B48" s="6">
        <v>4885.75</v>
      </c>
      <c r="C48" s="3">
        <v>416000</v>
      </c>
      <c r="D48" s="3">
        <v>929000</v>
      </c>
      <c r="E48" s="3">
        <v>596000</v>
      </c>
      <c r="F48" s="3">
        <v>148900</v>
      </c>
      <c r="G48" s="3">
        <v>369000</v>
      </c>
      <c r="H48" s="3">
        <v>223000</v>
      </c>
      <c r="I48" s="3">
        <v>337000</v>
      </c>
      <c r="J48" s="3">
        <v>534000</v>
      </c>
      <c r="K48" s="3">
        <v>910000</v>
      </c>
      <c r="L48" s="3">
        <v>1628000</v>
      </c>
      <c r="M48" s="3">
        <v>164300</v>
      </c>
      <c r="N48" s="3">
        <v>106500</v>
      </c>
      <c r="O48" s="3">
        <v>69500</v>
      </c>
      <c r="P48" s="3">
        <v>388000</v>
      </c>
      <c r="Q48" s="3">
        <v>280500</v>
      </c>
      <c r="R48" s="3">
        <v>1592000</v>
      </c>
      <c r="S48" s="3">
        <v>216000</v>
      </c>
      <c r="T48" s="3">
        <v>400500</v>
      </c>
      <c r="U48" s="3">
        <v>183500</v>
      </c>
      <c r="V48" s="3">
        <v>30700</v>
      </c>
      <c r="W48" s="3">
        <v>205500</v>
      </c>
      <c r="X48" s="3">
        <v>90800</v>
      </c>
      <c r="Y48" s="3">
        <v>108900</v>
      </c>
      <c r="Z48" s="3">
        <v>48300</v>
      </c>
      <c r="AA48" s="3">
        <v>305500</v>
      </c>
      <c r="AB48" s="3">
        <v>144400</v>
      </c>
      <c r="AC48" s="3">
        <v>1488000</v>
      </c>
      <c r="AD48" s="3">
        <v>136900</v>
      </c>
      <c r="AE48" s="3">
        <v>404000</v>
      </c>
      <c r="AF48" s="3">
        <v>517000</v>
      </c>
    </row>
    <row r="49" spans="1:32">
      <c r="A49" s="2">
        <v>20260119</v>
      </c>
      <c r="B49" s="6">
        <v>4904.66</v>
      </c>
      <c r="C49" s="3">
        <v>409500</v>
      </c>
      <c r="D49" s="3">
        <v>905000</v>
      </c>
      <c r="E49" s="3">
        <v>583000</v>
      </c>
      <c r="F49" s="3">
        <v>149300</v>
      </c>
      <c r="G49" s="3">
        <v>366000</v>
      </c>
      <c r="H49" s="3">
        <v>218000</v>
      </c>
      <c r="I49" s="3">
        <v>333500</v>
      </c>
      <c r="J49" s="3">
        <v>562000</v>
      </c>
      <c r="K49" s="3">
        <v>974000</v>
      </c>
      <c r="L49" s="3">
        <v>1600000</v>
      </c>
      <c r="M49" s="3">
        <v>162000</v>
      </c>
      <c r="N49" s="3">
        <v>105700</v>
      </c>
      <c r="O49" s="3">
        <v>70900</v>
      </c>
      <c r="P49" s="3">
        <v>383000</v>
      </c>
      <c r="Q49" s="3">
        <v>278500</v>
      </c>
      <c r="R49" s="3">
        <v>1568000</v>
      </c>
      <c r="S49" s="3">
        <v>212000</v>
      </c>
      <c r="T49" s="3">
        <v>413000</v>
      </c>
      <c r="U49" s="3">
        <v>188700</v>
      </c>
      <c r="V49" s="3">
        <v>28750</v>
      </c>
      <c r="W49" s="3">
        <v>200000</v>
      </c>
      <c r="X49" s="3">
        <v>90000</v>
      </c>
      <c r="Y49" s="3">
        <v>108400</v>
      </c>
      <c r="Z49" s="3">
        <v>46900</v>
      </c>
      <c r="AA49" s="3">
        <v>300000</v>
      </c>
      <c r="AB49" s="3">
        <v>140000</v>
      </c>
      <c r="AC49" s="3">
        <v>1476000</v>
      </c>
      <c r="AD49" s="3">
        <v>131900</v>
      </c>
      <c r="AE49" s="3">
        <v>401000</v>
      </c>
      <c r="AF49" s="3">
        <v>506000</v>
      </c>
    </row>
    <row r="50" spans="1:32">
      <c r="A50" s="2">
        <v>20260116</v>
      </c>
      <c r="B50" s="6">
        <v>4840.74</v>
      </c>
      <c r="C50" s="3">
        <v>420000</v>
      </c>
      <c r="D50" s="3">
        <v>931000</v>
      </c>
      <c r="E50" s="3">
        <v>587000</v>
      </c>
      <c r="F50" s="3">
        <v>150700</v>
      </c>
      <c r="G50" s="3">
        <v>380500</v>
      </c>
      <c r="H50" s="3">
        <v>224000</v>
      </c>
      <c r="I50" s="3">
        <v>342500</v>
      </c>
      <c r="J50" s="3">
        <v>587000</v>
      </c>
      <c r="K50" s="3">
        <v>970000</v>
      </c>
      <c r="L50" s="3">
        <v>1612000</v>
      </c>
      <c r="M50" s="3">
        <v>167300</v>
      </c>
      <c r="N50" s="3">
        <v>104400</v>
      </c>
      <c r="O50" s="3">
        <v>69100</v>
      </c>
      <c r="P50" s="3">
        <v>389000</v>
      </c>
      <c r="Q50" s="3">
        <v>279500</v>
      </c>
      <c r="R50" s="3">
        <v>1587000</v>
      </c>
      <c r="S50" s="3">
        <v>217000</v>
      </c>
      <c r="T50" s="3">
        <v>446500</v>
      </c>
      <c r="U50" s="3">
        <v>193900</v>
      </c>
      <c r="V50" s="3">
        <v>29150</v>
      </c>
      <c r="W50" s="3">
        <v>206000</v>
      </c>
      <c r="X50" s="3">
        <v>91200</v>
      </c>
      <c r="Y50" s="3">
        <v>109900</v>
      </c>
      <c r="Z50" s="3">
        <v>48200</v>
      </c>
      <c r="AA50" s="3">
        <v>301000</v>
      </c>
      <c r="AB50" s="3">
        <v>138900</v>
      </c>
      <c r="AC50" s="3">
        <v>1396000</v>
      </c>
      <c r="AD50" s="3">
        <v>132700</v>
      </c>
      <c r="AE50" s="3">
        <v>412500</v>
      </c>
      <c r="AF50" s="3">
        <v>522000</v>
      </c>
    </row>
    <row r="51" spans="1:32">
      <c r="A51" s="2">
        <v>20260115</v>
      </c>
      <c r="B51" s="6">
        <v>4797.55</v>
      </c>
      <c r="C51" s="3">
        <v>425000</v>
      </c>
      <c r="D51" s="3">
        <v>974000</v>
      </c>
      <c r="E51" s="3">
        <v>590000</v>
      </c>
      <c r="F51" s="3">
        <v>154700</v>
      </c>
      <c r="G51" s="3">
        <v>383500</v>
      </c>
      <c r="H51" s="3">
        <v>226500</v>
      </c>
      <c r="I51" s="3">
        <v>349500</v>
      </c>
      <c r="J51" s="3">
        <v>630000</v>
      </c>
      <c r="K51" s="3">
        <v>1056000</v>
      </c>
      <c r="L51" s="3">
        <v>1695000</v>
      </c>
      <c r="M51" s="3">
        <v>175100</v>
      </c>
      <c r="N51" s="3">
        <v>107300</v>
      </c>
      <c r="O51" s="3">
        <v>69900</v>
      </c>
      <c r="P51" s="3">
        <v>405000</v>
      </c>
      <c r="Q51" s="3">
        <v>299000</v>
      </c>
      <c r="R51" s="3">
        <v>1626000</v>
      </c>
      <c r="S51" s="3">
        <v>235000</v>
      </c>
      <c r="T51" s="3">
        <v>464000</v>
      </c>
      <c r="U51" s="3">
        <v>208500</v>
      </c>
      <c r="V51" s="3">
        <v>29100</v>
      </c>
      <c r="W51" s="3">
        <v>209500</v>
      </c>
      <c r="X51" s="3">
        <v>95000</v>
      </c>
      <c r="Y51" s="3">
        <v>114500</v>
      </c>
      <c r="Z51" s="3">
        <v>49950</v>
      </c>
      <c r="AA51" s="3">
        <v>311000</v>
      </c>
      <c r="AB51" s="3">
        <v>139800</v>
      </c>
      <c r="AC51" s="3">
        <v>1390000</v>
      </c>
      <c r="AD51" s="3">
        <v>132900</v>
      </c>
      <c r="AE51" s="3">
        <v>430000</v>
      </c>
      <c r="AF51" s="3">
        <v>545000</v>
      </c>
    </row>
    <row r="52" spans="1:32">
      <c r="A52" s="2">
        <v>20260114</v>
      </c>
      <c r="B52" s="6">
        <v>4723.1000000000004</v>
      </c>
      <c r="C52" s="3">
        <v>413500</v>
      </c>
      <c r="D52" s="3">
        <v>958000</v>
      </c>
      <c r="E52" s="3">
        <v>567000</v>
      </c>
      <c r="F52" s="3">
        <v>155700</v>
      </c>
      <c r="G52" s="3">
        <v>371000</v>
      </c>
      <c r="H52" s="3">
        <v>220500</v>
      </c>
      <c r="I52" s="3">
        <v>338000</v>
      </c>
      <c r="J52" s="3">
        <v>611000</v>
      </c>
      <c r="K52" s="3">
        <v>1013000</v>
      </c>
      <c r="L52" s="3">
        <v>1612000</v>
      </c>
      <c r="M52" s="3">
        <v>170500</v>
      </c>
      <c r="N52" s="3">
        <v>106300</v>
      </c>
      <c r="O52" s="3">
        <v>66700</v>
      </c>
      <c r="P52" s="3">
        <v>402500</v>
      </c>
      <c r="Q52" s="3">
        <v>291000</v>
      </c>
      <c r="R52" s="3">
        <v>1585000</v>
      </c>
      <c r="S52" s="3">
        <v>230500</v>
      </c>
      <c r="T52" s="3">
        <v>479500</v>
      </c>
      <c r="U52" s="3">
        <v>200500</v>
      </c>
      <c r="V52" s="3">
        <v>28500</v>
      </c>
      <c r="W52" s="3">
        <v>202000</v>
      </c>
      <c r="X52" s="3">
        <v>96500</v>
      </c>
      <c r="Y52" s="3">
        <v>113200</v>
      </c>
      <c r="Z52" s="3">
        <v>48300</v>
      </c>
      <c r="AA52" s="3">
        <v>307000</v>
      </c>
      <c r="AB52" s="3">
        <v>141000</v>
      </c>
      <c r="AC52" s="3">
        <v>1375000</v>
      </c>
      <c r="AD52" s="3">
        <v>130000</v>
      </c>
      <c r="AE52" s="3">
        <v>413000</v>
      </c>
      <c r="AF52" s="3">
        <v>522000</v>
      </c>
    </row>
    <row r="53" spans="1:32">
      <c r="A53" s="2">
        <v>20260113</v>
      </c>
      <c r="B53" s="6">
        <v>4692.6400000000003</v>
      </c>
      <c r="C53" s="3">
        <v>404500</v>
      </c>
      <c r="D53" s="3">
        <v>959000</v>
      </c>
      <c r="E53" s="3">
        <v>559000</v>
      </c>
      <c r="F53" s="3">
        <v>155200</v>
      </c>
      <c r="G53" s="3">
        <v>375500</v>
      </c>
      <c r="H53" s="3">
        <v>221500</v>
      </c>
      <c r="I53" s="3">
        <v>343500</v>
      </c>
      <c r="J53" s="3">
        <v>608000</v>
      </c>
      <c r="K53" s="3">
        <v>1007000</v>
      </c>
      <c r="L53" s="3">
        <v>1587000</v>
      </c>
      <c r="M53" s="3">
        <v>168500</v>
      </c>
      <c r="N53" s="3">
        <v>109600</v>
      </c>
      <c r="O53" s="3">
        <v>67700</v>
      </c>
      <c r="P53" s="3">
        <v>400500</v>
      </c>
      <c r="Q53" s="3">
        <v>297500</v>
      </c>
      <c r="R53" s="3">
        <v>1601000</v>
      </c>
      <c r="S53" s="3">
        <v>231500</v>
      </c>
      <c r="T53" s="3">
        <v>464500</v>
      </c>
      <c r="U53" s="3">
        <v>199400</v>
      </c>
      <c r="V53" s="3">
        <v>28550</v>
      </c>
      <c r="W53" s="3">
        <v>202000</v>
      </c>
      <c r="X53" s="3">
        <v>97900</v>
      </c>
      <c r="Y53" s="3">
        <v>113200</v>
      </c>
      <c r="Z53" s="3">
        <v>49150</v>
      </c>
      <c r="AA53" s="3">
        <v>309500</v>
      </c>
      <c r="AB53" s="3">
        <v>136000</v>
      </c>
      <c r="AC53" s="3">
        <v>1320000</v>
      </c>
      <c r="AD53" s="3">
        <v>129100</v>
      </c>
      <c r="AE53" s="3">
        <v>400500</v>
      </c>
      <c r="AF53" s="3">
        <v>517000</v>
      </c>
    </row>
    <row r="54" spans="1:32">
      <c r="A54" s="2">
        <v>20260112</v>
      </c>
      <c r="B54" s="6">
        <v>4624.79</v>
      </c>
      <c r="C54" s="3">
        <v>366000</v>
      </c>
      <c r="D54" s="3">
        <v>913000</v>
      </c>
      <c r="E54" s="3">
        <v>502000</v>
      </c>
      <c r="F54" s="3">
        <v>145300</v>
      </c>
      <c r="G54" s="3">
        <v>356000</v>
      </c>
      <c r="H54" s="3">
        <v>209000</v>
      </c>
      <c r="I54" s="3">
        <v>325000</v>
      </c>
      <c r="J54" s="3">
        <v>557000</v>
      </c>
      <c r="K54" s="3">
        <v>933000</v>
      </c>
      <c r="L54" s="3">
        <v>1486000</v>
      </c>
      <c r="M54" s="3">
        <v>161700</v>
      </c>
      <c r="N54" s="3">
        <v>100700</v>
      </c>
      <c r="O54" s="3">
        <v>61900</v>
      </c>
      <c r="P54" s="3">
        <v>376500</v>
      </c>
      <c r="Q54" s="3">
        <v>274500</v>
      </c>
      <c r="R54" s="3">
        <v>1523000</v>
      </c>
      <c r="S54" s="3">
        <v>217500</v>
      </c>
      <c r="T54" s="3">
        <v>427500</v>
      </c>
      <c r="U54" s="3">
        <v>186300</v>
      </c>
      <c r="V54" s="3">
        <v>26000</v>
      </c>
      <c r="W54" s="3">
        <v>188300</v>
      </c>
      <c r="X54" s="3">
        <v>89900</v>
      </c>
      <c r="Y54" s="3">
        <v>106000</v>
      </c>
      <c r="Z54" s="3">
        <v>45600</v>
      </c>
      <c r="AA54" s="3">
        <v>297000</v>
      </c>
      <c r="AB54" s="3">
        <v>124000</v>
      </c>
      <c r="AC54" s="3">
        <v>1278000</v>
      </c>
      <c r="AD54" s="3">
        <v>118900</v>
      </c>
      <c r="AE54" s="3">
        <v>381000</v>
      </c>
      <c r="AF54" s="3">
        <v>485000</v>
      </c>
    </row>
    <row r="55" spans="1:32">
      <c r="A55" s="2">
        <v>20260109</v>
      </c>
      <c r="B55" s="6">
        <v>4586.32</v>
      </c>
      <c r="C55" s="3">
        <v>379500</v>
      </c>
      <c r="D55" s="3">
        <v>925000</v>
      </c>
      <c r="E55" s="3">
        <v>516000</v>
      </c>
      <c r="F55" s="3">
        <v>146900</v>
      </c>
      <c r="G55" s="3">
        <v>392500</v>
      </c>
      <c r="H55" s="3">
        <v>213500</v>
      </c>
      <c r="I55" s="3">
        <v>339500</v>
      </c>
      <c r="J55" s="3">
        <v>595000</v>
      </c>
      <c r="K55" s="3">
        <v>986000</v>
      </c>
      <c r="L55" s="3">
        <v>1543000</v>
      </c>
      <c r="M55" s="3">
        <v>157900</v>
      </c>
      <c r="N55" s="3">
        <v>100100</v>
      </c>
      <c r="O55" s="3">
        <v>61100</v>
      </c>
      <c r="P55" s="3">
        <v>397500</v>
      </c>
      <c r="Q55" s="3">
        <v>281500</v>
      </c>
      <c r="R55" s="3">
        <v>1547000</v>
      </c>
      <c r="S55" s="3">
        <v>222000</v>
      </c>
      <c r="T55" s="3">
        <v>437000</v>
      </c>
      <c r="U55" s="3">
        <v>189700</v>
      </c>
      <c r="V55" s="3">
        <v>26400</v>
      </c>
      <c r="W55" s="3">
        <v>199600</v>
      </c>
      <c r="X55" s="3">
        <v>90000</v>
      </c>
      <c r="Y55" s="3">
        <v>106500</v>
      </c>
      <c r="Z55" s="3">
        <v>46750</v>
      </c>
      <c r="AA55" s="3">
        <v>296500</v>
      </c>
      <c r="AB55" s="3">
        <v>127300</v>
      </c>
      <c r="AC55" s="3">
        <v>1335000</v>
      </c>
      <c r="AD55" s="3">
        <v>122300</v>
      </c>
      <c r="AE55" s="3">
        <v>392500</v>
      </c>
      <c r="AF55" s="3">
        <v>492000</v>
      </c>
    </row>
    <row r="56" spans="1:32">
      <c r="A56" s="2">
        <v>20260108</v>
      </c>
      <c r="B56" s="6">
        <v>4552.37</v>
      </c>
      <c r="C56" s="3">
        <v>385000</v>
      </c>
      <c r="D56" s="3">
        <v>992000</v>
      </c>
      <c r="E56" s="3">
        <v>523000</v>
      </c>
      <c r="F56" s="3">
        <v>149400</v>
      </c>
      <c r="G56" s="3">
        <v>394000</v>
      </c>
      <c r="H56" s="3">
        <v>215500</v>
      </c>
      <c r="I56" s="3">
        <v>342000</v>
      </c>
      <c r="J56" s="3">
        <v>605000</v>
      </c>
      <c r="K56" s="3">
        <v>995000</v>
      </c>
      <c r="L56" s="3">
        <v>1593000</v>
      </c>
      <c r="M56" s="3">
        <v>157900</v>
      </c>
      <c r="N56" s="3">
        <v>102600</v>
      </c>
      <c r="O56" s="3">
        <v>67300</v>
      </c>
      <c r="P56" s="3">
        <v>404000</v>
      </c>
      <c r="Q56" s="3">
        <v>289000</v>
      </c>
      <c r="R56" s="3">
        <v>1585000</v>
      </c>
      <c r="S56" s="3">
        <v>227500</v>
      </c>
      <c r="T56" s="3">
        <v>454500</v>
      </c>
      <c r="U56" s="3">
        <v>189000</v>
      </c>
      <c r="V56" s="3">
        <v>26850</v>
      </c>
      <c r="W56" s="3">
        <v>203500</v>
      </c>
      <c r="X56" s="3">
        <v>92100</v>
      </c>
      <c r="Y56" s="3">
        <v>108700</v>
      </c>
      <c r="Z56" s="3">
        <v>46450</v>
      </c>
      <c r="AA56" s="3">
        <v>300000</v>
      </c>
      <c r="AB56" s="3">
        <v>136600</v>
      </c>
      <c r="AC56" s="3">
        <v>1400000</v>
      </c>
      <c r="AD56" s="3">
        <v>124700</v>
      </c>
      <c r="AE56" s="3">
        <v>402000</v>
      </c>
      <c r="AF56" s="3">
        <v>501000</v>
      </c>
    </row>
    <row r="57" spans="1:32">
      <c r="A57" s="2">
        <v>20260107</v>
      </c>
      <c r="B57" s="6">
        <v>4551.0600000000004</v>
      </c>
      <c r="C57" s="3">
        <v>375000</v>
      </c>
      <c r="D57" s="3">
        <v>965000</v>
      </c>
      <c r="E57" s="3">
        <v>511000</v>
      </c>
      <c r="F57" s="3">
        <v>152200</v>
      </c>
      <c r="G57" s="3">
        <v>384500</v>
      </c>
      <c r="H57" s="3">
        <v>211500</v>
      </c>
      <c r="I57" s="3">
        <v>342500</v>
      </c>
      <c r="J57" s="3">
        <v>558000</v>
      </c>
      <c r="K57" s="3">
        <v>933000</v>
      </c>
      <c r="L57" s="3">
        <v>1546000</v>
      </c>
      <c r="M57" s="3">
        <v>154700</v>
      </c>
      <c r="N57" s="3">
        <v>100900</v>
      </c>
      <c r="O57" s="3">
        <v>65300</v>
      </c>
      <c r="P57" s="3">
        <v>396500</v>
      </c>
      <c r="Q57" s="3">
        <v>278000</v>
      </c>
      <c r="R57" s="3">
        <v>1585000</v>
      </c>
      <c r="S57" s="3">
        <v>222000</v>
      </c>
      <c r="T57" s="3">
        <v>457000</v>
      </c>
      <c r="U57" s="3">
        <v>180100</v>
      </c>
      <c r="V57" s="3">
        <v>26350</v>
      </c>
      <c r="W57" s="3">
        <v>203000</v>
      </c>
      <c r="X57" s="3">
        <v>93400</v>
      </c>
      <c r="Y57" s="3">
        <v>108800</v>
      </c>
      <c r="Z57" s="3">
        <v>46000</v>
      </c>
      <c r="AA57" s="3">
        <v>278000</v>
      </c>
      <c r="AB57" s="3">
        <v>129700</v>
      </c>
      <c r="AC57" s="3">
        <v>1369000</v>
      </c>
      <c r="AD57" s="3">
        <v>125700</v>
      </c>
      <c r="AE57" s="3">
        <v>398500</v>
      </c>
      <c r="AF57" s="3">
        <v>490000</v>
      </c>
    </row>
    <row r="58" spans="1:32">
      <c r="A58" s="2">
        <v>20260106</v>
      </c>
      <c r="B58" s="6">
        <v>4525.4799999999996</v>
      </c>
      <c r="C58" s="3">
        <v>367000</v>
      </c>
      <c r="D58" s="3">
        <v>915000</v>
      </c>
      <c r="E58" s="3">
        <v>498500</v>
      </c>
      <c r="F58" s="3">
        <v>152200</v>
      </c>
      <c r="G58" s="3">
        <v>394500</v>
      </c>
      <c r="H58" s="3">
        <v>212500</v>
      </c>
      <c r="I58" s="3">
        <v>343000</v>
      </c>
      <c r="J58" s="3">
        <v>544000</v>
      </c>
      <c r="K58" s="3">
        <v>922000</v>
      </c>
      <c r="L58" s="3">
        <v>1483000</v>
      </c>
      <c r="M58" s="3">
        <v>155800</v>
      </c>
      <c r="N58" s="3">
        <v>98100</v>
      </c>
      <c r="O58" s="3">
        <v>67100</v>
      </c>
      <c r="P58" s="3">
        <v>405500</v>
      </c>
      <c r="Q58" s="3">
        <v>269000</v>
      </c>
      <c r="R58" s="3">
        <v>1606000</v>
      </c>
      <c r="S58" s="3">
        <v>223000</v>
      </c>
      <c r="T58" s="3">
        <v>434000</v>
      </c>
      <c r="U58" s="3">
        <v>179700</v>
      </c>
      <c r="V58" s="3">
        <v>26000</v>
      </c>
      <c r="W58" s="3">
        <v>206000</v>
      </c>
      <c r="X58" s="3">
        <v>93500</v>
      </c>
      <c r="Y58" s="3">
        <v>110400</v>
      </c>
      <c r="Z58" s="3">
        <v>43900</v>
      </c>
      <c r="AA58" s="3">
        <v>275500</v>
      </c>
      <c r="AB58" s="3">
        <v>124100</v>
      </c>
      <c r="AC58" s="3">
        <v>1335000</v>
      </c>
      <c r="AD58" s="3">
        <v>123200</v>
      </c>
      <c r="AE58" s="3">
        <v>408500</v>
      </c>
      <c r="AF58" s="3">
        <v>495000</v>
      </c>
    </row>
    <row r="59" spans="1:32">
      <c r="A59" s="2">
        <v>20260105</v>
      </c>
      <c r="B59" s="6">
        <v>4457.5200000000004</v>
      </c>
      <c r="C59" s="3">
        <v>347000</v>
      </c>
      <c r="D59" s="3">
        <v>872000</v>
      </c>
      <c r="E59" s="3">
        <v>480000</v>
      </c>
      <c r="F59" s="3">
        <v>145900</v>
      </c>
      <c r="G59" s="3">
        <v>410000</v>
      </c>
      <c r="H59" s="3">
        <v>207000</v>
      </c>
      <c r="I59" s="3">
        <v>343000</v>
      </c>
      <c r="J59" s="3">
        <v>510000</v>
      </c>
      <c r="K59" s="3">
        <v>873000</v>
      </c>
      <c r="L59" s="3">
        <v>1478000</v>
      </c>
      <c r="M59" s="3">
        <v>151500</v>
      </c>
      <c r="N59" s="3">
        <v>94200</v>
      </c>
      <c r="O59" s="3">
        <v>62700</v>
      </c>
      <c r="P59" s="3">
        <v>412500</v>
      </c>
      <c r="Q59" s="3">
        <v>259500</v>
      </c>
      <c r="R59" s="3">
        <v>1530000</v>
      </c>
      <c r="S59" s="3">
        <v>219500</v>
      </c>
      <c r="T59" s="3">
        <v>429000</v>
      </c>
      <c r="U59" s="3">
        <v>176300</v>
      </c>
      <c r="V59" s="3">
        <v>24500</v>
      </c>
      <c r="W59" s="3">
        <v>201500</v>
      </c>
      <c r="X59" s="3">
        <v>90500</v>
      </c>
      <c r="Y59" s="3">
        <v>107200</v>
      </c>
      <c r="Z59" s="3">
        <v>42200</v>
      </c>
      <c r="AA59" s="3">
        <v>260500</v>
      </c>
      <c r="AB59" s="3">
        <v>120700</v>
      </c>
      <c r="AC59" s="3">
        <v>1308000</v>
      </c>
      <c r="AD59" s="3">
        <v>118200</v>
      </c>
      <c r="AE59" s="3">
        <v>398000</v>
      </c>
      <c r="AF59" s="3">
        <v>469500</v>
      </c>
    </row>
    <row r="60" spans="1:32">
      <c r="A60" s="2">
        <v>20260102</v>
      </c>
      <c r="B60" s="6">
        <v>4309.63</v>
      </c>
      <c r="C60" s="3">
        <v>344000</v>
      </c>
      <c r="D60" s="3">
        <v>832000</v>
      </c>
      <c r="E60" s="3">
        <v>465000</v>
      </c>
      <c r="F60" s="3">
        <v>141900</v>
      </c>
      <c r="G60" s="3">
        <v>394500</v>
      </c>
      <c r="H60" s="3">
        <v>201500</v>
      </c>
      <c r="I60" s="3">
        <v>332500</v>
      </c>
      <c r="J60" s="3">
        <v>466500</v>
      </c>
      <c r="K60" s="3">
        <v>807000</v>
      </c>
      <c r="L60" s="3">
        <v>1422000</v>
      </c>
      <c r="M60" s="3">
        <v>145200</v>
      </c>
      <c r="N60" s="3">
        <v>91800</v>
      </c>
      <c r="O60" s="3">
        <v>61600</v>
      </c>
      <c r="P60" s="3">
        <v>408000</v>
      </c>
      <c r="Q60" s="3">
        <v>253500</v>
      </c>
      <c r="R60" s="3">
        <v>1504000</v>
      </c>
      <c r="S60" s="3">
        <v>210500</v>
      </c>
      <c r="T60" s="3">
        <v>407500</v>
      </c>
      <c r="U60" s="3">
        <v>167200</v>
      </c>
      <c r="V60" s="3">
        <v>24450</v>
      </c>
      <c r="W60" s="3">
        <v>197200</v>
      </c>
      <c r="X60" s="3">
        <v>87700</v>
      </c>
      <c r="Y60" s="3">
        <v>106600</v>
      </c>
      <c r="Z60" s="3">
        <v>41650</v>
      </c>
      <c r="AA60" s="3">
        <v>251000</v>
      </c>
      <c r="AB60" s="3">
        <v>114100</v>
      </c>
      <c r="AC60" s="3">
        <v>1249000</v>
      </c>
      <c r="AD60" s="3">
        <v>120200</v>
      </c>
      <c r="AE60" s="3">
        <v>378000</v>
      </c>
      <c r="AF60" s="3">
        <v>445500</v>
      </c>
    </row>
    <row r="61" spans="1:32">
      <c r="A61" s="10" t="s">
        <v>97</v>
      </c>
      <c r="B61" s="10"/>
      <c r="C61">
        <f>CORREL($B$2:$B$60, C2:C60)</f>
        <v>0.4061388450059758</v>
      </c>
      <c r="D61">
        <f t="shared" ref="D61:AF61" si="0">CORREL($B$2:$B$60, D2:D60)</f>
        <v>-0.24345970941169126</v>
      </c>
      <c r="E61">
        <f t="shared" si="0"/>
        <v>0.43071020933244325</v>
      </c>
      <c r="F61">
        <f t="shared" si="0"/>
        <v>-0.33096762296043197</v>
      </c>
      <c r="G61">
        <f t="shared" si="0"/>
        <v>0.18747963641881737</v>
      </c>
      <c r="H61">
        <f t="shared" si="0"/>
        <v>0.7497513688836035</v>
      </c>
      <c r="I61">
        <f t="shared" si="0"/>
        <v>0.13623806682956208</v>
      </c>
      <c r="J61">
        <f t="shared" si="0"/>
        <v>-0.35006294199497678</v>
      </c>
      <c r="K61">
        <f t="shared" si="0"/>
        <v>-0.44884255300561654</v>
      </c>
      <c r="L61">
        <f t="shared" si="0"/>
        <v>3.7556440906614572E-2</v>
      </c>
      <c r="M61">
        <f t="shared" si="0"/>
        <v>-0.20468130767050197</v>
      </c>
      <c r="N61">
        <f t="shared" si="0"/>
        <v>-0.50741653941432019</v>
      </c>
      <c r="O61">
        <f t="shared" si="0"/>
        <v>-0.58638721385200021</v>
      </c>
      <c r="P61">
        <f t="shared" si="0"/>
        <v>-0.3992622469354854</v>
      </c>
      <c r="Q61">
        <f t="shared" si="0"/>
        <v>0.2759705522708073</v>
      </c>
      <c r="R61">
        <f t="shared" si="0"/>
        <v>0.69253679512346245</v>
      </c>
      <c r="S61">
        <f t="shared" si="0"/>
        <v>-0.62216024833374173</v>
      </c>
      <c r="T61">
        <f t="shared" si="0"/>
        <v>-0.75389271067769914</v>
      </c>
      <c r="U61">
        <f t="shared" si="0"/>
        <v>-0.53919077088072609</v>
      </c>
      <c r="V61">
        <f t="shared" si="0"/>
        <v>0.32008561710265038</v>
      </c>
      <c r="W61">
        <f t="shared" si="0"/>
        <v>0.27779058348675595</v>
      </c>
      <c r="X61">
        <f t="shared" si="0"/>
        <v>-0.30042703964839429</v>
      </c>
      <c r="Y61">
        <f t="shared" si="0"/>
        <v>-0.15496031130862761</v>
      </c>
      <c r="Z61">
        <f t="shared" si="0"/>
        <v>0.65322310312341791</v>
      </c>
      <c r="AA61">
        <f t="shared" si="0"/>
        <v>-0.70233651044954237</v>
      </c>
      <c r="AB61">
        <f t="shared" si="0"/>
        <v>-0.50306201615321366</v>
      </c>
      <c r="AC61">
        <f t="shared" si="0"/>
        <v>-0.34762182207728387</v>
      </c>
      <c r="AD61">
        <f t="shared" si="0"/>
        <v>0.48921727242228091</v>
      </c>
      <c r="AE61">
        <f t="shared" si="0"/>
        <v>0.39078343832199763</v>
      </c>
      <c r="AF61">
        <f t="shared" si="0"/>
        <v>-0.21690653428666498</v>
      </c>
    </row>
  </sheetData>
  <mergeCells count="1">
    <mergeCell ref="A61:B61"/>
  </mergeCells>
  <phoneticPr fontId="1" type="noConversion"/>
  <conditionalFormatting sqref="C61:AF6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7D88-A79D-4ABE-BEFB-01D26F0313DF}">
  <dimension ref="A1:I63"/>
  <sheetViews>
    <sheetView workbookViewId="0">
      <selection activeCell="L9" sqref="L9"/>
    </sheetView>
  </sheetViews>
  <sheetFormatPr baseColWidth="10" defaultColWidth="8.83203125" defaultRowHeight="17"/>
  <cols>
    <col min="1" max="1" width="5" bestFit="1" customWidth="1"/>
    <col min="2" max="2" width="10.83203125" bestFit="1" customWidth="1"/>
    <col min="3" max="3" width="9.1640625" bestFit="1" customWidth="1"/>
    <col min="4" max="5" width="13.33203125" bestFit="1" customWidth="1"/>
    <col min="6" max="7" width="15" bestFit="1" customWidth="1"/>
  </cols>
  <sheetData>
    <row r="1" spans="1:3">
      <c r="A1" t="s">
        <v>99</v>
      </c>
      <c r="B1" t="s">
        <v>95</v>
      </c>
      <c r="C1" t="s">
        <v>98</v>
      </c>
    </row>
    <row r="2" spans="1:3">
      <c r="A2">
        <v>1</v>
      </c>
      <c r="B2" s="7">
        <v>46024</v>
      </c>
      <c r="C2" s="8">
        <v>128500</v>
      </c>
    </row>
    <row r="3" spans="1:3">
      <c r="A3">
        <v>2</v>
      </c>
      <c r="B3" s="7">
        <v>46027</v>
      </c>
      <c r="C3" s="8">
        <v>138100</v>
      </c>
    </row>
    <row r="4" spans="1:3">
      <c r="A4">
        <v>3</v>
      </c>
      <c r="B4" s="7">
        <v>46028</v>
      </c>
      <c r="C4" s="8">
        <v>138900</v>
      </c>
    </row>
    <row r="5" spans="1:3">
      <c r="A5">
        <v>4</v>
      </c>
      <c r="B5" s="7">
        <v>46029</v>
      </c>
      <c r="C5" s="8">
        <v>141000</v>
      </c>
    </row>
    <row r="6" spans="1:3">
      <c r="A6">
        <v>5</v>
      </c>
      <c r="B6" s="7">
        <v>46030</v>
      </c>
      <c r="C6" s="8">
        <v>138800</v>
      </c>
    </row>
    <row r="7" spans="1:3">
      <c r="A7">
        <v>6</v>
      </c>
      <c r="B7" s="7">
        <v>46031</v>
      </c>
      <c r="C7" s="8">
        <v>139000</v>
      </c>
    </row>
    <row r="8" spans="1:3">
      <c r="A8">
        <v>7</v>
      </c>
      <c r="B8" s="7">
        <v>46034</v>
      </c>
      <c r="C8" s="8">
        <v>138800</v>
      </c>
    </row>
    <row r="9" spans="1:3">
      <c r="A9">
        <v>8</v>
      </c>
      <c r="B9" s="7">
        <v>46035</v>
      </c>
      <c r="C9" s="8">
        <v>137600</v>
      </c>
    </row>
    <row r="10" spans="1:3">
      <c r="A10">
        <v>9</v>
      </c>
      <c r="B10" s="7">
        <v>46036</v>
      </c>
      <c r="C10" s="8">
        <v>140300</v>
      </c>
    </row>
    <row r="11" spans="1:3">
      <c r="A11">
        <v>10</v>
      </c>
      <c r="B11" s="7">
        <v>46037</v>
      </c>
      <c r="C11" s="8">
        <v>143900</v>
      </c>
    </row>
    <row r="12" spans="1:3">
      <c r="A12">
        <v>11</v>
      </c>
      <c r="B12" s="7">
        <v>46038</v>
      </c>
      <c r="C12" s="8">
        <v>148900</v>
      </c>
    </row>
    <row r="13" spans="1:3">
      <c r="A13">
        <v>12</v>
      </c>
      <c r="B13" s="7">
        <v>46041</v>
      </c>
      <c r="C13" s="8">
        <v>149300</v>
      </c>
    </row>
    <row r="14" spans="1:3">
      <c r="A14">
        <v>13</v>
      </c>
      <c r="B14" s="7">
        <v>46042</v>
      </c>
      <c r="C14" s="8">
        <v>145200</v>
      </c>
    </row>
    <row r="15" spans="1:3">
      <c r="A15">
        <v>14</v>
      </c>
      <c r="B15" s="7">
        <v>46043</v>
      </c>
      <c r="C15" s="8">
        <v>149500</v>
      </c>
    </row>
    <row r="16" spans="1:3">
      <c r="A16">
        <v>15</v>
      </c>
      <c r="B16" s="7">
        <v>46044</v>
      </c>
      <c r="C16" s="8">
        <v>152300</v>
      </c>
    </row>
    <row r="17" spans="1:9">
      <c r="A17">
        <v>16</v>
      </c>
      <c r="B17" s="7">
        <v>46045</v>
      </c>
      <c r="C17" s="8">
        <v>152100</v>
      </c>
    </row>
    <row r="18" spans="1:9">
      <c r="A18">
        <v>17</v>
      </c>
      <c r="B18" s="7">
        <v>46048</v>
      </c>
      <c r="C18" s="8">
        <v>152100</v>
      </c>
    </row>
    <row r="19" spans="1:9">
      <c r="A19">
        <v>18</v>
      </c>
      <c r="B19" s="7">
        <v>46049</v>
      </c>
      <c r="C19" s="8">
        <v>159500</v>
      </c>
    </row>
    <row r="20" spans="1:9">
      <c r="A20">
        <v>19</v>
      </c>
      <c r="B20" s="7">
        <v>46050</v>
      </c>
      <c r="C20" s="8">
        <v>162400</v>
      </c>
      <c r="D20" t="s">
        <v>100</v>
      </c>
      <c r="E20" t="s">
        <v>101</v>
      </c>
      <c r="F20" t="s">
        <v>102</v>
      </c>
      <c r="G20" t="s">
        <v>103</v>
      </c>
      <c r="H20" t="s">
        <v>104</v>
      </c>
      <c r="I20" t="s">
        <v>105</v>
      </c>
    </row>
    <row r="21" spans="1:9">
      <c r="A21">
        <v>20</v>
      </c>
      <c r="B21" s="7">
        <v>46051</v>
      </c>
      <c r="C21" s="8">
        <v>160700</v>
      </c>
      <c r="D21" s="8">
        <f>AVERAGE(C2:C21)</f>
        <v>145845</v>
      </c>
      <c r="E21" s="8">
        <f>_xlfn.STDEV.P(C2:C21)</f>
        <v>8710.1363364760255</v>
      </c>
      <c r="F21" s="8">
        <f>D21+E21*2</f>
        <v>163265.27267295204</v>
      </c>
      <c r="G21" s="8">
        <f>D21-E21*2</f>
        <v>128424.72732704795</v>
      </c>
      <c r="H21" t="b">
        <f>C21&lt;G21</f>
        <v>0</v>
      </c>
      <c r="I21" s="9">
        <f>C21/C20-1</f>
        <v>-1.0467980295566504E-2</v>
      </c>
    </row>
    <row r="22" spans="1:9">
      <c r="A22">
        <v>21</v>
      </c>
      <c r="B22" s="7">
        <v>46052</v>
      </c>
      <c r="C22" s="8">
        <v>160500</v>
      </c>
      <c r="D22" s="8">
        <f t="shared" ref="D22:D63" si="0">AVERAGE(C3:C22)</f>
        <v>147445</v>
      </c>
      <c r="E22" s="8">
        <f t="shared" ref="E22:E60" si="1">_xlfn.STDEV.P(C3:C22)</f>
        <v>8306.7728390753527</v>
      </c>
      <c r="F22" s="8">
        <f t="shared" ref="F22:F60" si="2">D22+E22*2</f>
        <v>164058.54567815069</v>
      </c>
      <c r="G22" s="8">
        <f t="shared" ref="G22:G60" si="3">D22-E22*2</f>
        <v>130831.45432184929</v>
      </c>
      <c r="H22" t="b">
        <f t="shared" ref="H22:H60" si="4">C22&lt;G22</f>
        <v>0</v>
      </c>
      <c r="I22" s="9">
        <f t="shared" ref="I22:I60" si="5">C22/C21-1</f>
        <v>-1.2445550715619591E-3</v>
      </c>
    </row>
    <row r="23" spans="1:9">
      <c r="A23">
        <v>22</v>
      </c>
      <c r="B23" s="7">
        <v>46055</v>
      </c>
      <c r="C23" s="8">
        <v>150400</v>
      </c>
      <c r="D23" s="8">
        <f t="shared" si="0"/>
        <v>148060</v>
      </c>
      <c r="E23" s="8">
        <f t="shared" si="1"/>
        <v>8043.2829118463815</v>
      </c>
      <c r="F23" s="8">
        <f t="shared" si="2"/>
        <v>164146.56582369277</v>
      </c>
      <c r="G23" s="8">
        <f t="shared" si="3"/>
        <v>131973.43417630723</v>
      </c>
      <c r="H23" t="b">
        <f t="shared" si="4"/>
        <v>0</v>
      </c>
      <c r="I23" s="9">
        <f t="shared" si="5"/>
        <v>-6.2928348909657372E-2</v>
      </c>
    </row>
    <row r="24" spans="1:9">
      <c r="A24">
        <v>23</v>
      </c>
      <c r="B24" s="7">
        <v>46056</v>
      </c>
      <c r="C24" s="8">
        <v>167500</v>
      </c>
      <c r="D24" s="8">
        <f t="shared" si="0"/>
        <v>149490</v>
      </c>
      <c r="E24" s="8">
        <f t="shared" si="1"/>
        <v>8794.8791918934276</v>
      </c>
      <c r="F24" s="8">
        <f t="shared" si="2"/>
        <v>167079.75838378686</v>
      </c>
      <c r="G24" s="8">
        <f t="shared" si="3"/>
        <v>131900.24161621314</v>
      </c>
      <c r="H24" t="b">
        <f t="shared" si="4"/>
        <v>0</v>
      </c>
      <c r="I24" s="9">
        <f t="shared" si="5"/>
        <v>0.11369680851063824</v>
      </c>
    </row>
    <row r="25" spans="1:9">
      <c r="A25">
        <v>24</v>
      </c>
      <c r="B25" s="7">
        <v>46057</v>
      </c>
      <c r="C25" s="8">
        <v>169100</v>
      </c>
      <c r="D25" s="8">
        <f t="shared" si="0"/>
        <v>150895</v>
      </c>
      <c r="E25" s="8">
        <f t="shared" si="1"/>
        <v>9539.3644966528045</v>
      </c>
      <c r="F25" s="8">
        <f t="shared" si="2"/>
        <v>169973.72899330562</v>
      </c>
      <c r="G25" s="8">
        <f t="shared" si="3"/>
        <v>131816.27100669438</v>
      </c>
      <c r="H25" t="b">
        <f t="shared" si="4"/>
        <v>0</v>
      </c>
      <c r="I25" s="9">
        <f t="shared" si="5"/>
        <v>9.5522388059701147E-3</v>
      </c>
    </row>
    <row r="26" spans="1:9">
      <c r="A26">
        <v>25</v>
      </c>
      <c r="B26" s="7">
        <v>46058</v>
      </c>
      <c r="C26" s="8">
        <v>159300</v>
      </c>
      <c r="D26" s="8">
        <f t="shared" si="0"/>
        <v>151920</v>
      </c>
      <c r="E26" s="8">
        <f t="shared" si="1"/>
        <v>9282.5966194809953</v>
      </c>
      <c r="F26" s="8">
        <f t="shared" si="2"/>
        <v>170485.19323896198</v>
      </c>
      <c r="G26" s="8">
        <f t="shared" si="3"/>
        <v>133354.80676103802</v>
      </c>
      <c r="H26" t="b">
        <f t="shared" si="4"/>
        <v>0</v>
      </c>
      <c r="I26" s="9">
        <f t="shared" si="5"/>
        <v>-5.7953873447664117E-2</v>
      </c>
    </row>
    <row r="27" spans="1:9">
      <c r="A27">
        <v>26</v>
      </c>
      <c r="B27" s="7">
        <v>46059</v>
      </c>
      <c r="C27" s="8">
        <v>158600</v>
      </c>
      <c r="D27" s="8">
        <f t="shared" si="0"/>
        <v>152900</v>
      </c>
      <c r="E27" s="8">
        <f t="shared" si="1"/>
        <v>8893.3120939276614</v>
      </c>
      <c r="F27" s="8">
        <f t="shared" si="2"/>
        <v>170686.62418785531</v>
      </c>
      <c r="G27" s="8">
        <f t="shared" si="3"/>
        <v>135113.37581214469</v>
      </c>
      <c r="H27" t="b">
        <f t="shared" si="4"/>
        <v>0</v>
      </c>
      <c r="I27" s="9">
        <f t="shared" si="5"/>
        <v>-4.3942247332078299E-3</v>
      </c>
    </row>
    <row r="28" spans="1:9">
      <c r="A28">
        <v>27</v>
      </c>
      <c r="B28" s="7">
        <v>46062</v>
      </c>
      <c r="C28" s="8">
        <v>166400</v>
      </c>
      <c r="D28" s="8">
        <f t="shared" si="0"/>
        <v>154280</v>
      </c>
      <c r="E28" s="8">
        <f t="shared" si="1"/>
        <v>8738.3408036079709</v>
      </c>
      <c r="F28" s="8">
        <f t="shared" si="2"/>
        <v>171756.68160721596</v>
      </c>
      <c r="G28" s="8">
        <f t="shared" si="3"/>
        <v>136803.31839278404</v>
      </c>
      <c r="H28" t="b">
        <f t="shared" si="4"/>
        <v>0</v>
      </c>
      <c r="I28" s="9">
        <f t="shared" si="5"/>
        <v>4.9180327868852514E-2</v>
      </c>
    </row>
    <row r="29" spans="1:9">
      <c r="A29">
        <v>28</v>
      </c>
      <c r="B29" s="7">
        <v>46063</v>
      </c>
      <c r="C29" s="8">
        <v>165800</v>
      </c>
      <c r="D29" s="8">
        <f t="shared" si="0"/>
        <v>155690</v>
      </c>
      <c r="E29" s="8">
        <f t="shared" si="1"/>
        <v>8191.1476607371696</v>
      </c>
      <c r="F29" s="8">
        <f t="shared" si="2"/>
        <v>172072.29532147435</v>
      </c>
      <c r="G29" s="8">
        <f t="shared" si="3"/>
        <v>139307.70467852565</v>
      </c>
      <c r="H29" t="b">
        <f t="shared" si="4"/>
        <v>0</v>
      </c>
      <c r="I29" s="9">
        <f t="shared" si="5"/>
        <v>-3.6057692307692735E-3</v>
      </c>
    </row>
    <row r="30" spans="1:9">
      <c r="A30">
        <v>29</v>
      </c>
      <c r="B30" s="7">
        <v>46064</v>
      </c>
      <c r="C30" s="8">
        <v>167800</v>
      </c>
      <c r="D30" s="8">
        <f t="shared" si="0"/>
        <v>157065</v>
      </c>
      <c r="E30" s="8">
        <f t="shared" si="1"/>
        <v>7790.6530534994308</v>
      </c>
      <c r="F30" s="8">
        <f t="shared" si="2"/>
        <v>172646.30610699888</v>
      </c>
      <c r="G30" s="8">
        <f t="shared" si="3"/>
        <v>141483.69389300112</v>
      </c>
      <c r="H30" t="b">
        <f t="shared" si="4"/>
        <v>0</v>
      </c>
      <c r="I30" s="9">
        <f t="shared" si="5"/>
        <v>1.2062726176115701E-2</v>
      </c>
    </row>
    <row r="31" spans="1:9">
      <c r="A31">
        <v>30</v>
      </c>
      <c r="B31" s="7">
        <v>46065</v>
      </c>
      <c r="C31" s="8">
        <v>178600</v>
      </c>
      <c r="D31" s="8">
        <f t="shared" si="0"/>
        <v>158800</v>
      </c>
      <c r="E31" s="8">
        <f t="shared" si="1"/>
        <v>8497.4113705292621</v>
      </c>
      <c r="F31" s="8">
        <f t="shared" si="2"/>
        <v>175794.82274105854</v>
      </c>
      <c r="G31" s="8">
        <f t="shared" si="3"/>
        <v>141805.17725894146</v>
      </c>
      <c r="H31" t="b">
        <f t="shared" si="4"/>
        <v>0</v>
      </c>
      <c r="I31" s="9">
        <f t="shared" si="5"/>
        <v>6.4362336114421881E-2</v>
      </c>
    </row>
    <row r="32" spans="1:9">
      <c r="A32">
        <v>31</v>
      </c>
      <c r="B32" s="7">
        <v>46066</v>
      </c>
      <c r="C32" s="8">
        <v>181200</v>
      </c>
      <c r="D32" s="8">
        <f t="shared" si="0"/>
        <v>160415</v>
      </c>
      <c r="E32" s="8">
        <f t="shared" si="1"/>
        <v>9475.5092211447936</v>
      </c>
      <c r="F32" s="8">
        <f t="shared" si="2"/>
        <v>179366.01844228958</v>
      </c>
      <c r="G32" s="8">
        <f t="shared" si="3"/>
        <v>141463.98155771042</v>
      </c>
      <c r="H32" t="b">
        <f t="shared" si="4"/>
        <v>0</v>
      </c>
      <c r="I32" s="9">
        <f t="shared" si="5"/>
        <v>1.4557670772676445E-2</v>
      </c>
    </row>
    <row r="33" spans="1:9">
      <c r="A33">
        <v>32</v>
      </c>
      <c r="B33" s="7">
        <v>46072</v>
      </c>
      <c r="C33" s="8">
        <v>190000</v>
      </c>
      <c r="D33" s="8">
        <f t="shared" si="0"/>
        <v>162450</v>
      </c>
      <c r="E33" s="8">
        <f t="shared" si="1"/>
        <v>11100.923385016222</v>
      </c>
      <c r="F33" s="8">
        <f t="shared" si="2"/>
        <v>184651.84677003245</v>
      </c>
      <c r="G33" s="8">
        <f t="shared" si="3"/>
        <v>140248.15322996755</v>
      </c>
      <c r="H33" t="b">
        <f t="shared" si="4"/>
        <v>0</v>
      </c>
      <c r="I33" s="9">
        <f t="shared" si="5"/>
        <v>4.8565121412803558E-2</v>
      </c>
    </row>
    <row r="34" spans="1:9">
      <c r="A34">
        <v>33</v>
      </c>
      <c r="B34" s="7">
        <v>46073</v>
      </c>
      <c r="C34" s="8">
        <v>190100</v>
      </c>
      <c r="D34" s="8">
        <f t="shared" si="0"/>
        <v>164695</v>
      </c>
      <c r="E34" s="8">
        <f t="shared" si="1"/>
        <v>11896.994368326817</v>
      </c>
      <c r="F34" s="8">
        <f t="shared" si="2"/>
        <v>188488.98873665364</v>
      </c>
      <c r="G34" s="8">
        <f t="shared" si="3"/>
        <v>140901.01126334636</v>
      </c>
      <c r="H34" t="b">
        <f t="shared" si="4"/>
        <v>0</v>
      </c>
      <c r="I34" s="9">
        <f t="shared" si="5"/>
        <v>5.2631578947370805E-4</v>
      </c>
    </row>
    <row r="35" spans="1:9">
      <c r="A35">
        <v>34</v>
      </c>
      <c r="B35" s="7">
        <v>46076</v>
      </c>
      <c r="C35" s="8">
        <v>193000</v>
      </c>
      <c r="D35" s="8">
        <f t="shared" si="0"/>
        <v>166870</v>
      </c>
      <c r="E35" s="8">
        <f t="shared" si="1"/>
        <v>12857.764191335911</v>
      </c>
      <c r="F35" s="8">
        <f t="shared" si="2"/>
        <v>192585.52838267182</v>
      </c>
      <c r="G35" s="8">
        <f t="shared" si="3"/>
        <v>141154.47161732818</v>
      </c>
      <c r="H35" t="b">
        <f t="shared" si="4"/>
        <v>0</v>
      </c>
      <c r="I35" s="9">
        <f t="shared" si="5"/>
        <v>1.5255128879537061E-2</v>
      </c>
    </row>
    <row r="36" spans="1:9">
      <c r="A36">
        <v>35</v>
      </c>
      <c r="B36" s="7">
        <v>46077</v>
      </c>
      <c r="C36" s="8">
        <v>200000</v>
      </c>
      <c r="D36" s="8">
        <f t="shared" si="0"/>
        <v>169255</v>
      </c>
      <c r="E36" s="8">
        <f t="shared" si="1"/>
        <v>14279.337344568899</v>
      </c>
      <c r="F36" s="8">
        <f t="shared" si="2"/>
        <v>197813.67468913778</v>
      </c>
      <c r="G36" s="8">
        <f t="shared" si="3"/>
        <v>140696.32531086222</v>
      </c>
      <c r="H36" t="b">
        <f t="shared" si="4"/>
        <v>0</v>
      </c>
      <c r="I36" s="9">
        <f t="shared" si="5"/>
        <v>3.6269430051813378E-2</v>
      </c>
    </row>
    <row r="37" spans="1:9">
      <c r="A37">
        <v>36</v>
      </c>
      <c r="B37" s="7">
        <v>46078</v>
      </c>
      <c r="C37" s="8">
        <v>203500</v>
      </c>
      <c r="D37" s="8">
        <f t="shared" si="0"/>
        <v>171825</v>
      </c>
      <c r="E37" s="8">
        <f t="shared" si="1"/>
        <v>15531.12600554126</v>
      </c>
      <c r="F37" s="8">
        <f t="shared" si="2"/>
        <v>202887.25201108251</v>
      </c>
      <c r="G37" s="8">
        <f t="shared" si="3"/>
        <v>140762.74798891749</v>
      </c>
      <c r="H37" t="b">
        <f t="shared" si="4"/>
        <v>0</v>
      </c>
      <c r="I37" s="9">
        <f t="shared" si="5"/>
        <v>1.7500000000000071E-2</v>
      </c>
    </row>
    <row r="38" spans="1:9">
      <c r="A38">
        <v>37</v>
      </c>
      <c r="B38" s="7">
        <v>46079</v>
      </c>
      <c r="C38" s="8">
        <v>218000</v>
      </c>
      <c r="D38" s="8">
        <f t="shared" si="0"/>
        <v>175120</v>
      </c>
      <c r="E38" s="8">
        <f t="shared" si="1"/>
        <v>17818.855182081705</v>
      </c>
      <c r="F38" s="8">
        <f t="shared" si="2"/>
        <v>210757.71036416342</v>
      </c>
      <c r="G38" s="8">
        <f t="shared" si="3"/>
        <v>139482.28963583658</v>
      </c>
      <c r="H38" t="b">
        <f t="shared" si="4"/>
        <v>0</v>
      </c>
      <c r="I38" s="9">
        <f t="shared" si="5"/>
        <v>7.1253071253071232E-2</v>
      </c>
    </row>
    <row r="39" spans="1:9">
      <c r="A39">
        <v>38</v>
      </c>
      <c r="B39" s="7">
        <v>46080</v>
      </c>
      <c r="C39" s="8">
        <v>216500</v>
      </c>
      <c r="D39" s="8">
        <f t="shared" si="0"/>
        <v>177970</v>
      </c>
      <c r="E39" s="8">
        <f t="shared" si="1"/>
        <v>19565.405694746019</v>
      </c>
      <c r="F39" s="8">
        <f t="shared" si="2"/>
        <v>217100.81138949204</v>
      </c>
      <c r="G39" s="8">
        <f t="shared" si="3"/>
        <v>138839.18861050796</v>
      </c>
      <c r="H39" t="b">
        <f t="shared" si="4"/>
        <v>0</v>
      </c>
      <c r="I39" s="9">
        <f t="shared" si="5"/>
        <v>-6.8807339449541427E-3</v>
      </c>
    </row>
    <row r="40" spans="1:9">
      <c r="A40">
        <v>39</v>
      </c>
      <c r="B40" s="7">
        <v>46084</v>
      </c>
      <c r="C40" s="8">
        <v>195100</v>
      </c>
      <c r="D40" s="8">
        <f t="shared" si="0"/>
        <v>179605</v>
      </c>
      <c r="E40" s="8">
        <f t="shared" si="1"/>
        <v>19562.271723907732</v>
      </c>
      <c r="F40" s="8">
        <f t="shared" si="2"/>
        <v>218729.54344781546</v>
      </c>
      <c r="G40" s="8">
        <f t="shared" si="3"/>
        <v>140480.45655218454</v>
      </c>
      <c r="H40" t="b">
        <f t="shared" si="4"/>
        <v>0</v>
      </c>
      <c r="I40" s="9">
        <f t="shared" si="5"/>
        <v>-9.8845265588914599E-2</v>
      </c>
    </row>
    <row r="41" spans="1:9">
      <c r="A41">
        <v>40</v>
      </c>
      <c r="B41" s="7">
        <v>46085</v>
      </c>
      <c r="C41" s="8">
        <v>172200</v>
      </c>
      <c r="D41" s="8">
        <f t="shared" si="0"/>
        <v>180180</v>
      </c>
      <c r="E41" s="8">
        <f t="shared" si="1"/>
        <v>19163.079084531273</v>
      </c>
      <c r="F41" s="8">
        <f t="shared" si="2"/>
        <v>218506.15816906255</v>
      </c>
      <c r="G41" s="8">
        <f t="shared" si="3"/>
        <v>141853.84183093745</v>
      </c>
      <c r="H41" t="b">
        <f t="shared" si="4"/>
        <v>0</v>
      </c>
      <c r="I41" s="9">
        <f t="shared" si="5"/>
        <v>-0.11737570476678627</v>
      </c>
    </row>
    <row r="42" spans="1:9">
      <c r="A42">
        <v>41</v>
      </c>
      <c r="B42" s="7">
        <v>46086</v>
      </c>
      <c r="C42" s="8">
        <v>191600</v>
      </c>
      <c r="D42" s="8">
        <f t="shared" si="0"/>
        <v>181735</v>
      </c>
      <c r="E42" s="8">
        <f t="shared" si="1"/>
        <v>18760.630986190205</v>
      </c>
      <c r="F42" s="8">
        <f t="shared" si="2"/>
        <v>219256.26197238039</v>
      </c>
      <c r="G42" s="8">
        <f t="shared" si="3"/>
        <v>144213.73802761961</v>
      </c>
      <c r="H42" t="b">
        <f t="shared" si="4"/>
        <v>0</v>
      </c>
      <c r="I42" s="9">
        <f t="shared" si="5"/>
        <v>0.11265969802555165</v>
      </c>
    </row>
    <row r="43" spans="1:9">
      <c r="A43">
        <v>42</v>
      </c>
      <c r="B43" s="7">
        <v>46087</v>
      </c>
      <c r="C43" s="8">
        <v>188200</v>
      </c>
      <c r="D43" s="8">
        <f t="shared" si="0"/>
        <v>183625</v>
      </c>
      <c r="E43" s="8">
        <f t="shared" si="1"/>
        <v>17360.439942582099</v>
      </c>
      <c r="F43" s="8">
        <f t="shared" si="2"/>
        <v>218345.87988516421</v>
      </c>
      <c r="G43" s="8">
        <f t="shared" si="3"/>
        <v>148904.12011483579</v>
      </c>
      <c r="H43" t="b">
        <f t="shared" si="4"/>
        <v>0</v>
      </c>
      <c r="I43" s="9">
        <f t="shared" si="5"/>
        <v>-1.7745302713987443E-2</v>
      </c>
    </row>
    <row r="44" spans="1:9">
      <c r="A44">
        <v>43</v>
      </c>
      <c r="B44" s="7">
        <v>46090</v>
      </c>
      <c r="C44" s="8">
        <v>173500</v>
      </c>
      <c r="D44" s="8">
        <f t="shared" si="0"/>
        <v>183925</v>
      </c>
      <c r="E44" s="8">
        <f t="shared" si="1"/>
        <v>17129.503057590435</v>
      </c>
      <c r="F44" s="8">
        <f t="shared" si="2"/>
        <v>218184.00611518088</v>
      </c>
      <c r="G44" s="8">
        <f t="shared" si="3"/>
        <v>149665.99388481912</v>
      </c>
      <c r="H44" t="b">
        <f t="shared" si="4"/>
        <v>0</v>
      </c>
      <c r="I44" s="9">
        <f t="shared" si="5"/>
        <v>-7.8108395324123281E-2</v>
      </c>
    </row>
    <row r="45" spans="1:9">
      <c r="A45">
        <v>44</v>
      </c>
      <c r="B45" s="7">
        <v>46091</v>
      </c>
      <c r="C45" s="8">
        <v>187900</v>
      </c>
      <c r="D45" s="8">
        <f t="shared" si="0"/>
        <v>184865</v>
      </c>
      <c r="E45" s="8">
        <f t="shared" si="1"/>
        <v>16802.894839878038</v>
      </c>
      <c r="F45" s="8">
        <f t="shared" si="2"/>
        <v>218470.78967975607</v>
      </c>
      <c r="G45" s="8">
        <f t="shared" si="3"/>
        <v>151259.21032024393</v>
      </c>
      <c r="H45" t="b">
        <f t="shared" si="4"/>
        <v>0</v>
      </c>
      <c r="I45" s="9">
        <f t="shared" si="5"/>
        <v>8.2997118155619498E-2</v>
      </c>
    </row>
    <row r="46" spans="1:9">
      <c r="A46">
        <v>45</v>
      </c>
      <c r="B46" s="7">
        <v>46092</v>
      </c>
      <c r="C46" s="8">
        <v>190000</v>
      </c>
      <c r="D46" s="8">
        <f t="shared" si="0"/>
        <v>186400</v>
      </c>
      <c r="E46" s="8">
        <f t="shared" si="1"/>
        <v>15767.720190312866</v>
      </c>
      <c r="F46" s="8">
        <f t="shared" si="2"/>
        <v>217935.44038062572</v>
      </c>
      <c r="G46" s="8">
        <f t="shared" si="3"/>
        <v>154864.55961937428</v>
      </c>
      <c r="H46" t="b">
        <f t="shared" si="4"/>
        <v>0</v>
      </c>
      <c r="I46" s="9">
        <f t="shared" si="5"/>
        <v>1.1176157530601305E-2</v>
      </c>
    </row>
    <row r="47" spans="1:9">
      <c r="A47">
        <v>46</v>
      </c>
      <c r="B47" s="7">
        <v>46093</v>
      </c>
      <c r="C47" s="8">
        <v>187900</v>
      </c>
      <c r="D47" s="8">
        <f t="shared" si="0"/>
        <v>187865</v>
      </c>
      <c r="E47" s="8">
        <f t="shared" si="1"/>
        <v>14420.307729032693</v>
      </c>
      <c r="F47" s="8">
        <f t="shared" si="2"/>
        <v>216705.61545806538</v>
      </c>
      <c r="G47" s="8">
        <f t="shared" si="3"/>
        <v>159024.38454193462</v>
      </c>
      <c r="H47" t="b">
        <f t="shared" si="4"/>
        <v>0</v>
      </c>
      <c r="I47" s="9">
        <f t="shared" si="5"/>
        <v>-1.1052631578947314E-2</v>
      </c>
    </row>
    <row r="48" spans="1:9">
      <c r="A48">
        <v>47</v>
      </c>
      <c r="B48" s="7">
        <v>46094</v>
      </c>
      <c r="C48" s="8">
        <v>183500</v>
      </c>
      <c r="D48" s="8">
        <f t="shared" si="0"/>
        <v>188720</v>
      </c>
      <c r="E48" s="8">
        <f t="shared" si="1"/>
        <v>13606.233865401549</v>
      </c>
      <c r="F48" s="8">
        <f t="shared" si="2"/>
        <v>215932.4677308031</v>
      </c>
      <c r="G48" s="8">
        <f t="shared" si="3"/>
        <v>161507.5322691969</v>
      </c>
      <c r="H48" t="b">
        <f t="shared" si="4"/>
        <v>0</v>
      </c>
      <c r="I48" s="9">
        <f t="shared" si="5"/>
        <v>-2.3416711016498115E-2</v>
      </c>
    </row>
    <row r="49" spans="1:9">
      <c r="A49">
        <v>48</v>
      </c>
      <c r="B49" s="7">
        <v>46097</v>
      </c>
      <c r="C49" s="8">
        <v>188700</v>
      </c>
      <c r="D49" s="8">
        <f t="shared" si="0"/>
        <v>189865</v>
      </c>
      <c r="E49" s="8">
        <f t="shared" si="1"/>
        <v>12551.982911078234</v>
      </c>
      <c r="F49" s="8">
        <f t="shared" si="2"/>
        <v>214968.96582215646</v>
      </c>
      <c r="G49" s="8">
        <f t="shared" si="3"/>
        <v>164761.03417784354</v>
      </c>
      <c r="H49" t="b">
        <f t="shared" si="4"/>
        <v>0</v>
      </c>
      <c r="I49" s="9">
        <f t="shared" si="5"/>
        <v>2.8337874659400519E-2</v>
      </c>
    </row>
    <row r="50" spans="1:9">
      <c r="A50">
        <v>49</v>
      </c>
      <c r="B50" s="7">
        <v>46098</v>
      </c>
      <c r="C50" s="8">
        <v>193900</v>
      </c>
      <c r="D50" s="8">
        <f t="shared" si="0"/>
        <v>191170</v>
      </c>
      <c r="E50" s="8">
        <f t="shared" si="1"/>
        <v>11503.047422313794</v>
      </c>
      <c r="F50" s="8">
        <f t="shared" si="2"/>
        <v>214176.0948446276</v>
      </c>
      <c r="G50" s="8">
        <f t="shared" si="3"/>
        <v>168163.9051553724</v>
      </c>
      <c r="H50" t="b">
        <f t="shared" si="4"/>
        <v>0</v>
      </c>
      <c r="I50" s="9">
        <f t="shared" si="5"/>
        <v>2.755696873343938E-2</v>
      </c>
    </row>
    <row r="51" spans="1:9">
      <c r="A51">
        <v>50</v>
      </c>
      <c r="B51" s="7">
        <v>46099</v>
      </c>
      <c r="C51" s="8">
        <v>208500</v>
      </c>
      <c r="D51" s="8">
        <f t="shared" si="0"/>
        <v>192665</v>
      </c>
      <c r="E51" s="8">
        <f t="shared" si="1"/>
        <v>11713.294796939075</v>
      </c>
      <c r="F51" s="8">
        <f t="shared" si="2"/>
        <v>216091.58959387816</v>
      </c>
      <c r="G51" s="8">
        <f t="shared" si="3"/>
        <v>169238.41040612184</v>
      </c>
      <c r="H51" t="b">
        <f t="shared" si="4"/>
        <v>0</v>
      </c>
      <c r="I51" s="9">
        <f t="shared" si="5"/>
        <v>7.5296544610623961E-2</v>
      </c>
    </row>
    <row r="52" spans="1:9">
      <c r="A52">
        <v>51</v>
      </c>
      <c r="B52" s="7">
        <v>46100</v>
      </c>
      <c r="C52" s="8">
        <v>200500</v>
      </c>
      <c r="D52" s="8">
        <f t="shared" si="0"/>
        <v>193630</v>
      </c>
      <c r="E52" s="8">
        <f t="shared" si="1"/>
        <v>11522.460674699654</v>
      </c>
      <c r="F52" s="8">
        <f t="shared" si="2"/>
        <v>216674.92134939932</v>
      </c>
      <c r="G52" s="8">
        <f t="shared" si="3"/>
        <v>170585.07865060068</v>
      </c>
      <c r="H52" t="b">
        <f t="shared" si="4"/>
        <v>0</v>
      </c>
      <c r="I52" s="9">
        <f t="shared" si="5"/>
        <v>-3.83693045563549E-2</v>
      </c>
    </row>
    <row r="53" spans="1:9">
      <c r="A53">
        <v>52</v>
      </c>
      <c r="B53" s="7">
        <v>46101</v>
      </c>
      <c r="C53" s="8">
        <v>199400</v>
      </c>
      <c r="D53" s="8">
        <f t="shared" si="0"/>
        <v>194100</v>
      </c>
      <c r="E53" s="8">
        <f t="shared" si="1"/>
        <v>11556.47004928408</v>
      </c>
      <c r="F53" s="8">
        <f t="shared" si="2"/>
        <v>217212.94009856816</v>
      </c>
      <c r="G53" s="8">
        <f t="shared" si="3"/>
        <v>170987.05990143184</v>
      </c>
      <c r="H53" t="b">
        <f t="shared" si="4"/>
        <v>0</v>
      </c>
      <c r="I53" s="9">
        <f t="shared" si="5"/>
        <v>-5.4862842892767771E-3</v>
      </c>
    </row>
    <row r="54" spans="1:9">
      <c r="A54">
        <v>53</v>
      </c>
      <c r="B54" s="7">
        <v>46104</v>
      </c>
      <c r="C54" s="8">
        <v>186300</v>
      </c>
      <c r="D54" s="8">
        <f t="shared" si="0"/>
        <v>193910</v>
      </c>
      <c r="E54" s="8">
        <f t="shared" si="1"/>
        <v>11651.519214248416</v>
      </c>
      <c r="F54" s="8">
        <f t="shared" si="2"/>
        <v>217213.03842849683</v>
      </c>
      <c r="G54" s="8">
        <f t="shared" si="3"/>
        <v>170606.96157150317</v>
      </c>
      <c r="H54" t="b">
        <f t="shared" si="4"/>
        <v>0</v>
      </c>
      <c r="I54" s="9">
        <f t="shared" si="5"/>
        <v>-6.5697091273821506E-2</v>
      </c>
    </row>
    <row r="55" spans="1:9">
      <c r="A55">
        <v>54</v>
      </c>
      <c r="B55" s="7">
        <v>46105</v>
      </c>
      <c r="C55" s="8">
        <v>189700</v>
      </c>
      <c r="D55" s="8">
        <f t="shared" si="0"/>
        <v>193745</v>
      </c>
      <c r="E55" s="8">
        <f t="shared" si="1"/>
        <v>11686.551030992849</v>
      </c>
      <c r="F55" s="8">
        <f t="shared" si="2"/>
        <v>217118.1020619857</v>
      </c>
      <c r="G55" s="8">
        <f t="shared" si="3"/>
        <v>170371.8979380143</v>
      </c>
      <c r="H55" t="b">
        <f t="shared" si="4"/>
        <v>0</v>
      </c>
      <c r="I55" s="9">
        <f t="shared" si="5"/>
        <v>1.8250134192163259E-2</v>
      </c>
    </row>
    <row r="56" spans="1:9">
      <c r="A56">
        <v>55</v>
      </c>
      <c r="B56" s="7">
        <v>46106</v>
      </c>
      <c r="C56" s="8">
        <v>189000</v>
      </c>
      <c r="D56" s="8">
        <f t="shared" si="0"/>
        <v>193195</v>
      </c>
      <c r="E56" s="8">
        <f t="shared" si="1"/>
        <v>11637.975554193263</v>
      </c>
      <c r="F56" s="8">
        <f t="shared" si="2"/>
        <v>216470.95110838654</v>
      </c>
      <c r="G56" s="8">
        <f t="shared" si="3"/>
        <v>169919.04889161346</v>
      </c>
      <c r="H56" t="b">
        <f t="shared" si="4"/>
        <v>0</v>
      </c>
      <c r="I56" s="9">
        <f t="shared" si="5"/>
        <v>-3.6900369003689537E-3</v>
      </c>
    </row>
    <row r="57" spans="1:9">
      <c r="A57">
        <v>56</v>
      </c>
      <c r="B57" s="7">
        <v>46107</v>
      </c>
      <c r="C57" s="8">
        <v>180100</v>
      </c>
      <c r="D57" s="8">
        <f t="shared" si="0"/>
        <v>192025</v>
      </c>
      <c r="E57" s="8">
        <f t="shared" si="1"/>
        <v>11719.124327354839</v>
      </c>
      <c r="F57" s="8">
        <f t="shared" si="2"/>
        <v>215463.24865470966</v>
      </c>
      <c r="G57" s="8">
        <f t="shared" si="3"/>
        <v>168586.75134529034</v>
      </c>
      <c r="H57" t="b">
        <f t="shared" si="4"/>
        <v>0</v>
      </c>
      <c r="I57" s="9">
        <f t="shared" si="5"/>
        <v>-4.7089947089947071E-2</v>
      </c>
    </row>
    <row r="58" spans="1:9">
      <c r="A58">
        <v>57</v>
      </c>
      <c r="B58" s="7">
        <v>46108</v>
      </c>
      <c r="C58" s="8">
        <v>179700</v>
      </c>
      <c r="D58" s="8">
        <f t="shared" si="0"/>
        <v>190110</v>
      </c>
      <c r="E58" s="8">
        <f t="shared" si="1"/>
        <v>10369.710699918296</v>
      </c>
      <c r="F58" s="8">
        <f t="shared" si="2"/>
        <v>210849.4213998366</v>
      </c>
      <c r="G58" s="8">
        <f t="shared" si="3"/>
        <v>169370.5786001634</v>
      </c>
      <c r="H58" t="b">
        <f t="shared" si="4"/>
        <v>0</v>
      </c>
      <c r="I58" s="9">
        <f t="shared" si="5"/>
        <v>-2.220988339811214E-3</v>
      </c>
    </row>
    <row r="59" spans="1:9">
      <c r="A59">
        <v>58</v>
      </c>
      <c r="B59" s="7">
        <v>46111</v>
      </c>
      <c r="C59" s="8">
        <v>176300</v>
      </c>
      <c r="D59" s="8">
        <f t="shared" si="0"/>
        <v>188100</v>
      </c>
      <c r="E59" s="8">
        <f t="shared" si="1"/>
        <v>8843.3590903004733</v>
      </c>
      <c r="F59" s="8">
        <f t="shared" si="2"/>
        <v>205786.71818060096</v>
      </c>
      <c r="G59" s="8">
        <f t="shared" si="3"/>
        <v>170413.28181939904</v>
      </c>
      <c r="H59" t="b">
        <f t="shared" si="4"/>
        <v>0</v>
      </c>
      <c r="I59" s="9">
        <f t="shared" si="5"/>
        <v>-1.8920422927100722E-2</v>
      </c>
    </row>
    <row r="60" spans="1:9">
      <c r="A60">
        <v>59</v>
      </c>
      <c r="B60" s="7">
        <v>46112</v>
      </c>
      <c r="C60" s="8">
        <v>167200</v>
      </c>
      <c r="D60" s="8">
        <f>AVERAGE(C41:C60)</f>
        <v>186705</v>
      </c>
      <c r="E60" s="8">
        <f t="shared" si="1"/>
        <v>9780.0549589457823</v>
      </c>
      <c r="F60" s="8">
        <f t="shared" si="2"/>
        <v>206265.10991789156</v>
      </c>
      <c r="G60" s="8">
        <f t="shared" si="3"/>
        <v>167144.89008210844</v>
      </c>
      <c r="H60" t="b">
        <f t="shared" si="4"/>
        <v>0</v>
      </c>
      <c r="I60" s="9">
        <f t="shared" si="5"/>
        <v>-5.1616562677254674E-2</v>
      </c>
    </row>
    <row r="61" spans="1:9">
      <c r="A61">
        <v>60</v>
      </c>
      <c r="B61" s="7">
        <v>46113</v>
      </c>
      <c r="C61" s="8">
        <v>189600</v>
      </c>
      <c r="D61" s="8">
        <f t="shared" si="0"/>
        <v>187575</v>
      </c>
      <c r="E61" s="8">
        <f t="shared" ref="E61:E63" si="6">_xlfn.STDEV.P(C42:C61)</f>
        <v>9208.2503767002345</v>
      </c>
      <c r="F61" s="8">
        <f t="shared" ref="F61:F63" si="7">D61+E61*2</f>
        <v>205991.50075340047</v>
      </c>
      <c r="G61" s="8">
        <f t="shared" ref="G61:G63" si="8">D61-E61*2</f>
        <v>169158.49924659953</v>
      </c>
      <c r="H61" t="b">
        <f t="shared" ref="H61:H63" si="9">C61&lt;G61</f>
        <v>0</v>
      </c>
      <c r="I61" s="9">
        <f t="shared" ref="I61:I63" si="10">C61/C60-1</f>
        <v>0.13397129186602874</v>
      </c>
    </row>
    <row r="62" spans="1:9">
      <c r="A62">
        <v>61</v>
      </c>
      <c r="B62" s="7">
        <v>46114</v>
      </c>
      <c r="C62" s="8">
        <v>178400</v>
      </c>
      <c r="D62" s="8">
        <f t="shared" si="0"/>
        <v>186915</v>
      </c>
      <c r="E62" s="8">
        <f t="shared" si="6"/>
        <v>9367.7785520367634</v>
      </c>
      <c r="F62" s="8">
        <f t="shared" si="7"/>
        <v>205650.55710407352</v>
      </c>
      <c r="G62" s="8">
        <f t="shared" si="8"/>
        <v>168179.44289592648</v>
      </c>
      <c r="H62" t="b">
        <f t="shared" si="9"/>
        <v>0</v>
      </c>
      <c r="I62" s="9">
        <f t="shared" si="10"/>
        <v>-5.9071729957805852E-2</v>
      </c>
    </row>
    <row r="63" spans="1:9">
      <c r="A63">
        <v>62</v>
      </c>
      <c r="B63" s="7">
        <v>46115</v>
      </c>
      <c r="C63" s="8">
        <v>186200</v>
      </c>
      <c r="D63" s="8">
        <f t="shared" si="0"/>
        <v>186815</v>
      </c>
      <c r="E63" s="8">
        <f t="shared" si="6"/>
        <v>9364.2017812518334</v>
      </c>
      <c r="F63" s="8">
        <f t="shared" si="7"/>
        <v>205543.40356250366</v>
      </c>
      <c r="G63" s="8">
        <f t="shared" si="8"/>
        <v>168086.59643749634</v>
      </c>
      <c r="H63" t="b">
        <f t="shared" si="9"/>
        <v>0</v>
      </c>
      <c r="I63" s="9">
        <f t="shared" si="10"/>
        <v>4.3721973094170474E-2</v>
      </c>
    </row>
  </sheetData>
  <sortState xmlns:xlrd2="http://schemas.microsoft.com/office/spreadsheetml/2017/richdata2" ref="B2:C63">
    <sortCondition ref="B2:B63"/>
  </sortState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75B794-564F-465D-AF02-42750DC0B2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CASE_01</vt:lpstr>
      <vt:lpstr>CASE_01_sparkline</vt:lpstr>
      <vt:lpstr>CASE_01_pivot</vt:lpstr>
      <vt:lpstr>CASE_02_01</vt:lpstr>
      <vt:lpstr>CASE_02_01_correl</vt:lpstr>
      <vt:lpstr>CASE_02_02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배</dc:creator>
  <cp:lastModifiedBy>현진 배</cp:lastModifiedBy>
  <dcterms:created xsi:type="dcterms:W3CDTF">2026-04-03T06:27:02Z</dcterms:created>
  <dcterms:modified xsi:type="dcterms:W3CDTF">2026-04-06T02:49:44Z</dcterms:modified>
</cp:coreProperties>
</file>